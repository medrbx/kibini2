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Grand-Plage" sheetId="5" r:id="rId1"/>
    <sheet name="Médiathèque" sheetId="7" r:id="rId2"/>
    <sheet name="Zèbre" sheetId="3" r:id="rId3"/>
    <sheet name="Collectivités" sheetId="6" r:id="rId4"/>
  </sheets>
  <calcPr calcId="152511"/>
</workbook>
</file>

<file path=xl/calcChain.xml><?xml version="1.0" encoding="utf-8"?>
<calcChain xmlns="http://schemas.openxmlformats.org/spreadsheetml/2006/main">
  <c r="AT406" i="7" l="1"/>
  <c r="AS406" i="7"/>
  <c r="AT405" i="7"/>
  <c r="AS405" i="7"/>
  <c r="AT404" i="7"/>
  <c r="AS404" i="7"/>
  <c r="AT403" i="7"/>
  <c r="AS403" i="7"/>
  <c r="AT402" i="7"/>
  <c r="AS402" i="7"/>
  <c r="AT401" i="7"/>
  <c r="AS401" i="7"/>
  <c r="AT400" i="7"/>
  <c r="AS400" i="7"/>
  <c r="AT399" i="7"/>
  <c r="AS399" i="7"/>
  <c r="AT398" i="7"/>
  <c r="AS398" i="7"/>
  <c r="AT397" i="7"/>
  <c r="AS397" i="7"/>
  <c r="AT396" i="7"/>
  <c r="AS396" i="7"/>
  <c r="AT395" i="7"/>
  <c r="AS395" i="7"/>
  <c r="AT394" i="7"/>
  <c r="AS394" i="7"/>
  <c r="AT393" i="7"/>
  <c r="AS393" i="7"/>
  <c r="AT392" i="7"/>
  <c r="AS392" i="7"/>
  <c r="AT391" i="7"/>
  <c r="AS391" i="7"/>
  <c r="AT390" i="7"/>
  <c r="AS390" i="7"/>
  <c r="AT389" i="7"/>
  <c r="AS389" i="7"/>
  <c r="AT388" i="7"/>
  <c r="AS388" i="7"/>
  <c r="AT387" i="7"/>
  <c r="AS387" i="7"/>
  <c r="AT386" i="7"/>
  <c r="AS386" i="7"/>
  <c r="AT385" i="7"/>
  <c r="AS385" i="7"/>
  <c r="AT384" i="7"/>
  <c r="AS384" i="7"/>
  <c r="AT383" i="7"/>
  <c r="AS383" i="7"/>
  <c r="AT382" i="7"/>
  <c r="AS382" i="7"/>
  <c r="AT381" i="7"/>
  <c r="AS381" i="7"/>
  <c r="AT380" i="7"/>
  <c r="AS380" i="7"/>
  <c r="AT379" i="7"/>
  <c r="AS379" i="7"/>
  <c r="AT378" i="7"/>
  <c r="AS378" i="7"/>
  <c r="AT377" i="7"/>
  <c r="AS377" i="7"/>
  <c r="AT376" i="7"/>
  <c r="AS376" i="7"/>
  <c r="AT375" i="7"/>
  <c r="AS375" i="7"/>
  <c r="AT374" i="7"/>
  <c r="AS374" i="7"/>
  <c r="AT373" i="7"/>
  <c r="AS373" i="7"/>
  <c r="AT372" i="7"/>
  <c r="AS372" i="7"/>
  <c r="AT371" i="7"/>
  <c r="AS371" i="7"/>
  <c r="AT370" i="7"/>
  <c r="AS370" i="7"/>
  <c r="AT369" i="7"/>
  <c r="AS369" i="7"/>
  <c r="AT368" i="7"/>
  <c r="AS368" i="7"/>
  <c r="AT367" i="7"/>
  <c r="AS367" i="7"/>
  <c r="AT366" i="7"/>
  <c r="AS366" i="7"/>
  <c r="AT365" i="7"/>
  <c r="AS365" i="7"/>
  <c r="AT364" i="7"/>
  <c r="AS364" i="7"/>
  <c r="AT363" i="7"/>
  <c r="AS363" i="7"/>
  <c r="AT362" i="7"/>
  <c r="AS362" i="7"/>
  <c r="AT361" i="7"/>
  <c r="AS361" i="7"/>
  <c r="AT360" i="7"/>
  <c r="AS360" i="7"/>
  <c r="AT359" i="7"/>
  <c r="AS359" i="7"/>
  <c r="AT358" i="7"/>
  <c r="AS358" i="7"/>
  <c r="AT357" i="7"/>
  <c r="AS357" i="7"/>
  <c r="AT356" i="7"/>
  <c r="AS356" i="7"/>
  <c r="AT355" i="7"/>
  <c r="AS355" i="7"/>
  <c r="AT354" i="7"/>
  <c r="AS354" i="7"/>
  <c r="AT353" i="7"/>
  <c r="AS353" i="7"/>
  <c r="AT352" i="7"/>
  <c r="AS352" i="7"/>
  <c r="AT351" i="7"/>
  <c r="AS351" i="7"/>
  <c r="AT350" i="7"/>
  <c r="AS350" i="7"/>
  <c r="AT349" i="7"/>
  <c r="AS349" i="7"/>
  <c r="AT348" i="7"/>
  <c r="AS348" i="7"/>
  <c r="AT347" i="7"/>
  <c r="AS347" i="7"/>
  <c r="AT346" i="7"/>
  <c r="AS346" i="7"/>
  <c r="AT345" i="7"/>
  <c r="AS345" i="7"/>
  <c r="AT344" i="7"/>
  <c r="AS344" i="7"/>
  <c r="AT343" i="7"/>
  <c r="AS343" i="7"/>
  <c r="AT342" i="7"/>
  <c r="AS342" i="7"/>
  <c r="AT341" i="7"/>
  <c r="AS341" i="7"/>
  <c r="AT340" i="7"/>
  <c r="AS340" i="7"/>
  <c r="AT339" i="7"/>
  <c r="AS339" i="7"/>
  <c r="AT338" i="7"/>
  <c r="AS338" i="7"/>
  <c r="AT337" i="7"/>
  <c r="AS337" i="7"/>
  <c r="AT336" i="7"/>
  <c r="AS336" i="7"/>
  <c r="AT335" i="7"/>
  <c r="AS335" i="7"/>
  <c r="AT334" i="7"/>
  <c r="AS334" i="7"/>
  <c r="AT333" i="7"/>
  <c r="AS333" i="7"/>
  <c r="AT332" i="7"/>
  <c r="AS332" i="7"/>
  <c r="AT331" i="7"/>
  <c r="AS331" i="7"/>
  <c r="AT330" i="7"/>
  <c r="AS330" i="7"/>
  <c r="AT329" i="7"/>
  <c r="AS329" i="7"/>
  <c r="AT328" i="7"/>
  <c r="AS328" i="7"/>
  <c r="AT327" i="7"/>
  <c r="AS327" i="7"/>
  <c r="AT326" i="7"/>
  <c r="AS326" i="7"/>
  <c r="AT325" i="7"/>
  <c r="AS325" i="7"/>
  <c r="AT324" i="7"/>
  <c r="AS324" i="7"/>
  <c r="AT323" i="7"/>
  <c r="AS323" i="7"/>
  <c r="AT322" i="7"/>
  <c r="AS322" i="7"/>
  <c r="AT321" i="7"/>
  <c r="AS321" i="7"/>
  <c r="AT320" i="7"/>
  <c r="AS320" i="7"/>
  <c r="AT319" i="7"/>
  <c r="AS319" i="7"/>
  <c r="AT318" i="7"/>
  <c r="AS318" i="7"/>
  <c r="AT317" i="7"/>
  <c r="AS317" i="7"/>
  <c r="AT316" i="7"/>
  <c r="AS316" i="7"/>
  <c r="AT315" i="7"/>
  <c r="AS315" i="7"/>
  <c r="AT314" i="7"/>
  <c r="AS314" i="7"/>
  <c r="AT313" i="7"/>
  <c r="AS313" i="7"/>
  <c r="AT312" i="7"/>
  <c r="AS312" i="7"/>
  <c r="AT311" i="7"/>
  <c r="AS311" i="7"/>
  <c r="AT310" i="7"/>
  <c r="AS310" i="7"/>
  <c r="AT309" i="7"/>
  <c r="AS309" i="7"/>
  <c r="AT308" i="7"/>
  <c r="AS308" i="7"/>
  <c r="AT307" i="7"/>
  <c r="AS307" i="7"/>
  <c r="AT306" i="7"/>
  <c r="AS306" i="7"/>
  <c r="AT305" i="7"/>
  <c r="AS305" i="7"/>
  <c r="AT304" i="7"/>
  <c r="AS304" i="7"/>
  <c r="AT303" i="7"/>
  <c r="AS303" i="7"/>
  <c r="AT302" i="7"/>
  <c r="AS302" i="7"/>
  <c r="AT301" i="7"/>
  <c r="AS301" i="7"/>
  <c r="AT300" i="7"/>
  <c r="AS300" i="7"/>
  <c r="AT299" i="7"/>
  <c r="AS299" i="7"/>
  <c r="AT298" i="7"/>
  <c r="AS298" i="7"/>
  <c r="AT297" i="7"/>
  <c r="AS297" i="7"/>
  <c r="AT296" i="7"/>
  <c r="AS296" i="7"/>
  <c r="AT295" i="7"/>
  <c r="AS295" i="7"/>
  <c r="AT294" i="7"/>
  <c r="AS294" i="7"/>
  <c r="AT293" i="7"/>
  <c r="AS293" i="7"/>
  <c r="AT292" i="7"/>
  <c r="AS292" i="7"/>
  <c r="AT291" i="7"/>
  <c r="AS291" i="7"/>
  <c r="AT290" i="7"/>
  <c r="AS290" i="7"/>
  <c r="AT289" i="7"/>
  <c r="AS289" i="7"/>
  <c r="AT288" i="7"/>
  <c r="AS288" i="7"/>
  <c r="AT287" i="7"/>
  <c r="AS287" i="7"/>
  <c r="AT286" i="7"/>
  <c r="AS286" i="7"/>
  <c r="AT285" i="7"/>
  <c r="AS285" i="7"/>
  <c r="AT284" i="7"/>
  <c r="AS284" i="7"/>
  <c r="AT283" i="7"/>
  <c r="AS283" i="7"/>
  <c r="AT282" i="7"/>
  <c r="AS282" i="7"/>
  <c r="AT281" i="7"/>
  <c r="AS281" i="7"/>
  <c r="AT280" i="7"/>
  <c r="AS280" i="7"/>
  <c r="AT279" i="7"/>
  <c r="AS279" i="7"/>
  <c r="AT278" i="7"/>
  <c r="AS278" i="7"/>
  <c r="AT277" i="7"/>
  <c r="AS277" i="7"/>
  <c r="AT276" i="7"/>
  <c r="AS276" i="7"/>
  <c r="AT275" i="7"/>
  <c r="AS275" i="7"/>
  <c r="AT274" i="7"/>
  <c r="AS274" i="7"/>
  <c r="AT273" i="7"/>
  <c r="AS273" i="7"/>
  <c r="AT272" i="7"/>
  <c r="AS272" i="7"/>
  <c r="AT271" i="7"/>
  <c r="AS271" i="7"/>
  <c r="AT270" i="7"/>
  <c r="AS270" i="7"/>
  <c r="AT269" i="7"/>
  <c r="AS269" i="7"/>
  <c r="AT268" i="7"/>
  <c r="AS268" i="7"/>
  <c r="AT267" i="7"/>
  <c r="AS267" i="7"/>
  <c r="AT266" i="7"/>
  <c r="AS266" i="7"/>
  <c r="AT265" i="7"/>
  <c r="AS265" i="7"/>
  <c r="AT264" i="7"/>
  <c r="AS264" i="7"/>
  <c r="AT263" i="7"/>
  <c r="AS263" i="7"/>
  <c r="AT262" i="7"/>
  <c r="AS262" i="7"/>
  <c r="AT261" i="7"/>
  <c r="AS261" i="7"/>
  <c r="AT260" i="7"/>
  <c r="AS260" i="7"/>
  <c r="AT259" i="7"/>
  <c r="AS259" i="7"/>
  <c r="AT258" i="7"/>
  <c r="AS258" i="7"/>
  <c r="AT257" i="7"/>
  <c r="AS257" i="7"/>
  <c r="AT256" i="7"/>
  <c r="AS256" i="7"/>
  <c r="AT255" i="7"/>
  <c r="AS255" i="7"/>
  <c r="AT254" i="7"/>
  <c r="AS254" i="7"/>
  <c r="AT253" i="7"/>
  <c r="AS253" i="7"/>
  <c r="AT252" i="7"/>
  <c r="AS252" i="7"/>
  <c r="AT251" i="7"/>
  <c r="AS251" i="7"/>
  <c r="AT250" i="7"/>
  <c r="AS250" i="7"/>
  <c r="AT249" i="7"/>
  <c r="AS249" i="7"/>
  <c r="AT248" i="7"/>
  <c r="AS248" i="7"/>
  <c r="AT247" i="7"/>
  <c r="AS247" i="7"/>
  <c r="AT246" i="7"/>
  <c r="AS246" i="7"/>
  <c r="AT245" i="7"/>
  <c r="AS245" i="7"/>
  <c r="AT244" i="7"/>
  <c r="AS244" i="7"/>
  <c r="AT243" i="7"/>
  <c r="AS243" i="7"/>
  <c r="AT242" i="7"/>
  <c r="AS242" i="7"/>
  <c r="AT241" i="7"/>
  <c r="AS241" i="7"/>
  <c r="AT240" i="7"/>
  <c r="AS240" i="7"/>
  <c r="AT239" i="7"/>
  <c r="AS239" i="7"/>
  <c r="AT238" i="7"/>
  <c r="AS238" i="7"/>
  <c r="AT237" i="7"/>
  <c r="AS237" i="7"/>
  <c r="AT236" i="7"/>
  <c r="AS236" i="7"/>
  <c r="AT235" i="7"/>
  <c r="AS235" i="7"/>
  <c r="AT234" i="7"/>
  <c r="AS234" i="7"/>
  <c r="AT233" i="7"/>
  <c r="AS233" i="7"/>
  <c r="AT232" i="7"/>
  <c r="AS232" i="7"/>
  <c r="AT231" i="7"/>
  <c r="AS231" i="7"/>
  <c r="AT230" i="7"/>
  <c r="AS230" i="7"/>
  <c r="AT229" i="7"/>
  <c r="AS229" i="7"/>
  <c r="AT228" i="7"/>
  <c r="AS228" i="7"/>
  <c r="AT227" i="7"/>
  <c r="AS227" i="7"/>
  <c r="AT226" i="7"/>
  <c r="AS226" i="7"/>
  <c r="AT225" i="7"/>
  <c r="AS225" i="7"/>
  <c r="AT224" i="7"/>
  <c r="AS224" i="7"/>
  <c r="AT223" i="7"/>
  <c r="AS223" i="7"/>
  <c r="AT222" i="7"/>
  <c r="AS222" i="7"/>
  <c r="AT221" i="7"/>
  <c r="AS221" i="7"/>
  <c r="AT220" i="7"/>
  <c r="AS220" i="7"/>
  <c r="AT219" i="7"/>
  <c r="AS219" i="7"/>
  <c r="AT218" i="7"/>
  <c r="AS218" i="7"/>
  <c r="AT217" i="7"/>
  <c r="AS217" i="7"/>
  <c r="AT216" i="7"/>
  <c r="AS216" i="7"/>
  <c r="AT215" i="7"/>
  <c r="AS215" i="7"/>
  <c r="AT214" i="7"/>
  <c r="AS214" i="7"/>
  <c r="AT213" i="7"/>
  <c r="AS213" i="7"/>
  <c r="AT212" i="7"/>
  <c r="AS212" i="7"/>
  <c r="AT211" i="7"/>
  <c r="AS211" i="7"/>
  <c r="AT210" i="7"/>
  <c r="AS210" i="7"/>
  <c r="AT209" i="7"/>
  <c r="AS209" i="7"/>
  <c r="AT208" i="7"/>
  <c r="AS208" i="7"/>
  <c r="AT207" i="7"/>
  <c r="AS207" i="7"/>
  <c r="AT206" i="7"/>
  <c r="AS206" i="7"/>
  <c r="AT205" i="7"/>
  <c r="AS205" i="7"/>
  <c r="AT204" i="7"/>
  <c r="AS204" i="7"/>
  <c r="AT203" i="7"/>
  <c r="AS203" i="7"/>
  <c r="AT202" i="7"/>
  <c r="AS202" i="7"/>
  <c r="AT201" i="7"/>
  <c r="AS201" i="7"/>
  <c r="AT200" i="7"/>
  <c r="AS200" i="7"/>
  <c r="AT199" i="7"/>
  <c r="AS199" i="7"/>
  <c r="AT198" i="7"/>
  <c r="AS198" i="7"/>
  <c r="AT197" i="7"/>
  <c r="AS197" i="7"/>
  <c r="AT196" i="7"/>
  <c r="AS196" i="7"/>
  <c r="AT195" i="7"/>
  <c r="AS195" i="7"/>
  <c r="AT194" i="7"/>
  <c r="AS194" i="7"/>
  <c r="AT193" i="7"/>
  <c r="AS193" i="7"/>
  <c r="AT192" i="7"/>
  <c r="AS192" i="7"/>
  <c r="AT191" i="7"/>
  <c r="AS191" i="7"/>
  <c r="AT190" i="7"/>
  <c r="AS190" i="7"/>
  <c r="AT189" i="7"/>
  <c r="AS189" i="7"/>
  <c r="AT188" i="7"/>
  <c r="AS188" i="7"/>
  <c r="AT187" i="7"/>
  <c r="AS187" i="7"/>
  <c r="AT186" i="7"/>
  <c r="AS186" i="7"/>
  <c r="AT185" i="7"/>
  <c r="AS185" i="7"/>
  <c r="AT184" i="7"/>
  <c r="AS184" i="7"/>
  <c r="AT183" i="7"/>
  <c r="AS183" i="7"/>
  <c r="AT182" i="7"/>
  <c r="AS182" i="7"/>
  <c r="AT181" i="7"/>
  <c r="AS181" i="7"/>
  <c r="AT180" i="7"/>
  <c r="AS180" i="7"/>
  <c r="AT179" i="7"/>
  <c r="AS179" i="7"/>
  <c r="AT178" i="7"/>
  <c r="AS178" i="7"/>
  <c r="AT177" i="7"/>
  <c r="AS177" i="7"/>
  <c r="AT176" i="7"/>
  <c r="AS176" i="7"/>
  <c r="AT175" i="7"/>
  <c r="AS175" i="7"/>
  <c r="AT174" i="7"/>
  <c r="AS174" i="7"/>
  <c r="AT173" i="7"/>
  <c r="AS173" i="7"/>
  <c r="AT172" i="7"/>
  <c r="AS172" i="7"/>
  <c r="AT171" i="7"/>
  <c r="AS171" i="7"/>
  <c r="AT170" i="7"/>
  <c r="AS170" i="7"/>
  <c r="AT169" i="7"/>
  <c r="AS169" i="7"/>
  <c r="AT168" i="7"/>
  <c r="AS168" i="7"/>
  <c r="AT167" i="7"/>
  <c r="AS167" i="7"/>
  <c r="AT166" i="7"/>
  <c r="AS166" i="7"/>
  <c r="AT165" i="7"/>
  <c r="AS165" i="7"/>
  <c r="AT164" i="7"/>
  <c r="AS164" i="7"/>
  <c r="AT163" i="7"/>
  <c r="AS163" i="7"/>
  <c r="AT162" i="7"/>
  <c r="AS162" i="7"/>
  <c r="AT161" i="7"/>
  <c r="AS161" i="7"/>
  <c r="AT160" i="7"/>
  <c r="AS160" i="7"/>
  <c r="AT159" i="7"/>
  <c r="AS159" i="7"/>
  <c r="AT158" i="7"/>
  <c r="AS158" i="7"/>
  <c r="AT157" i="7"/>
  <c r="AS157" i="7"/>
  <c r="AT156" i="7"/>
  <c r="AS156" i="7"/>
  <c r="AT155" i="7"/>
  <c r="AS155" i="7"/>
  <c r="AT154" i="7"/>
  <c r="AS154" i="7"/>
  <c r="AT153" i="7"/>
  <c r="AS153" i="7"/>
  <c r="AT152" i="7"/>
  <c r="AS152" i="7"/>
  <c r="AT151" i="7"/>
  <c r="AS151" i="7"/>
  <c r="AT150" i="7"/>
  <c r="AS150" i="7"/>
  <c r="AT149" i="7"/>
  <c r="AS149" i="7"/>
  <c r="AT148" i="7"/>
  <c r="AS148" i="7"/>
  <c r="AT147" i="7"/>
  <c r="AS147" i="7"/>
  <c r="AT146" i="7"/>
  <c r="AS146" i="7"/>
  <c r="AT145" i="7"/>
  <c r="AS145" i="7"/>
  <c r="AT144" i="7"/>
  <c r="AS144" i="7"/>
  <c r="AT143" i="7"/>
  <c r="AS143" i="7"/>
  <c r="AT142" i="7"/>
  <c r="AS142" i="7"/>
  <c r="AT141" i="7"/>
  <c r="AS141" i="7"/>
  <c r="AT140" i="7"/>
  <c r="AS140" i="7"/>
  <c r="AT139" i="7"/>
  <c r="AS139" i="7"/>
  <c r="AT138" i="7"/>
  <c r="AS138" i="7"/>
  <c r="AT137" i="7"/>
  <c r="AS137" i="7"/>
  <c r="AT136" i="7"/>
  <c r="AS136" i="7"/>
  <c r="AT135" i="7"/>
  <c r="AS135" i="7"/>
  <c r="AT134" i="7"/>
  <c r="AS134" i="7"/>
  <c r="AT133" i="7"/>
  <c r="AS133" i="7"/>
  <c r="AT132" i="7"/>
  <c r="AS132" i="7"/>
  <c r="AT131" i="7"/>
  <c r="AS131" i="7"/>
  <c r="AT130" i="7"/>
  <c r="AS130" i="7"/>
  <c r="AT129" i="7"/>
  <c r="AS129" i="7"/>
  <c r="AT128" i="7"/>
  <c r="AS128" i="7"/>
  <c r="AT127" i="7"/>
  <c r="AS127" i="7"/>
  <c r="AT126" i="7"/>
  <c r="AS126" i="7"/>
  <c r="AT125" i="7"/>
  <c r="AS125" i="7"/>
  <c r="AT124" i="7"/>
  <c r="AS124" i="7"/>
  <c r="AT123" i="7"/>
  <c r="AS123" i="7"/>
  <c r="AT122" i="7"/>
  <c r="AS122" i="7"/>
  <c r="AT121" i="7"/>
  <c r="AS121" i="7"/>
  <c r="AT120" i="7"/>
  <c r="AS120" i="7"/>
  <c r="AT119" i="7"/>
  <c r="AS119" i="7"/>
  <c r="AT118" i="7"/>
  <c r="AS118" i="7"/>
  <c r="AT117" i="7"/>
  <c r="AS117" i="7"/>
  <c r="AT116" i="7"/>
  <c r="AS116" i="7"/>
  <c r="AT115" i="7"/>
  <c r="AS115" i="7"/>
  <c r="AT114" i="7"/>
  <c r="AS114" i="7"/>
  <c r="AT113" i="7"/>
  <c r="AS113" i="7"/>
  <c r="AT112" i="7"/>
  <c r="AS112" i="7"/>
  <c r="AT111" i="7"/>
  <c r="AS111" i="7"/>
  <c r="AT110" i="7"/>
  <c r="AS110" i="7"/>
  <c r="AT109" i="7"/>
  <c r="AS109" i="7"/>
  <c r="AT108" i="7"/>
  <c r="AS108" i="7"/>
  <c r="AT107" i="7"/>
  <c r="AS107" i="7"/>
  <c r="AT106" i="7"/>
  <c r="AS106" i="7"/>
  <c r="AT105" i="7"/>
  <c r="AS105" i="7"/>
  <c r="AT104" i="7"/>
  <c r="AS104" i="7"/>
  <c r="AT103" i="7"/>
  <c r="AS103" i="7"/>
  <c r="AT102" i="7"/>
  <c r="AS102" i="7"/>
  <c r="AT101" i="7"/>
  <c r="AS101" i="7"/>
  <c r="AT100" i="7"/>
  <c r="AS100" i="7"/>
  <c r="AT99" i="7"/>
  <c r="AS99" i="7"/>
  <c r="AT98" i="7"/>
  <c r="AS98" i="7"/>
  <c r="AT97" i="7"/>
  <c r="AS97" i="7"/>
  <c r="AT96" i="7"/>
  <c r="AS96" i="7"/>
  <c r="AT95" i="7"/>
  <c r="AS95" i="7"/>
  <c r="AT94" i="7"/>
  <c r="AS94" i="7"/>
  <c r="AT93" i="7"/>
  <c r="AS93" i="7"/>
  <c r="AT92" i="7"/>
  <c r="AS92" i="7"/>
  <c r="AT91" i="7"/>
  <c r="AS91" i="7"/>
  <c r="AT90" i="7"/>
  <c r="AS90" i="7"/>
  <c r="AT89" i="7"/>
  <c r="AS89" i="7"/>
  <c r="AT88" i="7"/>
  <c r="AS88" i="7"/>
  <c r="AT87" i="7"/>
  <c r="AS87" i="7"/>
  <c r="AT86" i="7"/>
  <c r="AS86" i="7"/>
  <c r="AT85" i="7"/>
  <c r="AS85" i="7"/>
  <c r="AT84" i="7"/>
  <c r="AS84" i="7"/>
  <c r="AT83" i="7"/>
  <c r="AS83" i="7"/>
  <c r="AT82" i="7"/>
  <c r="AS82" i="7"/>
  <c r="AT81" i="7"/>
  <c r="AS81" i="7"/>
  <c r="AT80" i="7"/>
  <c r="AS80" i="7"/>
  <c r="AT79" i="7"/>
  <c r="AS79" i="7"/>
  <c r="AT78" i="7"/>
  <c r="AS78" i="7"/>
  <c r="AT77" i="7"/>
  <c r="AS77" i="7"/>
  <c r="AT76" i="7"/>
  <c r="AS76" i="7"/>
  <c r="AT75" i="7"/>
  <c r="AS75" i="7"/>
  <c r="AT74" i="7"/>
  <c r="AS74" i="7"/>
  <c r="AT73" i="7"/>
  <c r="AS73" i="7"/>
  <c r="AT72" i="7"/>
  <c r="AS72" i="7"/>
  <c r="AT71" i="7"/>
  <c r="AS71" i="7"/>
  <c r="AT70" i="7"/>
  <c r="AS70" i="7"/>
  <c r="AT69" i="7"/>
  <c r="AS69" i="7"/>
  <c r="AT68" i="7"/>
  <c r="AS68" i="7"/>
  <c r="AT67" i="7"/>
  <c r="AS67" i="7"/>
  <c r="AT66" i="7"/>
  <c r="AS66" i="7"/>
  <c r="AT65" i="7"/>
  <c r="AS65" i="7"/>
  <c r="AT64" i="7"/>
  <c r="AS64" i="7"/>
  <c r="AT63" i="7"/>
  <c r="AS63" i="7"/>
  <c r="AT62" i="7"/>
  <c r="AS62" i="7"/>
  <c r="AT61" i="7"/>
  <c r="AS61" i="7"/>
  <c r="AT60" i="7"/>
  <c r="AS60" i="7"/>
  <c r="AT59" i="7"/>
  <c r="AS59" i="7"/>
  <c r="AT58" i="7"/>
  <c r="AS58" i="7"/>
  <c r="AT57" i="7"/>
  <c r="AS57" i="7"/>
  <c r="AT56" i="7"/>
  <c r="AS56" i="7"/>
  <c r="AT55" i="7"/>
  <c r="AS55" i="7"/>
  <c r="AT54" i="7"/>
  <c r="AS54" i="7"/>
  <c r="AT53" i="7"/>
  <c r="AS53" i="7"/>
  <c r="AT52" i="7"/>
  <c r="AS52" i="7"/>
  <c r="AT51" i="7"/>
  <c r="AS51" i="7"/>
  <c r="AT50" i="7"/>
  <c r="AS50" i="7"/>
  <c r="AT49" i="7"/>
  <c r="AS49" i="7"/>
  <c r="AT48" i="7"/>
  <c r="AS48" i="7"/>
  <c r="AT47" i="7"/>
  <c r="AS47" i="7"/>
  <c r="AT46" i="7"/>
  <c r="AS46" i="7"/>
  <c r="AT45" i="7"/>
  <c r="AS45" i="7"/>
  <c r="AT44" i="7"/>
  <c r="AS44" i="7"/>
  <c r="AT43" i="7"/>
  <c r="AS43" i="7"/>
  <c r="AT42" i="7"/>
  <c r="AS42" i="7"/>
  <c r="AT41" i="7"/>
  <c r="AS41" i="7"/>
  <c r="AT40" i="7"/>
  <c r="AS40" i="7"/>
  <c r="AT39" i="7"/>
  <c r="AS39" i="7"/>
  <c r="AT38" i="7"/>
  <c r="AS38" i="7"/>
  <c r="AT37" i="7"/>
  <c r="AS37" i="7"/>
  <c r="AT36" i="7"/>
  <c r="AS36" i="7"/>
  <c r="AT35" i="7"/>
  <c r="AS35" i="7"/>
  <c r="AT34" i="7"/>
  <c r="AS34" i="7"/>
  <c r="AT33" i="7"/>
  <c r="AS33" i="7"/>
  <c r="AT32" i="7"/>
  <c r="AS32" i="7"/>
  <c r="AT31" i="7"/>
  <c r="AS31" i="7"/>
  <c r="AT30" i="7"/>
  <c r="AS30" i="7"/>
  <c r="AT29" i="7"/>
  <c r="AS29" i="7"/>
  <c r="AT28" i="7"/>
  <c r="AS28" i="7"/>
  <c r="AT27" i="7"/>
  <c r="AS27" i="7"/>
  <c r="AT26" i="7"/>
  <c r="AS26" i="7"/>
  <c r="AT25" i="7"/>
  <c r="AS25" i="7"/>
  <c r="AT24" i="7"/>
  <c r="AS24" i="7"/>
  <c r="AT23" i="7"/>
  <c r="AS23" i="7"/>
  <c r="AT22" i="7"/>
  <c r="AS22" i="7"/>
  <c r="AT21" i="7"/>
  <c r="AS21" i="7"/>
  <c r="AT20" i="7"/>
  <c r="AS20" i="7"/>
  <c r="AT19" i="7"/>
  <c r="AS19" i="7"/>
  <c r="AT18" i="7"/>
  <c r="AS18" i="7"/>
  <c r="AT17" i="7"/>
  <c r="AS17" i="7"/>
  <c r="AT16" i="7"/>
  <c r="AS16" i="7"/>
  <c r="AT15" i="7"/>
  <c r="AS15" i="7"/>
  <c r="AT14" i="7"/>
  <c r="AS14" i="7"/>
  <c r="AT13" i="7"/>
  <c r="AS13" i="7"/>
  <c r="AT12" i="7"/>
  <c r="AS12" i="7"/>
  <c r="AT11" i="7"/>
  <c r="AS11" i="7"/>
  <c r="AT10" i="7"/>
  <c r="AS10" i="7"/>
  <c r="AT9" i="7"/>
  <c r="AS9" i="7"/>
  <c r="AT8" i="7"/>
  <c r="AS8" i="7"/>
  <c r="AT7" i="7"/>
  <c r="AS7" i="7"/>
  <c r="AT6" i="7"/>
  <c r="AS6" i="7"/>
  <c r="AT5" i="7"/>
  <c r="AS5" i="7"/>
  <c r="AT4" i="7"/>
  <c r="AS4" i="7"/>
</calcChain>
</file>

<file path=xl/sharedStrings.xml><?xml version="1.0" encoding="utf-8"?>
<sst xmlns="http://schemas.openxmlformats.org/spreadsheetml/2006/main" count="1261" uniqueCount="250">
  <si>
    <t>Domaines documentaires</t>
  </si>
  <si>
    <t>Collections</t>
  </si>
  <si>
    <t>Prêts</t>
  </si>
  <si>
    <t>Indicateurs prêts</t>
  </si>
  <si>
    <t>Emprunteurs</t>
  </si>
  <si>
    <t>Documents à disposition des publics</t>
  </si>
  <si>
    <t>Documents dans le circuit interne</t>
  </si>
  <si>
    <t>Acquisitions</t>
  </si>
  <si>
    <t>Eliminations</t>
  </si>
  <si>
    <t>Evolution nombre d'emprunteurs</t>
  </si>
  <si>
    <t>Âge des emprunteurs</t>
  </si>
  <si>
    <t>Fidélité des emprunteurs</t>
  </si>
  <si>
    <t>Ville des emprunteurs</t>
  </si>
  <si>
    <t>exemplaires</t>
  </si>
  <si>
    <t>exemplaires empruntables</t>
  </si>
  <si>
    <t>exemplaires consultables sur place uniquement</t>
  </si>
  <si>
    <t>exemplaires en acces libre</t>
  </si>
  <si>
    <t>exemplaires en acces indirect</t>
  </si>
  <si>
    <t>exemplaires en commande</t>
  </si>
  <si>
    <t>exemplaires en traitement</t>
  </si>
  <si>
    <t>exemplaires en abîmés</t>
  </si>
  <si>
    <t>exemplaires en réparation</t>
  </si>
  <si>
    <t>exemplaires en retrait</t>
  </si>
  <si>
    <t>exemplaires en reliure</t>
  </si>
  <si>
    <t>exemplaires perdus</t>
  </si>
  <si>
    <t>exemplaires non restitués</t>
  </si>
  <si>
    <t>exemplaires créés dans annee</t>
  </si>
  <si>
    <t>exemplaires éliminés</t>
  </si>
  <si>
    <t>exemplaires éliminés non restitués</t>
  </si>
  <si>
    <t>exemplaires éliminés perdus</t>
  </si>
  <si>
    <t>exemplaires éliminés abîmés</t>
  </si>
  <si>
    <t>exemplaires éliminés désherbés</t>
  </si>
  <si>
    <t>prets 2016</t>
  </si>
  <si>
    <t>exemplaires distincts prêtés 2016</t>
  </si>
  <si>
    <t>prets 2017</t>
  </si>
  <si>
    <t>exemplaires distincts prêtés 2017</t>
  </si>
  <si>
    <t>prets 2018</t>
  </si>
  <si>
    <t>exemplaires distincts prêtés 2018</t>
  </si>
  <si>
    <t>exemplaires empruntables pas empruntés 1 an</t>
  </si>
  <si>
    <t>exemplaires empruntables pas empruntés 3 ans</t>
  </si>
  <si>
    <t>exemplaires en pret</t>
  </si>
  <si>
    <t>Evolution prêts 2016-2017</t>
  </si>
  <si>
    <t>Evolution prêts 2016-2018</t>
  </si>
  <si>
    <t>Evolution prêts 2017-2018</t>
  </si>
  <si>
    <t>Evolution exemplaires distincts prêtés 2016-2017</t>
  </si>
  <si>
    <t>Evolution exemplaires distincts prêtés 2016-2018</t>
  </si>
  <si>
    <t>Evolution exemplaires distincts prêtés 2017-2018</t>
  </si>
  <si>
    <t>Taux de rotation</t>
  </si>
  <si>
    <t>Taux de fonds actif</t>
  </si>
  <si>
    <t>Part collection non empruntée depuis 3 ans</t>
  </si>
  <si>
    <t>Taux de sortie</t>
  </si>
  <si>
    <t>Taux de non restitués</t>
  </si>
  <si>
    <t>emprunteurs distincts 2016</t>
  </si>
  <si>
    <t>emprunteurs distincts 2017</t>
  </si>
  <si>
    <t>emprunteurs distincts 2018</t>
  </si>
  <si>
    <t>Evolution emprunteurs distincts 2016-2017</t>
  </si>
  <si>
    <t>Evolution emprunteurs distincts 2016-2018</t>
  </si>
  <si>
    <t>Evolution emprunteurs distincts 2017-2018</t>
  </si>
  <si>
    <t>age median</t>
  </si>
  <si>
    <t>age median emprunteurs distincts</t>
  </si>
  <si>
    <t>fidelite mediane</t>
  </si>
  <si>
    <t>fidelite mediane emprunteurs distincts</t>
  </si>
  <si>
    <t>taux d'emprunts roubaisiens</t>
  </si>
  <si>
    <t>taux d'emprunteurs distincts roubaisiens</t>
  </si>
  <si>
    <t>Jeunesse</t>
  </si>
  <si>
    <t>Albums</t>
  </si>
  <si>
    <t>Albums en langue étrangère</t>
  </si>
  <si>
    <t>Documentaire</t>
  </si>
  <si>
    <t>Livre</t>
  </si>
  <si>
    <t>Fiction</t>
  </si>
  <si>
    <t>Albums petits enfants</t>
  </si>
  <si>
    <t>Albums pour enfants</t>
  </si>
  <si>
    <t>Comptines</t>
  </si>
  <si>
    <t>Contes pour enfants</t>
  </si>
  <si>
    <t>Contes pour petits enfants</t>
  </si>
  <si>
    <t>Eveil</t>
  </si>
  <si>
    <t>Imagiers petits enfants</t>
  </si>
  <si>
    <t>Livres précieux</t>
  </si>
  <si>
    <t>Bandes dessinées</t>
  </si>
  <si>
    <t>Bandes dessinées enfants</t>
  </si>
  <si>
    <t>Documentaires</t>
  </si>
  <si>
    <t>Activités manuelles / Arts (enfants)</t>
  </si>
  <si>
    <t>Disque compact</t>
  </si>
  <si>
    <t>Documentaires pour petits enfants</t>
  </si>
  <si>
    <t>Géographie / Histoire (enfants)</t>
  </si>
  <si>
    <t>Informatique / Culture générale (enfants)</t>
  </si>
  <si>
    <t>Langues (enfants)</t>
  </si>
  <si>
    <t>Littérature (enfants)</t>
  </si>
  <si>
    <t>Ouvrages pour classes patrimoine</t>
  </si>
  <si>
    <t>Philosophie (enfants)</t>
  </si>
  <si>
    <t>Religions (enfants)</t>
  </si>
  <si>
    <t>Santé / Cuisine / Jeux et sports (enfants)</t>
  </si>
  <si>
    <t>Sciences / Animaux (enfants)</t>
  </si>
  <si>
    <t>Société (enfants)</t>
  </si>
  <si>
    <t>Poésie</t>
  </si>
  <si>
    <t>Romans</t>
  </si>
  <si>
    <t>Premiers romans</t>
  </si>
  <si>
    <t>DVD</t>
  </si>
  <si>
    <t>Romans policiers pour enfants</t>
  </si>
  <si>
    <t>Romans pour enfants</t>
  </si>
  <si>
    <t>Science-fiction</t>
  </si>
  <si>
    <t>Théâtre</t>
  </si>
  <si>
    <t>Total général</t>
  </si>
  <si>
    <t>nombre d'emprunts pour emprunteurs roubaisiens</t>
  </si>
  <si>
    <t>nombre d'emprunts pour emprunteurs totaux</t>
  </si>
  <si>
    <t>nombre d'emprunteurs distincts roubaisiens</t>
  </si>
  <si>
    <t>nombre d'emprunteurs distincts totaux</t>
  </si>
  <si>
    <t>collection_lib1</t>
  </si>
  <si>
    <t>collection_lib2</t>
  </si>
  <si>
    <t>collection_lib3</t>
  </si>
  <si>
    <t>collection_lib4</t>
  </si>
  <si>
    <t>support</t>
  </si>
  <si>
    <t>Adultes</t>
  </si>
  <si>
    <t>Arts, création, vie pratique</t>
  </si>
  <si>
    <t>Vie pratique et loisirs</t>
  </si>
  <si>
    <t>Cuisine et bricolage</t>
  </si>
  <si>
    <t>Périodiques</t>
  </si>
  <si>
    <t>Géographie</t>
  </si>
  <si>
    <t>Parentalité</t>
  </si>
  <si>
    <t>Presse masculine / féminine</t>
  </si>
  <si>
    <t>Psychologie</t>
  </si>
  <si>
    <t>Sports et loisirs</t>
  </si>
  <si>
    <t>Comprendre et se former</t>
  </si>
  <si>
    <t>Presse d'actualité</t>
  </si>
  <si>
    <t>Sciences et technologies</t>
  </si>
  <si>
    <t>Littératures</t>
  </si>
  <si>
    <t>Lire autrement</t>
  </si>
  <si>
    <t>Livres large vision</t>
  </si>
  <si>
    <t>Livre en gros caractères</t>
  </si>
  <si>
    <t>Littérature de genre</t>
  </si>
  <si>
    <t>Romans policiers</t>
  </si>
  <si>
    <t>Romans sentimentaux</t>
  </si>
  <si>
    <t>Romans (adolescents)</t>
  </si>
  <si>
    <t>Comics</t>
  </si>
  <si>
    <t>Mangas</t>
  </si>
  <si>
    <t>Premières BD</t>
  </si>
  <si>
    <t>Séries</t>
  </si>
  <si>
    <t>Cinéma</t>
  </si>
  <si>
    <t>Dessins animés</t>
  </si>
  <si>
    <t>Enfants</t>
  </si>
  <si>
    <t>Petite enfance</t>
  </si>
  <si>
    <t>Films</t>
  </si>
  <si>
    <t>A partir de 6 ans</t>
  </si>
  <si>
    <t>A partir de 9 ans</t>
  </si>
  <si>
    <t>Presse</t>
  </si>
  <si>
    <t>Analyse prêts</t>
  </si>
  <si>
    <t>Arts et loisirs créatifs</t>
  </si>
  <si>
    <t>Arts</t>
  </si>
  <si>
    <t>Périodique</t>
  </si>
  <si>
    <t>Loisirs créatifs</t>
  </si>
  <si>
    <t>Bande dessinées</t>
  </si>
  <si>
    <t>Bande dessinée</t>
  </si>
  <si>
    <t>Bande dessinée (documentaires)</t>
  </si>
  <si>
    <t>Bande dessinée : Comics</t>
  </si>
  <si>
    <t>Bande dessinée : Mangas</t>
  </si>
  <si>
    <t>Bande dessinée en série</t>
  </si>
  <si>
    <t>Bande dessinée érotique</t>
  </si>
  <si>
    <t>Cinéma, télévision et séries TV</t>
  </si>
  <si>
    <t>Documentaires sur le cinéma et la télévision</t>
  </si>
  <si>
    <t>Séries TV</t>
  </si>
  <si>
    <t>Création graphique et vidéo, cinéma d'animation</t>
  </si>
  <si>
    <t>Dessin animé</t>
  </si>
  <si>
    <t>Dessin animé (documentaires)</t>
  </si>
  <si>
    <t>Documentaires sur les jeux vidéo et la culture geek</t>
  </si>
  <si>
    <t>Faune et flore</t>
  </si>
  <si>
    <t>Carte routière</t>
  </si>
  <si>
    <t>Humour</t>
  </si>
  <si>
    <t>Médecine et santé</t>
  </si>
  <si>
    <t>Bibliothèque professionnelle</t>
  </si>
  <si>
    <t>Français et FLE</t>
  </si>
  <si>
    <t>Méthode de langue</t>
  </si>
  <si>
    <t>Histoire</t>
  </si>
  <si>
    <t>Informatique</t>
  </si>
  <si>
    <t>Langues étrangères</t>
  </si>
  <si>
    <t>Livre audio</t>
  </si>
  <si>
    <t>Philosophie</t>
  </si>
  <si>
    <t>Presse ados</t>
  </si>
  <si>
    <t>Religions</t>
  </si>
  <si>
    <t>Réussir</t>
  </si>
  <si>
    <t>Sciences sociales</t>
  </si>
  <si>
    <t>Usuels (salle d'étude)</t>
  </si>
  <si>
    <t>CD-ROM</t>
  </si>
  <si>
    <t>Divers</t>
  </si>
  <si>
    <t>Courts récits</t>
  </si>
  <si>
    <t>Contes</t>
  </si>
  <si>
    <t>Nouvelles</t>
  </si>
  <si>
    <t>Livres audio</t>
  </si>
  <si>
    <t>Littérature (documentaires)</t>
  </si>
  <si>
    <t>Fantasy</t>
  </si>
  <si>
    <t>Romans de terroir</t>
  </si>
  <si>
    <t>Romans historiques</t>
  </si>
  <si>
    <t>Science - fiction</t>
  </si>
  <si>
    <t>Textes littéraires</t>
  </si>
  <si>
    <t>Musique et arts vivants</t>
  </si>
  <si>
    <t>Arts vivants</t>
  </si>
  <si>
    <t>Arts du spectacle</t>
  </si>
  <si>
    <t>Arts du spectacle (documentaire)</t>
  </si>
  <si>
    <t>Théâtre (captations)</t>
  </si>
  <si>
    <t>Théâtre (documentaires)</t>
  </si>
  <si>
    <t>Théâtre (textes)</t>
  </si>
  <si>
    <t>Musique</t>
  </si>
  <si>
    <t>Blues et Gospel</t>
  </si>
  <si>
    <t>Chanson francophone</t>
  </si>
  <si>
    <t>Disque microsillon</t>
  </si>
  <si>
    <t>Jazz</t>
  </si>
  <si>
    <t>Métal</t>
  </si>
  <si>
    <t>Musique classique</t>
  </si>
  <si>
    <t>Musique contemporaine</t>
  </si>
  <si>
    <t>Musique d'ambiance</t>
  </si>
  <si>
    <t>Musique de films</t>
  </si>
  <si>
    <t>Musique Généralités</t>
  </si>
  <si>
    <t>Rap</t>
  </si>
  <si>
    <t>Reggae</t>
  </si>
  <si>
    <t>Rock</t>
  </si>
  <si>
    <t>Soul</t>
  </si>
  <si>
    <t>Techno</t>
  </si>
  <si>
    <t>Variétés</t>
  </si>
  <si>
    <t>World</t>
  </si>
  <si>
    <t>Hors ccode</t>
  </si>
  <si>
    <t>Disque gomme-laque</t>
  </si>
  <si>
    <t>Cassette audio</t>
  </si>
  <si>
    <t>Partition</t>
  </si>
  <si>
    <t>Roubaix et sa région</t>
  </si>
  <si>
    <t>Films autour de Roubaix et sa région</t>
  </si>
  <si>
    <t>Fonds local régional sonore empruntable</t>
  </si>
  <si>
    <t>Région</t>
  </si>
  <si>
    <t>Roubaix</t>
  </si>
  <si>
    <t>Contes en livre sonore</t>
  </si>
  <si>
    <t>Classiques</t>
  </si>
  <si>
    <t>Fonds didactique</t>
  </si>
  <si>
    <t>Romans en livre sonore</t>
  </si>
  <si>
    <t>Patrimoine</t>
  </si>
  <si>
    <t>Patrimoine audiovisuel</t>
  </si>
  <si>
    <t>Fonds local image</t>
  </si>
  <si>
    <t>VI</t>
  </si>
  <si>
    <t>Patrimoine écrit</t>
  </si>
  <si>
    <t>Patrimoine écrit - legs Destombes</t>
  </si>
  <si>
    <t>Patrimoine musical imprimé</t>
  </si>
  <si>
    <t>Périodiques patrimoniaux</t>
  </si>
  <si>
    <t>Patrimoine enregistré</t>
  </si>
  <si>
    <t>Collection Patrice Desdoit</t>
  </si>
  <si>
    <t>Fonds local régional sonore</t>
  </si>
  <si>
    <t>Patrimoine iconographique</t>
  </si>
  <si>
    <t>Document iconographique</t>
  </si>
  <si>
    <t>LG</t>
  </si>
  <si>
    <t>VHS, UMATIC ou film</t>
  </si>
  <si>
    <t>Taux d'accroissement</t>
  </si>
  <si>
    <t>Indicateurs collections</t>
  </si>
  <si>
    <t>Taux renouvellement</t>
  </si>
  <si>
    <t>Taux de renouvellement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</si>
</sst>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Liberation Sans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Alignment="0">
      <alignment horizontal="center" vertical="center" wrapText="1"/>
    </xf>
  </cellStyleXfs>
  <cellXfs count="293">
    <xf numFmtId="0" fontId="0" fillId="0" borderId="0" xfId="0"/>
    <xf numFmtId="0" fontId="2" fillId="2" borderId="1" xfId="1" applyBorder="1"/>
    <xf numFmtId="0" fontId="2" fillId="2" borderId="2" xfId="1" applyBorder="1"/>
    <xf numFmtId="0" fontId="2" fillId="2" borderId="3" xfId="1" applyBorder="1"/>
    <xf numFmtId="0" fontId="2" fillId="2" borderId="9" xfId="1" applyBorder="1"/>
    <xf numFmtId="164" fontId="2" fillId="2" borderId="2" xfId="1" applyNumberFormat="1" applyBorder="1"/>
    <xf numFmtId="165" fontId="2" fillId="2" borderId="2" xfId="1" applyNumberFormat="1" applyBorder="1"/>
    <xf numFmtId="164" fontId="2" fillId="2" borderId="3" xfId="1" applyNumberFormat="1" applyBorder="1"/>
    <xf numFmtId="0" fontId="2" fillId="5" borderId="7" xfId="4" applyBorder="1"/>
    <xf numFmtId="0" fontId="2" fillId="5" borderId="0" xfId="4" applyBorder="1"/>
    <xf numFmtId="0" fontId="2" fillId="5" borderId="8" xfId="4" applyBorder="1"/>
    <xf numFmtId="0" fontId="2" fillId="5" borderId="15" xfId="4" applyBorder="1"/>
    <xf numFmtId="164" fontId="2" fillId="5" borderId="0" xfId="4" applyNumberFormat="1" applyBorder="1"/>
    <xf numFmtId="165" fontId="2" fillId="5" borderId="0" xfId="4" applyNumberFormat="1" applyBorder="1"/>
    <xf numFmtId="164" fontId="2" fillId="5" borderId="8" xfId="4" applyNumberFormat="1" applyBorder="1"/>
    <xf numFmtId="0" fontId="1" fillId="4" borderId="7" xfId="3" applyBorder="1"/>
    <xf numFmtId="0" fontId="1" fillId="4" borderId="0" xfId="3" applyBorder="1"/>
    <xf numFmtId="0" fontId="1" fillId="4" borderId="8" xfId="3" applyBorder="1"/>
    <xf numFmtId="0" fontId="1" fillId="4" borderId="15" xfId="3" applyBorder="1"/>
    <xf numFmtId="164" fontId="1" fillId="4" borderId="0" xfId="3" applyNumberFormat="1" applyBorder="1"/>
    <xf numFmtId="165" fontId="1" fillId="4" borderId="0" xfId="3" applyNumberFormat="1" applyBorder="1"/>
    <xf numFmtId="164" fontId="1" fillId="4" borderId="8" xfId="3" applyNumberFormat="1" applyBorder="1"/>
    <xf numFmtId="0" fontId="1" fillId="3" borderId="7" xfId="2" applyBorder="1"/>
    <xf numFmtId="0" fontId="1" fillId="3" borderId="0" xfId="2" applyBorder="1"/>
    <xf numFmtId="0" fontId="1" fillId="3" borderId="8" xfId="2" applyBorder="1"/>
    <xf numFmtId="0" fontId="1" fillId="3" borderId="15" xfId="2" applyBorder="1"/>
    <xf numFmtId="164" fontId="1" fillId="3" borderId="0" xfId="2" applyNumberFormat="1" applyBorder="1"/>
    <xf numFmtId="165" fontId="1" fillId="3" borderId="0" xfId="2" applyNumberFormat="1" applyBorder="1"/>
    <xf numFmtId="164" fontId="1" fillId="3" borderId="8" xfId="2" applyNumberForma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15" xfId="0" applyBorder="1"/>
    <xf numFmtId="164" fontId="0" fillId="0" borderId="0" xfId="0" applyNumberFormat="1" applyBorder="1"/>
    <xf numFmtId="165" fontId="0" fillId="0" borderId="0" xfId="0" applyNumberFormat="1" applyBorder="1"/>
    <xf numFmtId="164" fontId="0" fillId="0" borderId="8" xfId="0" applyNumberFormat="1" applyBorder="1"/>
    <xf numFmtId="0" fontId="0" fillId="4" borderId="7" xfId="3" applyFont="1" applyBorder="1"/>
    <xf numFmtId="0" fontId="2" fillId="2" borderId="13" xfId="1" applyBorder="1"/>
    <xf numFmtId="0" fontId="2" fillId="2" borderId="11" xfId="1" applyBorder="1"/>
    <xf numFmtId="0" fontId="2" fillId="2" borderId="12" xfId="1" applyBorder="1"/>
    <xf numFmtId="0" fontId="2" fillId="2" borderId="14" xfId="1" applyBorder="1"/>
    <xf numFmtId="164" fontId="2" fillId="2" borderId="11" xfId="1" applyNumberFormat="1" applyBorder="1"/>
    <xf numFmtId="165" fontId="2" fillId="2" borderId="11" xfId="1" applyNumberFormat="1" applyBorder="1"/>
    <xf numFmtId="164" fontId="2" fillId="2" borderId="12" xfId="1" applyNumberFormat="1" applyBorder="1"/>
    <xf numFmtId="0" fontId="2" fillId="2" borderId="3" xfId="1" applyBorder="1" applyAlignment="1">
      <alignment horizontal="right"/>
    </xf>
    <xf numFmtId="164" fontId="2" fillId="2" borderId="1" xfId="1" applyNumberFormat="1" applyBorder="1" applyAlignment="1">
      <alignment horizontal="right"/>
    </xf>
    <xf numFmtId="164" fontId="2" fillId="2" borderId="2" xfId="1" applyNumberFormat="1" applyBorder="1" applyAlignment="1">
      <alignment horizontal="right"/>
    </xf>
    <xf numFmtId="164" fontId="2" fillId="2" borderId="3" xfId="1" applyNumberFormat="1" applyBorder="1" applyAlignment="1">
      <alignment horizontal="right"/>
    </xf>
    <xf numFmtId="0" fontId="2" fillId="2" borderId="1" xfId="1" applyBorder="1" applyAlignment="1">
      <alignment horizontal="right"/>
    </xf>
    <xf numFmtId="0" fontId="2" fillId="2" borderId="2" xfId="1" applyBorder="1" applyAlignment="1">
      <alignment horizontal="right"/>
    </xf>
    <xf numFmtId="0" fontId="2" fillId="5" borderId="8" xfId="4" applyBorder="1" applyAlignment="1">
      <alignment horizontal="right"/>
    </xf>
    <xf numFmtId="164" fontId="2" fillId="5" borderId="7" xfId="4" applyNumberFormat="1" applyBorder="1" applyAlignment="1">
      <alignment horizontal="right"/>
    </xf>
    <xf numFmtId="164" fontId="2" fillId="5" borderId="0" xfId="4" applyNumberFormat="1" applyBorder="1" applyAlignment="1">
      <alignment horizontal="right"/>
    </xf>
    <xf numFmtId="164" fontId="2" fillId="5" borderId="8" xfId="4" applyNumberFormat="1" applyBorder="1" applyAlignment="1">
      <alignment horizontal="right"/>
    </xf>
    <xf numFmtId="0" fontId="2" fillId="5" borderId="7" xfId="4" applyBorder="1" applyAlignment="1">
      <alignment horizontal="right"/>
    </xf>
    <xf numFmtId="0" fontId="2" fillId="5" borderId="0" xfId="4" applyBorder="1" applyAlignment="1">
      <alignment horizontal="right"/>
    </xf>
    <xf numFmtId="0" fontId="1" fillId="4" borderId="8" xfId="3" applyBorder="1" applyAlignment="1">
      <alignment horizontal="right"/>
    </xf>
    <xf numFmtId="164" fontId="1" fillId="4" borderId="7" xfId="3" applyNumberFormat="1" applyBorder="1" applyAlignment="1">
      <alignment horizontal="right"/>
    </xf>
    <xf numFmtId="164" fontId="1" fillId="4" borderId="0" xfId="3" applyNumberFormat="1" applyBorder="1" applyAlignment="1">
      <alignment horizontal="right"/>
    </xf>
    <xf numFmtId="164" fontId="1" fillId="4" borderId="8" xfId="3" applyNumberFormat="1" applyBorder="1" applyAlignment="1">
      <alignment horizontal="right"/>
    </xf>
    <xf numFmtId="0" fontId="1" fillId="4" borderId="7" xfId="3" applyBorder="1" applyAlignment="1">
      <alignment horizontal="right"/>
    </xf>
    <xf numFmtId="0" fontId="1" fillId="4" borderId="0" xfId="3" applyBorder="1" applyAlignment="1">
      <alignment horizontal="right"/>
    </xf>
    <xf numFmtId="0" fontId="1" fillId="3" borderId="8" xfId="2" applyBorder="1" applyAlignment="1">
      <alignment horizontal="right"/>
    </xf>
    <xf numFmtId="164" fontId="1" fillId="3" borderId="7" xfId="2" applyNumberFormat="1" applyBorder="1" applyAlignment="1">
      <alignment horizontal="right"/>
    </xf>
    <xf numFmtId="164" fontId="1" fillId="3" borderId="0" xfId="2" applyNumberFormat="1" applyBorder="1" applyAlignment="1">
      <alignment horizontal="right"/>
    </xf>
    <xf numFmtId="164" fontId="1" fillId="3" borderId="8" xfId="2" applyNumberFormat="1" applyBorder="1" applyAlignment="1">
      <alignment horizontal="right"/>
    </xf>
    <xf numFmtId="0" fontId="1" fillId="3" borderId="7" xfId="2" applyBorder="1" applyAlignment="1">
      <alignment horizontal="right"/>
    </xf>
    <xf numFmtId="0" fontId="1" fillId="3" borderId="0" xfId="2" applyBorder="1" applyAlignment="1">
      <alignment horizontal="right"/>
    </xf>
    <xf numFmtId="0" fontId="3" fillId="0" borderId="8" xfId="0" applyFont="1" applyBorder="1" applyAlignment="1">
      <alignment horizontal="right"/>
    </xf>
    <xf numFmtId="164" fontId="3" fillId="0" borderId="7" xfId="0" applyNumberFormat="1" applyFont="1" applyBorder="1" applyAlignment="1">
      <alignment horizontal="right"/>
    </xf>
    <xf numFmtId="164" fontId="3" fillId="0" borderId="0" xfId="0" applyNumberFormat="1" applyFont="1" applyBorder="1" applyAlignment="1">
      <alignment horizontal="right"/>
    </xf>
    <xf numFmtId="164" fontId="3" fillId="0" borderId="8" xfId="0" applyNumberFormat="1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2" fillId="2" borderId="8" xfId="1" applyBorder="1" applyAlignment="1">
      <alignment horizontal="right"/>
    </xf>
    <xf numFmtId="164" fontId="2" fillId="2" borderId="7" xfId="1" applyNumberFormat="1" applyBorder="1" applyAlignment="1">
      <alignment horizontal="right"/>
    </xf>
    <xf numFmtId="164" fontId="2" fillId="2" borderId="0" xfId="1" applyNumberFormat="1" applyBorder="1" applyAlignment="1">
      <alignment horizontal="right"/>
    </xf>
    <xf numFmtId="164" fontId="2" fillId="2" borderId="8" xfId="1" applyNumberFormat="1" applyBorder="1" applyAlignment="1">
      <alignment horizontal="right"/>
    </xf>
    <xf numFmtId="0" fontId="2" fillId="2" borderId="7" xfId="1" applyBorder="1" applyAlignment="1">
      <alignment horizontal="right"/>
    </xf>
    <xf numFmtId="0" fontId="2" fillId="2" borderId="0" xfId="1" applyBorder="1" applyAlignment="1">
      <alignment horizontal="right"/>
    </xf>
    <xf numFmtId="164" fontId="2" fillId="2" borderId="13" xfId="1" applyNumberFormat="1" applyBorder="1" applyAlignment="1">
      <alignment horizontal="right"/>
    </xf>
    <xf numFmtId="164" fontId="2" fillId="2" borderId="11" xfId="1" applyNumberFormat="1" applyBorder="1" applyAlignment="1">
      <alignment horizontal="right"/>
    </xf>
    <xf numFmtId="164" fontId="2" fillId="2" borderId="12" xfId="1" applyNumberFormat="1" applyBorder="1" applyAlignment="1">
      <alignment horizontal="right"/>
    </xf>
    <xf numFmtId="0" fontId="2" fillId="2" borderId="9" xfId="1" applyBorder="1" applyAlignment="1">
      <alignment horizontal="right"/>
    </xf>
    <xf numFmtId="165" fontId="2" fillId="2" borderId="2" xfId="1" applyNumberFormat="1" applyBorder="1" applyAlignment="1">
      <alignment horizontal="right"/>
    </xf>
    <xf numFmtId="0" fontId="2" fillId="5" borderId="15" xfId="4" applyBorder="1" applyAlignment="1">
      <alignment horizontal="right"/>
    </xf>
    <xf numFmtId="165" fontId="2" fillId="5" borderId="0" xfId="4" applyNumberFormat="1" applyBorder="1" applyAlignment="1">
      <alignment horizontal="right"/>
    </xf>
    <xf numFmtId="0" fontId="1" fillId="4" borderId="15" xfId="3" applyBorder="1" applyAlignment="1">
      <alignment horizontal="right"/>
    </xf>
    <xf numFmtId="165" fontId="1" fillId="4" borderId="0" xfId="3" applyNumberFormat="1" applyBorder="1" applyAlignment="1">
      <alignment horizontal="right"/>
    </xf>
    <xf numFmtId="0" fontId="1" fillId="3" borderId="15" xfId="2" applyBorder="1" applyAlignment="1">
      <alignment horizontal="right"/>
    </xf>
    <xf numFmtId="165" fontId="1" fillId="3" borderId="0" xfId="2" applyNumberFormat="1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15" xfId="0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0" xfId="0" applyNumberFormat="1" applyBorder="1" applyAlignment="1">
      <alignment horizontal="right"/>
    </xf>
    <xf numFmtId="165" fontId="0" fillId="0" borderId="0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0" fontId="2" fillId="2" borderId="15" xfId="1" applyBorder="1" applyAlignment="1">
      <alignment horizontal="right"/>
    </xf>
    <xf numFmtId="165" fontId="2" fillId="2" borderId="0" xfId="1" applyNumberFormat="1" applyBorder="1" applyAlignment="1">
      <alignment horizontal="right"/>
    </xf>
    <xf numFmtId="0" fontId="2" fillId="2" borderId="13" xfId="1" applyBorder="1" applyAlignment="1">
      <alignment horizontal="right"/>
    </xf>
    <xf numFmtId="0" fontId="2" fillId="2" borderId="11" xfId="1" applyBorder="1" applyAlignment="1">
      <alignment horizontal="right"/>
    </xf>
    <xf numFmtId="0" fontId="2" fillId="2" borderId="12" xfId="1" applyBorder="1" applyAlignment="1">
      <alignment horizontal="right"/>
    </xf>
    <xf numFmtId="0" fontId="2" fillId="2" borderId="14" xfId="1" applyBorder="1" applyAlignment="1">
      <alignment horizontal="right"/>
    </xf>
    <xf numFmtId="165" fontId="2" fillId="2" borderId="11" xfId="1" applyNumberFormat="1" applyBorder="1" applyAlignment="1">
      <alignment horizontal="right"/>
    </xf>
    <xf numFmtId="0" fontId="0" fillId="0" borderId="0" xfId="0" applyAlignment="1">
      <alignment horizontal="center"/>
    </xf>
    <xf numFmtId="0" fontId="2" fillId="2" borderId="1" xfId="1" applyBorder="1" applyAlignment="1">
      <alignment horizontal="left" vertical="center"/>
    </xf>
    <xf numFmtId="0" fontId="2" fillId="2" borderId="2" xfId="1" applyBorder="1" applyAlignment="1">
      <alignment horizontal="left" vertical="center"/>
    </xf>
    <xf numFmtId="0" fontId="2" fillId="2" borderId="3" xfId="1" applyBorder="1" applyAlignment="1">
      <alignment horizontal="left" vertical="center"/>
    </xf>
    <xf numFmtId="0" fontId="2" fillId="5" borderId="7" xfId="4" applyBorder="1" applyAlignment="1">
      <alignment horizontal="left" vertical="center"/>
    </xf>
    <xf numFmtId="0" fontId="2" fillId="5" borderId="0" xfId="4" applyBorder="1" applyAlignment="1">
      <alignment horizontal="left" vertical="center"/>
    </xf>
    <xf numFmtId="0" fontId="2" fillId="5" borderId="8" xfId="4" applyBorder="1" applyAlignment="1">
      <alignment horizontal="left" vertical="center"/>
    </xf>
    <xf numFmtId="0" fontId="1" fillId="4" borderId="7" xfId="3" applyBorder="1" applyAlignment="1">
      <alignment horizontal="left" vertical="center"/>
    </xf>
    <xf numFmtId="0" fontId="1" fillId="4" borderId="0" xfId="3" applyBorder="1" applyAlignment="1">
      <alignment horizontal="left" vertical="center"/>
    </xf>
    <xf numFmtId="0" fontId="1" fillId="4" borderId="8" xfId="3" applyBorder="1" applyAlignment="1">
      <alignment horizontal="left" vertical="center"/>
    </xf>
    <xf numFmtId="0" fontId="1" fillId="3" borderId="7" xfId="2" applyBorder="1" applyAlignment="1">
      <alignment horizontal="left" vertical="center"/>
    </xf>
    <xf numFmtId="0" fontId="1" fillId="3" borderId="0" xfId="2" applyBorder="1" applyAlignment="1">
      <alignment horizontal="left" vertical="center"/>
    </xf>
    <xf numFmtId="0" fontId="1" fillId="3" borderId="8" xfId="2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2" fillId="2" borderId="7" xfId="1" applyBorder="1" applyAlignment="1">
      <alignment horizontal="left" vertical="center"/>
    </xf>
    <xf numFmtId="0" fontId="2" fillId="2" borderId="0" xfId="1" applyBorder="1" applyAlignment="1">
      <alignment horizontal="left" vertical="center"/>
    </xf>
    <xf numFmtId="0" fontId="2" fillId="2" borderId="8" xfId="1" applyBorder="1" applyAlignment="1">
      <alignment horizontal="left" vertical="center"/>
    </xf>
    <xf numFmtId="0" fontId="2" fillId="2" borderId="13" xfId="1" applyBorder="1" applyAlignment="1">
      <alignment horizontal="left" vertical="center"/>
    </xf>
    <xf numFmtId="0" fontId="2" fillId="2" borderId="11" xfId="1" applyBorder="1" applyAlignment="1">
      <alignment horizontal="left" vertical="center"/>
    </xf>
    <xf numFmtId="0" fontId="2" fillId="2" borderId="12" xfId="1" applyBorder="1" applyAlignment="1">
      <alignment horizontal="left" vertical="center"/>
    </xf>
    <xf numFmtId="0" fontId="2" fillId="2" borderId="0" xfId="1"/>
    <xf numFmtId="164" fontId="2" fillId="2" borderId="1" xfId="1" applyNumberFormat="1" applyBorder="1"/>
    <xf numFmtId="0" fontId="2" fillId="5" borderId="0" xfId="4"/>
    <xf numFmtId="164" fontId="2" fillId="5" borderId="7" xfId="4" applyNumberFormat="1" applyBorder="1"/>
    <xf numFmtId="0" fontId="1" fillId="4" borderId="0" xfId="3"/>
    <xf numFmtId="164" fontId="1" fillId="4" borderId="7" xfId="3" applyNumberFormat="1" applyBorder="1"/>
    <xf numFmtId="0" fontId="1" fillId="3" borderId="0" xfId="2"/>
    <xf numFmtId="164" fontId="1" fillId="3" borderId="7" xfId="2" applyNumberFormat="1" applyBorder="1"/>
    <xf numFmtId="164" fontId="0" fillId="0" borderId="7" xfId="0" applyNumberFormat="1" applyBorder="1"/>
    <xf numFmtId="0" fontId="2" fillId="2" borderId="15" xfId="1" applyBorder="1"/>
    <xf numFmtId="0" fontId="2" fillId="2" borderId="7" xfId="1" applyBorder="1"/>
    <xf numFmtId="0" fontId="2" fillId="2" borderId="0" xfId="1" applyBorder="1"/>
    <xf numFmtId="0" fontId="2" fillId="2" borderId="8" xfId="1" applyBorder="1"/>
    <xf numFmtId="164" fontId="2" fillId="2" borderId="7" xfId="1" applyNumberFormat="1" applyBorder="1"/>
    <xf numFmtId="164" fontId="2" fillId="2" borderId="0" xfId="1" applyNumberFormat="1" applyBorder="1"/>
    <xf numFmtId="165" fontId="2" fillId="2" borderId="0" xfId="1" applyNumberFormat="1" applyBorder="1"/>
    <xf numFmtId="164" fontId="2" fillId="2" borderId="8" xfId="1" applyNumberFormat="1" applyBorder="1"/>
    <xf numFmtId="164" fontId="2" fillId="2" borderId="13" xfId="1" applyNumberFormat="1" applyBorder="1"/>
    <xf numFmtId="0" fontId="2" fillId="2" borderId="9" xfId="1" applyBorder="1" applyAlignment="1">
      <alignment horizontal="center"/>
    </xf>
    <xf numFmtId="0" fontId="2" fillId="2" borderId="10" xfId="1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2" fillId="2" borderId="4" xfId="1" applyBorder="1" applyAlignment="1">
      <alignment vertical="center"/>
    </xf>
    <xf numFmtId="0" fontId="2" fillId="2" borderId="5" xfId="1" applyBorder="1" applyAlignment="1">
      <alignment vertical="center"/>
    </xf>
    <xf numFmtId="0" fontId="2" fillId="2" borderId="6" xfId="1" applyBorder="1" applyAlignment="1">
      <alignment vertical="center"/>
    </xf>
    <xf numFmtId="0" fontId="2" fillId="2" borderId="14" xfId="1" applyBorder="1" applyAlignment="1">
      <alignment horizontal="center" textRotation="90"/>
    </xf>
    <xf numFmtId="0" fontId="2" fillId="2" borderId="0" xfId="1" applyAlignment="1">
      <alignment horizontal="center" textRotation="90"/>
    </xf>
    <xf numFmtId="0" fontId="2" fillId="2" borderId="4" xfId="1" applyBorder="1" applyAlignment="1">
      <alignment horizontal="center" textRotation="90"/>
    </xf>
    <xf numFmtId="0" fontId="2" fillId="2" borderId="5" xfId="1" applyBorder="1" applyAlignment="1">
      <alignment horizontal="center" textRotation="90"/>
    </xf>
    <xf numFmtId="0" fontId="2" fillId="2" borderId="6" xfId="1" applyBorder="1" applyAlignment="1">
      <alignment horizontal="center" textRotation="90"/>
    </xf>
    <xf numFmtId="0" fontId="2" fillId="2" borderId="10" xfId="1" applyBorder="1" applyAlignment="1">
      <alignment horizontal="center" textRotation="90"/>
    </xf>
    <xf numFmtId="0" fontId="2" fillId="2" borderId="13" xfId="1" applyBorder="1" applyAlignment="1">
      <alignment horizontal="center" textRotation="90"/>
    </xf>
    <xf numFmtId="0" fontId="2" fillId="2" borderId="11" xfId="1" applyBorder="1" applyAlignment="1">
      <alignment horizontal="center" textRotation="90"/>
    </xf>
    <xf numFmtId="0" fontId="2" fillId="2" borderId="12" xfId="1" applyBorder="1" applyAlignment="1">
      <alignment horizontal="center" textRotation="90"/>
    </xf>
    <xf numFmtId="0" fontId="2" fillId="2" borderId="16" xfId="1" applyBorder="1"/>
    <xf numFmtId="0" fontId="1" fillId="8" borderId="0" xfId="2" applyFill="1"/>
    <xf numFmtId="0" fontId="1" fillId="8" borderId="15" xfId="2" applyFill="1" applyBorder="1"/>
    <xf numFmtId="0" fontId="1" fillId="8" borderId="7" xfId="2" applyFill="1" applyBorder="1"/>
    <xf numFmtId="0" fontId="1" fillId="8" borderId="0" xfId="2" applyFill="1" applyBorder="1"/>
    <xf numFmtId="0" fontId="1" fillId="8" borderId="8" xfId="2" applyFill="1" applyBorder="1"/>
    <xf numFmtId="164" fontId="1" fillId="8" borderId="7" xfId="2" applyNumberFormat="1" applyFill="1" applyBorder="1"/>
    <xf numFmtId="164" fontId="1" fillId="8" borderId="0" xfId="2" applyNumberFormat="1" applyFill="1" applyBorder="1"/>
    <xf numFmtId="165" fontId="1" fillId="8" borderId="0" xfId="2" applyNumberFormat="1" applyFill="1" applyBorder="1"/>
    <xf numFmtId="164" fontId="1" fillId="8" borderId="8" xfId="2" applyNumberFormat="1" applyFill="1" applyBorder="1"/>
    <xf numFmtId="0" fontId="0" fillId="0" borderId="0" xfId="0" applyAlignment="1"/>
    <xf numFmtId="0" fontId="2" fillId="2" borderId="9" xfId="1" applyNumberFormat="1" applyBorder="1"/>
    <xf numFmtId="0" fontId="2" fillId="2" borderId="1" xfId="1" applyNumberFormat="1" applyBorder="1"/>
    <xf numFmtId="0" fontId="2" fillId="2" borderId="2" xfId="1" applyNumberFormat="1" applyBorder="1"/>
    <xf numFmtId="0" fontId="2" fillId="2" borderId="3" xfId="1" applyNumberFormat="1" applyBorder="1"/>
    <xf numFmtId="0" fontId="2" fillId="5" borderId="15" xfId="4" applyNumberFormat="1" applyBorder="1"/>
    <xf numFmtId="0" fontId="2" fillId="5" borderId="7" xfId="4" applyNumberFormat="1" applyBorder="1"/>
    <xf numFmtId="0" fontId="2" fillId="5" borderId="0" xfId="4" applyNumberFormat="1" applyBorder="1"/>
    <xf numFmtId="0" fontId="2" fillId="5" borderId="8" xfId="4" applyNumberFormat="1" applyBorder="1"/>
    <xf numFmtId="0" fontId="1" fillId="4" borderId="15" xfId="3" applyNumberFormat="1" applyBorder="1"/>
    <xf numFmtId="0" fontId="1" fillId="4" borderId="7" xfId="3" applyNumberFormat="1" applyBorder="1"/>
    <xf numFmtId="0" fontId="1" fillId="4" borderId="0" xfId="3" applyNumberFormat="1" applyBorder="1"/>
    <xf numFmtId="0" fontId="1" fillId="4" borderId="8" xfId="3" applyNumberFormat="1" applyBorder="1"/>
    <xf numFmtId="0" fontId="1" fillId="3" borderId="15" xfId="2" applyNumberFormat="1" applyBorder="1"/>
    <xf numFmtId="0" fontId="1" fillId="3" borderId="7" xfId="2" applyNumberFormat="1" applyBorder="1"/>
    <xf numFmtId="0" fontId="1" fillId="3" borderId="0" xfId="2" applyNumberFormat="1" applyBorder="1"/>
    <xf numFmtId="0" fontId="1" fillId="3" borderId="8" xfId="2" applyNumberFormat="1" applyBorder="1"/>
    <xf numFmtId="0" fontId="0" fillId="0" borderId="15" xfId="0" applyNumberFormat="1" applyBorder="1"/>
    <xf numFmtId="0" fontId="0" fillId="0" borderId="7" xfId="0" applyNumberFormat="1" applyBorder="1"/>
    <xf numFmtId="0" fontId="0" fillId="0" borderId="0" xfId="0" applyNumberFormat="1" applyBorder="1"/>
    <xf numFmtId="0" fontId="0" fillId="0" borderId="8" xfId="0" applyNumberFormat="1" applyBorder="1"/>
    <xf numFmtId="0" fontId="1" fillId="8" borderId="15" xfId="2" applyNumberFormat="1" applyFill="1" applyBorder="1"/>
    <xf numFmtId="0" fontId="1" fillId="8" borderId="7" xfId="2" applyNumberFormat="1" applyFill="1" applyBorder="1"/>
    <xf numFmtId="0" fontId="1" fillId="8" borderId="0" xfId="2" applyNumberFormat="1" applyFill="1" applyBorder="1"/>
    <xf numFmtId="0" fontId="1" fillId="8" borderId="8" xfId="2" applyNumberFormat="1" applyFill="1" applyBorder="1"/>
    <xf numFmtId="0" fontId="2" fillId="2" borderId="15" xfId="1" applyNumberFormat="1" applyBorder="1"/>
    <xf numFmtId="0" fontId="2" fillId="2" borderId="7" xfId="1" applyNumberFormat="1" applyBorder="1"/>
    <xf numFmtId="0" fontId="2" fillId="2" borderId="0" xfId="1" applyNumberFormat="1" applyBorder="1"/>
    <xf numFmtId="0" fontId="2" fillId="2" borderId="8" xfId="1" applyNumberFormat="1" applyBorder="1"/>
    <xf numFmtId="0" fontId="0" fillId="8" borderId="13" xfId="0" applyFill="1" applyBorder="1"/>
    <xf numFmtId="0" fontId="0" fillId="8" borderId="11" xfId="0" applyFill="1" applyBorder="1"/>
    <xf numFmtId="0" fontId="0" fillId="8" borderId="12" xfId="0" applyFill="1" applyBorder="1"/>
    <xf numFmtId="0" fontId="0" fillId="8" borderId="14" xfId="0" applyNumberFormat="1" applyFill="1" applyBorder="1"/>
    <xf numFmtId="0" fontId="0" fillId="8" borderId="13" xfId="0" applyNumberFormat="1" applyFill="1" applyBorder="1"/>
    <xf numFmtId="0" fontId="0" fillId="8" borderId="11" xfId="0" applyNumberFormat="1" applyFill="1" applyBorder="1"/>
    <xf numFmtId="0" fontId="0" fillId="8" borderId="12" xfId="0" applyNumberFormat="1" applyFill="1" applyBorder="1"/>
    <xf numFmtId="164" fontId="0" fillId="8" borderId="13" xfId="0" applyNumberFormat="1" applyFill="1" applyBorder="1"/>
    <xf numFmtId="164" fontId="0" fillId="8" borderId="11" xfId="0" applyNumberFormat="1" applyFill="1" applyBorder="1"/>
    <xf numFmtId="165" fontId="0" fillId="8" borderId="11" xfId="0" applyNumberFormat="1" applyFill="1" applyBorder="1"/>
    <xf numFmtId="164" fontId="0" fillId="8" borderId="12" xfId="0" applyNumberFormat="1" applyFill="1" applyBorder="1"/>
    <xf numFmtId="0" fontId="2" fillId="7" borderId="9" xfId="5" applyFont="1" applyFill="1" applyBorder="1" applyAlignment="1">
      <alignment horizontal="center" vertical="center"/>
    </xf>
    <xf numFmtId="0" fontId="2" fillId="7" borderId="10" xfId="5" applyFont="1" applyFill="1" applyBorder="1" applyAlignment="1">
      <alignment horizontal="center" vertical="center"/>
    </xf>
    <xf numFmtId="0" fontId="2" fillId="7" borderId="1" xfId="5" applyFont="1" applyFill="1" applyBorder="1" applyAlignment="1">
      <alignment horizontal="center" vertical="center"/>
    </xf>
    <xf numFmtId="0" fontId="2" fillId="7" borderId="2" xfId="5" applyFont="1" applyFill="1" applyBorder="1" applyAlignment="1">
      <alignment horizontal="center" vertical="center"/>
    </xf>
    <xf numFmtId="0" fontId="2" fillId="7" borderId="3" xfId="5" applyFont="1" applyFill="1" applyBorder="1" applyAlignment="1">
      <alignment horizontal="center" vertical="center"/>
    </xf>
    <xf numFmtId="0" fontId="2" fillId="7" borderId="14" xfId="5" applyFont="1" applyFill="1" applyBorder="1" applyAlignment="1">
      <alignment horizontal="center" textRotation="90"/>
    </xf>
    <xf numFmtId="0" fontId="2" fillId="7" borderId="4" xfId="5" applyFont="1" applyFill="1" applyBorder="1" applyAlignment="1">
      <alignment horizontal="center" textRotation="90"/>
    </xf>
    <xf numFmtId="0" fontId="2" fillId="7" borderId="5" xfId="5" applyFont="1" applyFill="1" applyBorder="1" applyAlignment="1">
      <alignment horizontal="center" textRotation="90"/>
    </xf>
    <xf numFmtId="0" fontId="2" fillId="7" borderId="6" xfId="5" applyFont="1" applyFill="1" applyBorder="1" applyAlignment="1">
      <alignment horizontal="center" textRotation="90"/>
    </xf>
    <xf numFmtId="0" fontId="2" fillId="7" borderId="10" xfId="5" applyFont="1" applyFill="1" applyBorder="1" applyAlignment="1">
      <alignment horizontal="center" textRotation="90"/>
    </xf>
    <xf numFmtId="0" fontId="2" fillId="7" borderId="13" xfId="5" applyFont="1" applyFill="1" applyBorder="1" applyAlignment="1">
      <alignment horizontal="center" textRotation="90"/>
    </xf>
    <xf numFmtId="0" fontId="2" fillId="7" borderId="11" xfId="5" applyFont="1" applyFill="1" applyBorder="1" applyAlignment="1">
      <alignment horizontal="center" textRotation="90"/>
    </xf>
    <xf numFmtId="0" fontId="2" fillId="7" borderId="12" xfId="5" applyFont="1" applyFill="1" applyBorder="1" applyAlignment="1">
      <alignment horizontal="center" textRotation="90"/>
    </xf>
    <xf numFmtId="0" fontId="2" fillId="7" borderId="1" xfId="5" applyFont="1" applyFill="1" applyBorder="1" applyAlignment="1">
      <alignment horizontal="center" textRotation="90"/>
    </xf>
    <xf numFmtId="0" fontId="2" fillId="7" borderId="2" xfId="5" applyFont="1" applyFill="1" applyBorder="1" applyAlignment="1">
      <alignment horizontal="center" textRotation="90"/>
    </xf>
    <xf numFmtId="0" fontId="2" fillId="7" borderId="3" xfId="5" applyFont="1" applyFill="1" applyBorder="1" applyAlignment="1">
      <alignment horizontal="center" textRotation="90"/>
    </xf>
    <xf numFmtId="0" fontId="2" fillId="2" borderId="1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2" fillId="2" borderId="9" xfId="1" applyBorder="1" applyAlignment="1">
      <alignment horizontal="center" vertical="center"/>
    </xf>
    <xf numFmtId="0" fontId="2" fillId="2" borderId="7" xfId="1" applyBorder="1" applyAlignment="1">
      <alignment horizontal="center" textRotation="90"/>
    </xf>
    <xf numFmtId="0" fontId="2" fillId="2" borderId="8" xfId="1" applyBorder="1" applyAlignment="1">
      <alignment horizontal="center" textRotation="90"/>
    </xf>
    <xf numFmtId="0" fontId="2" fillId="2" borderId="1" xfId="1" applyBorder="1" applyAlignment="1">
      <alignment horizontal="center" textRotation="90"/>
    </xf>
    <xf numFmtId="0" fontId="2" fillId="2" borderId="2" xfId="1" applyBorder="1" applyAlignment="1">
      <alignment horizontal="center" textRotation="90"/>
    </xf>
    <xf numFmtId="0" fontId="2" fillId="2" borderId="3" xfId="1" applyBorder="1" applyAlignment="1">
      <alignment horizontal="center" textRotation="90"/>
    </xf>
    <xf numFmtId="0" fontId="2" fillId="7" borderId="1" xfId="5" applyFont="1" applyFill="1" applyBorder="1" applyAlignment="1">
      <alignment horizontal="center" vertical="center"/>
    </xf>
    <xf numFmtId="0" fontId="2" fillId="7" borderId="3" xfId="5" applyFont="1" applyFill="1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164" fontId="2" fillId="2" borderId="1" xfId="1" applyNumberFormat="1" applyBorder="1" applyAlignment="1"/>
    <xf numFmtId="164" fontId="2" fillId="2" borderId="3" xfId="1" applyNumberFormat="1" applyBorder="1" applyAlignment="1"/>
    <xf numFmtId="164" fontId="2" fillId="5" borderId="7" xfId="4" applyNumberFormat="1" applyBorder="1" applyAlignment="1"/>
    <xf numFmtId="164" fontId="2" fillId="5" borderId="8" xfId="4" applyNumberFormat="1" applyBorder="1" applyAlignment="1"/>
    <xf numFmtId="164" fontId="1" fillId="4" borderId="7" xfId="3" applyNumberFormat="1" applyBorder="1" applyAlignment="1"/>
    <xf numFmtId="164" fontId="1" fillId="4" borderId="8" xfId="3" applyNumberFormat="1" applyBorder="1" applyAlignment="1"/>
    <xf numFmtId="164" fontId="1" fillId="3" borderId="7" xfId="2" applyNumberFormat="1" applyBorder="1" applyAlignment="1"/>
    <xf numFmtId="164" fontId="1" fillId="3" borderId="8" xfId="2" applyNumberFormat="1" applyBorder="1" applyAlignment="1"/>
    <xf numFmtId="164" fontId="0" fillId="0" borderId="7" xfId="0" applyNumberFormat="1" applyBorder="1" applyAlignment="1"/>
    <xf numFmtId="164" fontId="0" fillId="0" borderId="8" xfId="0" applyNumberFormat="1" applyBorder="1" applyAlignment="1"/>
    <xf numFmtId="164" fontId="2" fillId="2" borderId="7" xfId="1" applyNumberFormat="1" applyBorder="1" applyAlignment="1"/>
    <xf numFmtId="164" fontId="2" fillId="2" borderId="8" xfId="1" applyNumberFormat="1" applyBorder="1" applyAlignment="1"/>
    <xf numFmtId="164" fontId="2" fillId="2" borderId="13" xfId="1" applyNumberFormat="1" applyBorder="1" applyAlignment="1"/>
    <xf numFmtId="164" fontId="2" fillId="2" borderId="12" xfId="1" applyNumberFormat="1" applyBorder="1" applyAlignment="1"/>
    <xf numFmtId="0" fontId="2" fillId="2" borderId="1" xfId="1" applyBorder="1" applyAlignment="1">
      <alignment horizontal="center"/>
    </xf>
    <xf numFmtId="0" fontId="2" fillId="2" borderId="3" xfId="1" applyBorder="1" applyAlignment="1">
      <alignment horizontal="center"/>
    </xf>
    <xf numFmtId="0" fontId="2" fillId="2" borderId="1" xfId="1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7" xfId="1" applyBorder="1" applyAlignment="1">
      <alignment horizontal="center" vertical="center"/>
    </xf>
    <xf numFmtId="0" fontId="2" fillId="2" borderId="0" xfId="1" applyBorder="1" applyAlignment="1">
      <alignment horizontal="center" vertical="center"/>
    </xf>
    <xf numFmtId="0" fontId="2" fillId="2" borderId="8" xfId="1" applyBorder="1" applyAlignment="1">
      <alignment horizontal="center" vertical="center"/>
    </xf>
    <xf numFmtId="0" fontId="2" fillId="2" borderId="13" xfId="1" applyBorder="1" applyAlignment="1">
      <alignment horizontal="center" vertical="center"/>
    </xf>
    <xf numFmtId="0" fontId="2" fillId="2" borderId="11" xfId="1" applyBorder="1" applyAlignment="1">
      <alignment horizontal="center" vertical="center"/>
    </xf>
    <xf numFmtId="0" fontId="2" fillId="2" borderId="12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2" fillId="2" borderId="5" xfId="1" applyBorder="1" applyAlignment="1">
      <alignment horizontal="center" vertical="center"/>
    </xf>
    <xf numFmtId="0" fontId="2" fillId="2" borderId="6" xfId="1" applyBorder="1" applyAlignment="1">
      <alignment horizontal="center" vertical="center"/>
    </xf>
    <xf numFmtId="0" fontId="2" fillId="2" borderId="5" xfId="1" applyBorder="1" applyAlignment="1">
      <alignment horizontal="center"/>
    </xf>
    <xf numFmtId="0" fontId="2" fillId="2" borderId="6" xfId="1" applyBorder="1" applyAlignment="1">
      <alignment horizontal="center"/>
    </xf>
    <xf numFmtId="0" fontId="2" fillId="2" borderId="4" xfId="1" applyBorder="1" applyAlignment="1">
      <alignment horizontal="center"/>
    </xf>
    <xf numFmtId="0" fontId="2" fillId="2" borderId="0" xfId="1" applyAlignment="1">
      <alignment horizontal="center" vertical="center"/>
    </xf>
    <xf numFmtId="0" fontId="2" fillId="7" borderId="4" xfId="5" applyFont="1" applyFill="1" applyBorder="1" applyAlignment="1">
      <alignment horizontal="center" vertical="center"/>
    </xf>
    <xf numFmtId="0" fontId="2" fillId="7" borderId="5" xfId="5" applyFont="1" applyFill="1" applyBorder="1" applyAlignment="1">
      <alignment horizontal="center" vertical="center"/>
    </xf>
    <xf numFmtId="0" fontId="2" fillId="7" borderId="6" xfId="5" applyFont="1" applyFill="1" applyBorder="1" applyAlignment="1">
      <alignment horizontal="center" vertical="center"/>
    </xf>
    <xf numFmtId="0" fontId="2" fillId="7" borderId="1" xfId="5" applyFont="1" applyFill="1" applyBorder="1" applyAlignment="1">
      <alignment horizontal="center" vertical="center"/>
    </xf>
    <xf numFmtId="0" fontId="2" fillId="7" borderId="2" xfId="5" applyFont="1" applyFill="1" applyBorder="1" applyAlignment="1">
      <alignment horizontal="center" vertical="center"/>
    </xf>
    <xf numFmtId="0" fontId="2" fillId="7" borderId="3" xfId="5" applyFont="1" applyFill="1" applyBorder="1" applyAlignment="1">
      <alignment horizontal="center" vertical="center"/>
    </xf>
    <xf numFmtId="0" fontId="2" fillId="7" borderId="11" xfId="5" applyFont="1" applyFill="1" applyBorder="1" applyAlignment="1">
      <alignment horizontal="center" vertical="center"/>
    </xf>
    <xf numFmtId="0" fontId="2" fillId="7" borderId="12" xfId="5" applyFont="1" applyFill="1" applyBorder="1" applyAlignment="1">
      <alignment horizontal="center" vertical="center"/>
    </xf>
    <xf numFmtId="0" fontId="2" fillId="7" borderId="13" xfId="5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2" fillId="2" borderId="2" xfId="1" applyFont="1" applyBorder="1" applyAlignment="1">
      <alignment horizontal="center" vertical="center"/>
    </xf>
    <xf numFmtId="0" fontId="2" fillId="2" borderId="3" xfId="1" applyFont="1" applyBorder="1" applyAlignment="1">
      <alignment horizontal="center" vertical="center"/>
    </xf>
    <xf numFmtId="0" fontId="2" fillId="2" borderId="7" xfId="1" applyFont="1" applyBorder="1" applyAlignment="1">
      <alignment horizontal="center" vertical="center"/>
    </xf>
    <xf numFmtId="0" fontId="2" fillId="2" borderId="0" xfId="1" applyFont="1" applyBorder="1" applyAlignment="1">
      <alignment horizontal="center" vertical="center"/>
    </xf>
    <xf numFmtId="0" fontId="2" fillId="2" borderId="8" xfId="1" applyFont="1" applyBorder="1" applyAlignment="1">
      <alignment horizontal="center" vertical="center"/>
    </xf>
    <xf numFmtId="0" fontId="2" fillId="2" borderId="13" xfId="1" applyFont="1" applyBorder="1" applyAlignment="1">
      <alignment horizontal="center" vertical="center"/>
    </xf>
    <xf numFmtId="0" fontId="2" fillId="2" borderId="11" xfId="1" applyFont="1" applyBorder="1" applyAlignment="1">
      <alignment horizontal="center" vertical="center"/>
    </xf>
    <xf numFmtId="0" fontId="2" fillId="2" borderId="12" xfId="1" applyFont="1" applyBorder="1" applyAlignment="1">
      <alignment horizontal="center" vertical="center"/>
    </xf>
  </cellXfs>
  <cellStyles count="6">
    <cellStyle name="20 % - Accent1" xfId="2" builtinId="30"/>
    <cellStyle name="40 % - Accent1" xfId="3" builtinId="31"/>
    <cellStyle name="60 % - Accent1" xfId="4" builtinId="32"/>
    <cellStyle name="Accent1" xfId="1" builtinId="29"/>
    <cellStyle name="Intitulé colonnes" xfId="5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406"/>
  <sheetViews>
    <sheetView tabSelected="1" workbookViewId="0">
      <selection activeCell="F4" sqref="F4"/>
    </sheetView>
  </sheetViews>
  <sheetFormatPr baseColWidth="10" defaultRowHeight="15" x14ac:dyDescent="0.25"/>
  <sheetData>
    <row r="1" spans="1:62" ht="15.75" thickBot="1" x14ac:dyDescent="0.3">
      <c r="A1" s="259" t="s">
        <v>0</v>
      </c>
      <c r="B1" s="260"/>
      <c r="C1" s="260"/>
      <c r="D1" s="260"/>
      <c r="E1" s="261"/>
      <c r="F1" s="268" t="s">
        <v>1</v>
      </c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70"/>
      <c r="S1" s="268"/>
      <c r="T1" s="269"/>
      <c r="U1" s="269"/>
      <c r="V1" s="269"/>
      <c r="W1" s="269"/>
      <c r="X1" s="270"/>
      <c r="Y1" s="268" t="s">
        <v>2</v>
      </c>
      <c r="Z1" s="269"/>
      <c r="AA1" s="269"/>
      <c r="AB1" s="269"/>
      <c r="AC1" s="269"/>
      <c r="AD1" s="269"/>
      <c r="AE1" s="269"/>
      <c r="AF1" s="269"/>
      <c r="AG1" s="270"/>
      <c r="AH1" s="268" t="s">
        <v>3</v>
      </c>
      <c r="AI1" s="269"/>
      <c r="AJ1" s="269"/>
      <c r="AK1" s="269"/>
      <c r="AL1" s="269"/>
      <c r="AM1" s="269"/>
      <c r="AN1" s="269"/>
      <c r="AO1" s="269"/>
      <c r="AP1" s="269"/>
      <c r="AQ1" s="269"/>
      <c r="AR1" s="270"/>
      <c r="AS1" s="268" t="s">
        <v>247</v>
      </c>
      <c r="AT1" s="270"/>
      <c r="AU1" s="268" t="s">
        <v>4</v>
      </c>
      <c r="AV1" s="269"/>
      <c r="AW1" s="269"/>
      <c r="AX1" s="269"/>
      <c r="AY1" s="269"/>
      <c r="AZ1" s="269"/>
      <c r="BA1" s="269"/>
      <c r="BB1" s="269"/>
      <c r="BC1" s="269"/>
      <c r="BD1" s="269"/>
      <c r="BE1" s="269"/>
      <c r="BF1" s="269"/>
      <c r="BG1" s="269"/>
      <c r="BH1" s="269"/>
      <c r="BI1" s="269"/>
      <c r="BJ1" s="269"/>
    </row>
    <row r="2" spans="1:62" ht="15.75" thickBot="1" x14ac:dyDescent="0.3">
      <c r="A2" s="262"/>
      <c r="B2" s="263"/>
      <c r="C2" s="263"/>
      <c r="D2" s="263"/>
      <c r="E2" s="264"/>
      <c r="F2" s="232"/>
      <c r="G2" s="269" t="s">
        <v>5</v>
      </c>
      <c r="H2" s="269"/>
      <c r="I2" s="269"/>
      <c r="J2" s="270"/>
      <c r="K2" s="268" t="s">
        <v>6</v>
      </c>
      <c r="L2" s="269"/>
      <c r="M2" s="269"/>
      <c r="N2" s="269"/>
      <c r="O2" s="269"/>
      <c r="P2" s="269"/>
      <c r="Q2" s="269"/>
      <c r="R2" s="270"/>
      <c r="S2" s="147" t="s">
        <v>7</v>
      </c>
      <c r="T2" s="268" t="s">
        <v>8</v>
      </c>
      <c r="U2" s="269"/>
      <c r="V2" s="269"/>
      <c r="W2" s="269"/>
      <c r="X2" s="270"/>
      <c r="Y2" s="268">
        <v>2016</v>
      </c>
      <c r="Z2" s="270"/>
      <c r="AA2" s="268">
        <v>2017</v>
      </c>
      <c r="AB2" s="270"/>
      <c r="AC2" s="268">
        <v>2018</v>
      </c>
      <c r="AD2" s="270"/>
      <c r="AE2" s="227"/>
      <c r="AF2" s="148"/>
      <c r="AG2" s="228"/>
      <c r="AH2" s="259"/>
      <c r="AI2" s="260"/>
      <c r="AJ2" s="260"/>
      <c r="AK2" s="260"/>
      <c r="AL2" s="260"/>
      <c r="AM2" s="260"/>
      <c r="AN2" s="260"/>
      <c r="AO2" s="260"/>
      <c r="AP2" s="260"/>
      <c r="AQ2" s="260"/>
      <c r="AR2" s="260"/>
      <c r="AS2" s="227"/>
      <c r="AT2" s="228"/>
      <c r="AU2" s="227"/>
      <c r="AV2" s="148"/>
      <c r="AW2" s="228"/>
      <c r="AX2" s="268" t="s">
        <v>9</v>
      </c>
      <c r="AY2" s="269"/>
      <c r="AZ2" s="270"/>
      <c r="BA2" s="266" t="s">
        <v>10</v>
      </c>
      <c r="BB2" s="267"/>
      <c r="BC2" s="265" t="s">
        <v>11</v>
      </c>
      <c r="BD2" s="267"/>
      <c r="BE2" s="259" t="s">
        <v>12</v>
      </c>
      <c r="BF2" s="260"/>
      <c r="BG2" s="260"/>
      <c r="BH2" s="260"/>
      <c r="BI2" s="260"/>
      <c r="BJ2" s="261"/>
    </row>
    <row r="3" spans="1:62" ht="257.25" customHeight="1" thickBot="1" x14ac:dyDescent="0.3">
      <c r="A3" s="265"/>
      <c r="B3" s="266"/>
      <c r="C3" s="266"/>
      <c r="D3" s="266"/>
      <c r="E3" s="267"/>
      <c r="F3" s="152" t="s">
        <v>13</v>
      </c>
      <c r="G3" s="154" t="s">
        <v>14</v>
      </c>
      <c r="H3" s="155" t="s">
        <v>15</v>
      </c>
      <c r="I3" s="155" t="s">
        <v>16</v>
      </c>
      <c r="J3" s="156" t="s">
        <v>17</v>
      </c>
      <c r="K3" s="154" t="s">
        <v>18</v>
      </c>
      <c r="L3" s="155" t="s">
        <v>19</v>
      </c>
      <c r="M3" s="155" t="s">
        <v>20</v>
      </c>
      <c r="N3" s="155" t="s">
        <v>21</v>
      </c>
      <c r="O3" s="155" t="s">
        <v>22</v>
      </c>
      <c r="P3" s="155" t="s">
        <v>23</v>
      </c>
      <c r="Q3" s="155" t="s">
        <v>24</v>
      </c>
      <c r="R3" s="156" t="s">
        <v>25</v>
      </c>
      <c r="S3" s="157" t="s">
        <v>26</v>
      </c>
      <c r="T3" s="154" t="s">
        <v>27</v>
      </c>
      <c r="U3" s="155" t="s">
        <v>28</v>
      </c>
      <c r="V3" s="155" t="s">
        <v>29</v>
      </c>
      <c r="W3" s="155" t="s">
        <v>30</v>
      </c>
      <c r="X3" s="156" t="s">
        <v>31</v>
      </c>
      <c r="Y3" s="154" t="s">
        <v>32</v>
      </c>
      <c r="Z3" s="156" t="s">
        <v>33</v>
      </c>
      <c r="AA3" s="154" t="s">
        <v>34</v>
      </c>
      <c r="AB3" s="156" t="s">
        <v>35</v>
      </c>
      <c r="AC3" s="154" t="s">
        <v>36</v>
      </c>
      <c r="AD3" s="156" t="s">
        <v>37</v>
      </c>
      <c r="AE3" s="158" t="s">
        <v>38</v>
      </c>
      <c r="AF3" s="159" t="s">
        <v>39</v>
      </c>
      <c r="AG3" s="160" t="s">
        <v>40</v>
      </c>
      <c r="AH3" s="159" t="s">
        <v>41</v>
      </c>
      <c r="AI3" s="159" t="s">
        <v>42</v>
      </c>
      <c r="AJ3" s="159" t="s">
        <v>43</v>
      </c>
      <c r="AK3" s="159" t="s">
        <v>44</v>
      </c>
      <c r="AL3" s="159" t="s">
        <v>45</v>
      </c>
      <c r="AM3" s="159" t="s">
        <v>46</v>
      </c>
      <c r="AN3" s="159" t="s">
        <v>47</v>
      </c>
      <c r="AO3" s="159" t="s">
        <v>48</v>
      </c>
      <c r="AP3" s="159" t="s">
        <v>49</v>
      </c>
      <c r="AQ3" s="159" t="s">
        <v>50</v>
      </c>
      <c r="AR3" s="159" t="s">
        <v>51</v>
      </c>
      <c r="AS3" s="233" t="s">
        <v>248</v>
      </c>
      <c r="AT3" s="234" t="s">
        <v>246</v>
      </c>
      <c r="AU3" s="158" t="s">
        <v>52</v>
      </c>
      <c r="AV3" s="159" t="s">
        <v>53</v>
      </c>
      <c r="AW3" s="160" t="s">
        <v>54</v>
      </c>
      <c r="AX3" s="159" t="s">
        <v>55</v>
      </c>
      <c r="AY3" s="159" t="s">
        <v>56</v>
      </c>
      <c r="AZ3" s="159" t="s">
        <v>57</v>
      </c>
      <c r="BA3" s="154" t="s">
        <v>58</v>
      </c>
      <c r="BB3" s="156" t="s">
        <v>59</v>
      </c>
      <c r="BC3" s="154" t="s">
        <v>60</v>
      </c>
      <c r="BD3" s="155" t="s">
        <v>61</v>
      </c>
      <c r="BE3" s="235" t="s">
        <v>103</v>
      </c>
      <c r="BF3" s="236" t="s">
        <v>104</v>
      </c>
      <c r="BG3" s="236" t="s">
        <v>62</v>
      </c>
      <c r="BH3" s="236" t="s">
        <v>105</v>
      </c>
      <c r="BI3" s="236" t="s">
        <v>106</v>
      </c>
      <c r="BJ3" s="237" t="s">
        <v>63</v>
      </c>
    </row>
    <row r="4" spans="1:62" x14ac:dyDescent="0.25">
      <c r="A4" s="1" t="s">
        <v>112</v>
      </c>
      <c r="B4" s="2"/>
      <c r="C4" s="2"/>
      <c r="D4" s="2"/>
      <c r="E4" s="3"/>
      <c r="F4" s="172">
        <v>158698</v>
      </c>
      <c r="G4" s="173">
        <v>147250</v>
      </c>
      <c r="H4" s="174">
        <v>3152</v>
      </c>
      <c r="I4" s="174">
        <v>112122</v>
      </c>
      <c r="J4" s="175">
        <v>38280</v>
      </c>
      <c r="K4" s="173">
        <v>77</v>
      </c>
      <c r="L4" s="174">
        <v>571</v>
      </c>
      <c r="M4" s="174">
        <v>1479</v>
      </c>
      <c r="N4" s="174">
        <v>190</v>
      </c>
      <c r="O4" s="174">
        <v>976</v>
      </c>
      <c r="P4" s="174">
        <v>99</v>
      </c>
      <c r="Q4" s="174">
        <v>1076</v>
      </c>
      <c r="R4" s="175">
        <v>3007</v>
      </c>
      <c r="S4" s="172">
        <v>8869</v>
      </c>
      <c r="T4" s="173">
        <v>15765</v>
      </c>
      <c r="U4" s="174">
        <v>68</v>
      </c>
      <c r="V4" s="174">
        <v>783</v>
      </c>
      <c r="W4" s="174">
        <v>1062</v>
      </c>
      <c r="X4" s="175">
        <v>13852</v>
      </c>
      <c r="Y4" s="173">
        <v>201284</v>
      </c>
      <c r="Z4" s="175">
        <v>69653</v>
      </c>
      <c r="AA4" s="173">
        <v>198083</v>
      </c>
      <c r="AB4" s="175">
        <v>67660</v>
      </c>
      <c r="AC4" s="173">
        <v>187177</v>
      </c>
      <c r="AD4" s="175">
        <v>64860</v>
      </c>
      <c r="AE4" s="173">
        <v>92150</v>
      </c>
      <c r="AF4" s="174">
        <v>57201</v>
      </c>
      <c r="AG4" s="175">
        <v>15710</v>
      </c>
      <c r="AH4" s="129">
        <v>-1.5902903360426063E-2</v>
      </c>
      <c r="AI4" s="5">
        <v>-7.0085053953617776E-2</v>
      </c>
      <c r="AJ4" s="5">
        <v>-5.5057728326004758E-2</v>
      </c>
      <c r="AK4" s="5">
        <v>-2.8613268631645442E-2</v>
      </c>
      <c r="AL4" s="5">
        <v>-6.8812542173345009E-2</v>
      </c>
      <c r="AM4" s="5">
        <v>-4.1383387525864616E-2</v>
      </c>
      <c r="AN4" s="6">
        <v>1.2711511035653651</v>
      </c>
      <c r="AO4" s="5">
        <v>0.44047538200339559</v>
      </c>
      <c r="AP4" s="5">
        <v>0.38846179966044142</v>
      </c>
      <c r="AQ4" s="5">
        <v>0.10668930390492359</v>
      </c>
      <c r="AR4" s="5">
        <v>2.0012378791004745E-2</v>
      </c>
      <c r="AS4" s="129">
        <v>6.0230899830220716E-2</v>
      </c>
      <c r="AT4" s="7">
        <v>-4.6831918505942274E-2</v>
      </c>
      <c r="AU4" s="2">
        <v>8101</v>
      </c>
      <c r="AV4" s="2">
        <v>8066</v>
      </c>
      <c r="AW4" s="3">
        <v>8029</v>
      </c>
      <c r="AX4" s="129">
        <v>-4.3204542649055676E-3</v>
      </c>
      <c r="AY4" s="5">
        <v>-8.8877916306628803E-3</v>
      </c>
      <c r="AZ4" s="7">
        <v>-4.5871559633027525E-3</v>
      </c>
      <c r="BA4" s="1">
        <v>50</v>
      </c>
      <c r="BB4" s="3">
        <v>31</v>
      </c>
      <c r="BC4" s="1">
        <v>6</v>
      </c>
      <c r="BD4" s="3">
        <v>2</v>
      </c>
      <c r="BE4" s="1">
        <v>111974</v>
      </c>
      <c r="BF4" s="2">
        <v>187183</v>
      </c>
      <c r="BG4" s="5">
        <v>0.59820603366758729</v>
      </c>
      <c r="BH4" s="2">
        <v>5258</v>
      </c>
      <c r="BI4" s="2">
        <v>8029</v>
      </c>
      <c r="BJ4" s="7">
        <v>0.65487607423091299</v>
      </c>
    </row>
    <row r="5" spans="1:62" x14ac:dyDescent="0.25">
      <c r="A5" s="8"/>
      <c r="B5" s="9" t="s">
        <v>113</v>
      </c>
      <c r="C5" s="9"/>
      <c r="D5" s="9"/>
      <c r="E5" s="10"/>
      <c r="F5" s="176">
        <v>30211</v>
      </c>
      <c r="G5" s="177">
        <v>27437</v>
      </c>
      <c r="H5" s="178">
        <v>123</v>
      </c>
      <c r="I5" s="178">
        <v>26305</v>
      </c>
      <c r="J5" s="179">
        <v>1255</v>
      </c>
      <c r="K5" s="177">
        <v>0</v>
      </c>
      <c r="L5" s="178">
        <v>115</v>
      </c>
      <c r="M5" s="178">
        <v>277</v>
      </c>
      <c r="N5" s="178">
        <v>72</v>
      </c>
      <c r="O5" s="178">
        <v>505</v>
      </c>
      <c r="P5" s="178">
        <v>96</v>
      </c>
      <c r="Q5" s="178">
        <v>321</v>
      </c>
      <c r="R5" s="179">
        <v>1052</v>
      </c>
      <c r="S5" s="176">
        <v>3047</v>
      </c>
      <c r="T5" s="177">
        <v>2563</v>
      </c>
      <c r="U5" s="178">
        <v>23</v>
      </c>
      <c r="V5" s="178">
        <v>131</v>
      </c>
      <c r="W5" s="178">
        <v>95</v>
      </c>
      <c r="X5" s="179">
        <v>2314</v>
      </c>
      <c r="Y5" s="177">
        <v>78144</v>
      </c>
      <c r="Z5" s="179">
        <v>20463</v>
      </c>
      <c r="AA5" s="177">
        <v>78630</v>
      </c>
      <c r="AB5" s="179">
        <v>20717</v>
      </c>
      <c r="AC5" s="177">
        <v>74799</v>
      </c>
      <c r="AD5" s="179">
        <v>20409</v>
      </c>
      <c r="AE5" s="177">
        <v>10473</v>
      </c>
      <c r="AF5" s="178">
        <v>4410</v>
      </c>
      <c r="AG5" s="179">
        <v>5836</v>
      </c>
      <c r="AH5" s="131">
        <v>6.2192874692874696E-3</v>
      </c>
      <c r="AI5" s="12">
        <v>-4.280558968058968E-2</v>
      </c>
      <c r="AJ5" s="12">
        <v>-4.8721861884776806E-2</v>
      </c>
      <c r="AK5" s="12">
        <v>1.2412647216928115E-2</v>
      </c>
      <c r="AL5" s="12">
        <v>-2.6389092508429849E-3</v>
      </c>
      <c r="AM5" s="12">
        <v>-1.4867017425302892E-2</v>
      </c>
      <c r="AN5" s="13">
        <v>2.7262091336516381</v>
      </c>
      <c r="AO5" s="12">
        <v>0.74384954623318877</v>
      </c>
      <c r="AP5" s="12">
        <v>0.16073185843933374</v>
      </c>
      <c r="AQ5" s="12">
        <v>0.21270547071472828</v>
      </c>
      <c r="AR5" s="12">
        <v>3.6926533047843026E-2</v>
      </c>
      <c r="AS5" s="131">
        <v>0.11105441557021541</v>
      </c>
      <c r="AT5" s="14">
        <v>1.7640412581550462E-2</v>
      </c>
      <c r="AU5" s="9">
        <v>4793</v>
      </c>
      <c r="AV5" s="9">
        <v>4735</v>
      </c>
      <c r="AW5" s="10">
        <v>4719</v>
      </c>
      <c r="AX5" s="131">
        <v>-1.2100980596703526E-2</v>
      </c>
      <c r="AY5" s="12">
        <v>-1.5439182140621741E-2</v>
      </c>
      <c r="AZ5" s="14">
        <v>-3.37909186906019E-3</v>
      </c>
      <c r="BA5" s="8">
        <v>46</v>
      </c>
      <c r="BB5" s="10">
        <v>34</v>
      </c>
      <c r="BC5" s="8">
        <v>5</v>
      </c>
      <c r="BD5" s="10">
        <v>3</v>
      </c>
      <c r="BE5" s="8">
        <v>45725</v>
      </c>
      <c r="BF5" s="9">
        <v>74805</v>
      </c>
      <c r="BG5" s="12">
        <v>0.61125593209010098</v>
      </c>
      <c r="BH5" s="9">
        <v>2926</v>
      </c>
      <c r="BI5" s="9">
        <v>4719</v>
      </c>
      <c r="BJ5" s="14">
        <v>0.62004662004662003</v>
      </c>
    </row>
    <row r="6" spans="1:62" x14ac:dyDescent="0.25">
      <c r="A6" s="15"/>
      <c r="B6" s="16"/>
      <c r="C6" s="16" t="s">
        <v>146</v>
      </c>
      <c r="D6" s="16"/>
      <c r="E6" s="17"/>
      <c r="F6" s="180">
        <v>3472</v>
      </c>
      <c r="G6" s="181">
        <v>3323</v>
      </c>
      <c r="H6" s="182">
        <v>19</v>
      </c>
      <c r="I6" s="182">
        <v>3203</v>
      </c>
      <c r="J6" s="183">
        <v>139</v>
      </c>
      <c r="K6" s="181">
        <v>0</v>
      </c>
      <c r="L6" s="182">
        <v>10</v>
      </c>
      <c r="M6" s="182">
        <v>5</v>
      </c>
      <c r="N6" s="182">
        <v>3</v>
      </c>
      <c r="O6" s="182">
        <v>3</v>
      </c>
      <c r="P6" s="182">
        <v>2</v>
      </c>
      <c r="Q6" s="182">
        <v>18</v>
      </c>
      <c r="R6" s="183">
        <v>79</v>
      </c>
      <c r="S6" s="180">
        <v>340</v>
      </c>
      <c r="T6" s="181">
        <v>196</v>
      </c>
      <c r="U6" s="182">
        <v>1</v>
      </c>
      <c r="V6" s="182">
        <v>10</v>
      </c>
      <c r="W6" s="182">
        <v>1</v>
      </c>
      <c r="X6" s="183">
        <v>184</v>
      </c>
      <c r="Y6" s="181">
        <v>4088</v>
      </c>
      <c r="Z6" s="183">
        <v>1643</v>
      </c>
      <c r="AA6" s="181">
        <v>4709</v>
      </c>
      <c r="AB6" s="183">
        <v>1782</v>
      </c>
      <c r="AC6" s="181">
        <v>4471</v>
      </c>
      <c r="AD6" s="183">
        <v>1745</v>
      </c>
      <c r="AE6" s="181">
        <v>1788</v>
      </c>
      <c r="AF6" s="182">
        <v>825</v>
      </c>
      <c r="AG6" s="183">
        <v>463</v>
      </c>
      <c r="AH6" s="133">
        <v>0.15190802348336596</v>
      </c>
      <c r="AI6" s="19">
        <v>9.368884540117417E-2</v>
      </c>
      <c r="AJ6" s="19">
        <v>-5.0541516245487361E-2</v>
      </c>
      <c r="AK6" s="19">
        <v>8.4601339013998786E-2</v>
      </c>
      <c r="AL6" s="19">
        <v>6.2081558125380402E-2</v>
      </c>
      <c r="AM6" s="19">
        <v>-2.0763187429854096E-2</v>
      </c>
      <c r="AN6" s="20">
        <v>1.3454709599759254</v>
      </c>
      <c r="AO6" s="19">
        <v>0.5251278964790852</v>
      </c>
      <c r="AP6" s="19">
        <v>0.24826963587120071</v>
      </c>
      <c r="AQ6" s="19">
        <v>0.13933192897983748</v>
      </c>
      <c r="AR6" s="19">
        <v>2.3221634332745444E-2</v>
      </c>
      <c r="AS6" s="133">
        <v>0.1023171832681312</v>
      </c>
      <c r="AT6" s="21">
        <v>4.3334336442973215E-2</v>
      </c>
      <c r="AU6" s="16">
        <v>973</v>
      </c>
      <c r="AV6" s="16">
        <v>1020</v>
      </c>
      <c r="AW6" s="17">
        <v>999</v>
      </c>
      <c r="AX6" s="133">
        <v>4.8304213771839674E-2</v>
      </c>
      <c r="AY6" s="19">
        <v>2.6721479958890029E-2</v>
      </c>
      <c r="AZ6" s="21">
        <v>-2.0588235294117647E-2</v>
      </c>
      <c r="BA6" s="15">
        <v>45</v>
      </c>
      <c r="BB6" s="17">
        <v>40</v>
      </c>
      <c r="BC6" s="15">
        <v>5</v>
      </c>
      <c r="BD6" s="17">
        <v>4</v>
      </c>
      <c r="BE6" s="15">
        <v>2557</v>
      </c>
      <c r="BF6" s="16">
        <v>4471</v>
      </c>
      <c r="BG6" s="19">
        <v>0.57190785059270854</v>
      </c>
      <c r="BH6" s="16">
        <v>584</v>
      </c>
      <c r="BI6" s="16">
        <v>999</v>
      </c>
      <c r="BJ6" s="21">
        <v>0.58458458458458462</v>
      </c>
    </row>
    <row r="7" spans="1:62" x14ac:dyDescent="0.25">
      <c r="A7" s="22"/>
      <c r="B7" s="23"/>
      <c r="C7" s="23"/>
      <c r="D7" s="23" t="s">
        <v>147</v>
      </c>
      <c r="E7" s="24"/>
      <c r="F7" s="184">
        <v>2843</v>
      </c>
      <c r="G7" s="185">
        <v>2737</v>
      </c>
      <c r="H7" s="186">
        <v>14</v>
      </c>
      <c r="I7" s="186">
        <v>2612</v>
      </c>
      <c r="J7" s="187">
        <v>139</v>
      </c>
      <c r="K7" s="185">
        <v>0</v>
      </c>
      <c r="L7" s="186">
        <v>10</v>
      </c>
      <c r="M7" s="186">
        <v>3</v>
      </c>
      <c r="N7" s="186">
        <v>3</v>
      </c>
      <c r="O7" s="186">
        <v>3</v>
      </c>
      <c r="P7" s="186">
        <v>2</v>
      </c>
      <c r="Q7" s="186">
        <v>11</v>
      </c>
      <c r="R7" s="187">
        <v>56</v>
      </c>
      <c r="S7" s="184">
        <v>239</v>
      </c>
      <c r="T7" s="185">
        <v>128</v>
      </c>
      <c r="U7" s="186">
        <v>1</v>
      </c>
      <c r="V7" s="186">
        <v>5</v>
      </c>
      <c r="W7" s="186">
        <v>1</v>
      </c>
      <c r="X7" s="187">
        <v>121</v>
      </c>
      <c r="Y7" s="185">
        <v>2748</v>
      </c>
      <c r="Z7" s="187">
        <v>1215</v>
      </c>
      <c r="AA7" s="185">
        <v>3102</v>
      </c>
      <c r="AB7" s="187">
        <v>1349</v>
      </c>
      <c r="AC7" s="185">
        <v>2803</v>
      </c>
      <c r="AD7" s="187">
        <v>1258</v>
      </c>
      <c r="AE7" s="185">
        <v>1603</v>
      </c>
      <c r="AF7" s="186">
        <v>762</v>
      </c>
      <c r="AG7" s="187">
        <v>283</v>
      </c>
      <c r="AH7" s="135">
        <v>0.12882096069868995</v>
      </c>
      <c r="AI7" s="26">
        <v>2.0014556040756915E-2</v>
      </c>
      <c r="AJ7" s="26">
        <v>-9.6389426176660215E-2</v>
      </c>
      <c r="AK7" s="26">
        <v>0.1102880658436214</v>
      </c>
      <c r="AL7" s="26">
        <v>3.539094650205761E-2</v>
      </c>
      <c r="AM7" s="26">
        <v>-6.7457375833951075E-2</v>
      </c>
      <c r="AN7" s="27">
        <v>1.0241139934234564</v>
      </c>
      <c r="AO7" s="26">
        <v>0.45962732919254656</v>
      </c>
      <c r="AP7" s="26">
        <v>0.278407014979905</v>
      </c>
      <c r="AQ7" s="26">
        <v>0.10339788089148703</v>
      </c>
      <c r="AR7" s="26">
        <v>2.0050125313283207E-2</v>
      </c>
      <c r="AS7" s="135">
        <v>8.732188527584947E-2</v>
      </c>
      <c r="AT7" s="28">
        <v>4.0555352575812935E-2</v>
      </c>
      <c r="AU7" s="23">
        <v>749</v>
      </c>
      <c r="AV7" s="23">
        <v>774</v>
      </c>
      <c r="AW7" s="24">
        <v>756</v>
      </c>
      <c r="AX7" s="135">
        <v>3.3377837116154871E-2</v>
      </c>
      <c r="AY7" s="26">
        <v>9.3457943925233638E-3</v>
      </c>
      <c r="AZ7" s="28">
        <v>-2.3255813953488372E-2</v>
      </c>
      <c r="BA7" s="22">
        <v>45</v>
      </c>
      <c r="BB7" s="24">
        <v>40</v>
      </c>
      <c r="BC7" s="22">
        <v>5</v>
      </c>
      <c r="BD7" s="24">
        <v>4</v>
      </c>
      <c r="BE7" s="22">
        <v>1688</v>
      </c>
      <c r="BF7" s="23">
        <v>2803</v>
      </c>
      <c r="BG7" s="26">
        <v>0.60221191580449518</v>
      </c>
      <c r="BH7" s="23">
        <v>442</v>
      </c>
      <c r="BI7" s="23">
        <v>756</v>
      </c>
      <c r="BJ7" s="28">
        <v>0.58465608465608465</v>
      </c>
    </row>
    <row r="8" spans="1:62" x14ac:dyDescent="0.25">
      <c r="A8" s="29"/>
      <c r="B8" s="30"/>
      <c r="C8" s="30"/>
      <c r="D8" s="30"/>
      <c r="E8" s="31" t="s">
        <v>68</v>
      </c>
      <c r="F8" s="188">
        <v>2354</v>
      </c>
      <c r="G8" s="189">
        <v>2281</v>
      </c>
      <c r="H8" s="190">
        <v>0</v>
      </c>
      <c r="I8" s="190">
        <v>2142</v>
      </c>
      <c r="J8" s="191">
        <v>139</v>
      </c>
      <c r="K8" s="189">
        <v>0</v>
      </c>
      <c r="L8" s="190">
        <v>9</v>
      </c>
      <c r="M8" s="190">
        <v>2</v>
      </c>
      <c r="N8" s="190">
        <v>3</v>
      </c>
      <c r="O8" s="190">
        <v>2</v>
      </c>
      <c r="P8" s="190">
        <v>2</v>
      </c>
      <c r="Q8" s="190">
        <v>11</v>
      </c>
      <c r="R8" s="191">
        <v>42</v>
      </c>
      <c r="S8" s="188">
        <v>107</v>
      </c>
      <c r="T8" s="189">
        <v>16</v>
      </c>
      <c r="U8" s="190">
        <v>1</v>
      </c>
      <c r="V8" s="190">
        <v>5</v>
      </c>
      <c r="W8" s="190">
        <v>0</v>
      </c>
      <c r="X8" s="191">
        <v>10</v>
      </c>
      <c r="Y8" s="189">
        <v>1479</v>
      </c>
      <c r="Z8" s="191">
        <v>869</v>
      </c>
      <c r="AA8" s="189">
        <v>1888</v>
      </c>
      <c r="AB8" s="191">
        <v>982</v>
      </c>
      <c r="AC8" s="189">
        <v>1589</v>
      </c>
      <c r="AD8" s="191">
        <v>884</v>
      </c>
      <c r="AE8" s="189">
        <v>1451</v>
      </c>
      <c r="AF8" s="190">
        <v>710</v>
      </c>
      <c r="AG8" s="191">
        <v>174</v>
      </c>
      <c r="AH8" s="136">
        <v>0.27653820148749153</v>
      </c>
      <c r="AI8" s="33">
        <v>7.4374577417173765E-2</v>
      </c>
      <c r="AJ8" s="33">
        <v>-0.1583686440677966</v>
      </c>
      <c r="AK8" s="33">
        <v>0.13003452243958574</v>
      </c>
      <c r="AL8" s="33">
        <v>1.7261219792865361E-2</v>
      </c>
      <c r="AM8" s="33">
        <v>-9.9796334012219962E-2</v>
      </c>
      <c r="AN8" s="34">
        <v>0.69662428759316086</v>
      </c>
      <c r="AO8" s="33">
        <v>0.38754932047347657</v>
      </c>
      <c r="AP8" s="33">
        <v>0.31126698816308634</v>
      </c>
      <c r="AQ8" s="33">
        <v>7.628233231039018E-2</v>
      </c>
      <c r="AR8" s="33">
        <v>1.8080068876452863E-2</v>
      </c>
      <c r="AS8" s="136">
        <v>4.6909250328803158E-2</v>
      </c>
      <c r="AT8" s="35">
        <v>3.9894782989916701E-2</v>
      </c>
      <c r="AU8" s="30">
        <v>568</v>
      </c>
      <c r="AV8" s="30">
        <v>628</v>
      </c>
      <c r="AW8" s="31">
        <v>590</v>
      </c>
      <c r="AX8" s="136">
        <v>0.10563380281690141</v>
      </c>
      <c r="AY8" s="33">
        <v>3.873239436619718E-2</v>
      </c>
      <c r="AZ8" s="35">
        <v>-6.0509554140127389E-2</v>
      </c>
      <c r="BA8" s="29">
        <v>40</v>
      </c>
      <c r="BB8" s="31">
        <v>39</v>
      </c>
      <c r="BC8" s="29">
        <v>3</v>
      </c>
      <c r="BD8" s="31">
        <v>4</v>
      </c>
      <c r="BE8" s="29">
        <v>943</v>
      </c>
      <c r="BF8" s="30">
        <v>1589</v>
      </c>
      <c r="BG8" s="33">
        <v>0.59345500314663313</v>
      </c>
      <c r="BH8" s="30">
        <v>354</v>
      </c>
      <c r="BI8" s="30">
        <v>590</v>
      </c>
      <c r="BJ8" s="35">
        <v>0.6</v>
      </c>
    </row>
    <row r="9" spans="1:62" x14ac:dyDescent="0.25">
      <c r="A9" s="29"/>
      <c r="B9" s="30"/>
      <c r="C9" s="30"/>
      <c r="D9" s="30"/>
      <c r="E9" s="31" t="s">
        <v>148</v>
      </c>
      <c r="F9" s="188"/>
      <c r="G9" s="189">
        <v>222</v>
      </c>
      <c r="H9" s="190">
        <v>14</v>
      </c>
      <c r="I9" s="190">
        <v>236</v>
      </c>
      <c r="J9" s="191">
        <v>0</v>
      </c>
      <c r="K9" s="189">
        <v>0</v>
      </c>
      <c r="L9" s="190">
        <v>0</v>
      </c>
      <c r="M9" s="190">
        <v>0</v>
      </c>
      <c r="N9" s="190">
        <v>0</v>
      </c>
      <c r="O9" s="190">
        <v>0</v>
      </c>
      <c r="P9" s="190">
        <v>0</v>
      </c>
      <c r="Q9" s="190">
        <v>0</v>
      </c>
      <c r="R9" s="191">
        <v>12</v>
      </c>
      <c r="S9" s="188">
        <v>120</v>
      </c>
      <c r="T9" s="189">
        <v>111</v>
      </c>
      <c r="U9" s="190">
        <v>0</v>
      </c>
      <c r="V9" s="190">
        <v>0</v>
      </c>
      <c r="W9" s="190">
        <v>0</v>
      </c>
      <c r="X9" s="191">
        <v>111</v>
      </c>
      <c r="Y9" s="189">
        <v>1009</v>
      </c>
      <c r="Z9" s="191">
        <v>230</v>
      </c>
      <c r="AA9" s="189">
        <v>993</v>
      </c>
      <c r="AB9" s="191">
        <v>241</v>
      </c>
      <c r="AC9" s="189">
        <v>991</v>
      </c>
      <c r="AD9" s="191">
        <v>257</v>
      </c>
      <c r="AE9" s="189">
        <v>32</v>
      </c>
      <c r="AF9" s="190">
        <v>19</v>
      </c>
      <c r="AG9" s="191">
        <v>89</v>
      </c>
      <c r="AH9" s="136">
        <v>-1.5857284440039643E-2</v>
      </c>
      <c r="AI9" s="33">
        <v>-1.7839444995044598E-2</v>
      </c>
      <c r="AJ9" s="33">
        <v>-2.014098690835851E-3</v>
      </c>
      <c r="AK9" s="33">
        <v>4.7826086956521741E-2</v>
      </c>
      <c r="AL9" s="33">
        <v>0.11739130434782609</v>
      </c>
      <c r="AM9" s="33">
        <v>6.6390041493775934E-2</v>
      </c>
      <c r="AN9" s="34">
        <v>4.4639639639639643</v>
      </c>
      <c r="AO9" s="33">
        <v>1.1576576576576576</v>
      </c>
      <c r="AP9" s="33">
        <v>8.5585585585585586E-2</v>
      </c>
      <c r="AQ9" s="33">
        <v>0.40090090090090091</v>
      </c>
      <c r="AR9" s="33">
        <v>5.128205128205128E-2</v>
      </c>
      <c r="AS9" s="136">
        <v>0.54054054054054057</v>
      </c>
      <c r="AT9" s="35">
        <v>4.0540540540540543E-2</v>
      </c>
      <c r="AU9" s="30">
        <v>248</v>
      </c>
      <c r="AV9" s="30">
        <v>222</v>
      </c>
      <c r="AW9" s="31">
        <v>234</v>
      </c>
      <c r="AX9" s="136">
        <v>-0.10483870967741936</v>
      </c>
      <c r="AY9" s="33">
        <v>-5.6451612903225805E-2</v>
      </c>
      <c r="AZ9" s="35">
        <v>5.4054054054054057E-2</v>
      </c>
      <c r="BA9" s="29">
        <v>53</v>
      </c>
      <c r="BB9" s="31">
        <v>44</v>
      </c>
      <c r="BC9" s="29">
        <v>9</v>
      </c>
      <c r="BD9" s="31">
        <v>7</v>
      </c>
      <c r="BE9" s="29">
        <v>613</v>
      </c>
      <c r="BF9" s="30">
        <v>991</v>
      </c>
      <c r="BG9" s="33">
        <v>0.6185671039354188</v>
      </c>
      <c r="BH9" s="30">
        <v>132</v>
      </c>
      <c r="BI9" s="30">
        <v>234</v>
      </c>
      <c r="BJ9" s="35">
        <v>0.5641025641025641</v>
      </c>
    </row>
    <row r="10" spans="1:62" x14ac:dyDescent="0.25">
      <c r="A10" s="29"/>
      <c r="B10" s="30"/>
      <c r="C10" s="30"/>
      <c r="D10" s="30"/>
      <c r="E10" s="31" t="s">
        <v>97</v>
      </c>
      <c r="F10" s="188">
        <v>240</v>
      </c>
      <c r="G10" s="189">
        <v>233</v>
      </c>
      <c r="H10" s="190">
        <v>0</v>
      </c>
      <c r="I10" s="190">
        <v>233</v>
      </c>
      <c r="J10" s="191">
        <v>0</v>
      </c>
      <c r="K10" s="189">
        <v>0</v>
      </c>
      <c r="L10" s="190">
        <v>1</v>
      </c>
      <c r="M10" s="190">
        <v>1</v>
      </c>
      <c r="N10" s="190">
        <v>0</v>
      </c>
      <c r="O10" s="190">
        <v>1</v>
      </c>
      <c r="P10" s="190">
        <v>0</v>
      </c>
      <c r="Q10" s="190">
        <v>0</v>
      </c>
      <c r="R10" s="191">
        <v>2</v>
      </c>
      <c r="S10" s="188">
        <v>11</v>
      </c>
      <c r="T10" s="189">
        <v>1</v>
      </c>
      <c r="U10" s="190">
        <v>0</v>
      </c>
      <c r="V10" s="190">
        <v>0</v>
      </c>
      <c r="W10" s="190">
        <v>1</v>
      </c>
      <c r="X10" s="191">
        <v>0</v>
      </c>
      <c r="Y10" s="189">
        <v>260</v>
      </c>
      <c r="Z10" s="191">
        <v>116</v>
      </c>
      <c r="AA10" s="189">
        <v>221</v>
      </c>
      <c r="AB10" s="191">
        <v>126</v>
      </c>
      <c r="AC10" s="189">
        <v>221</v>
      </c>
      <c r="AD10" s="191">
        <v>116</v>
      </c>
      <c r="AE10" s="189">
        <v>120</v>
      </c>
      <c r="AF10" s="190">
        <v>33</v>
      </c>
      <c r="AG10" s="191">
        <v>19</v>
      </c>
      <c r="AH10" s="136">
        <v>-0.15</v>
      </c>
      <c r="AI10" s="33">
        <v>-0.15</v>
      </c>
      <c r="AJ10" s="33">
        <v>0</v>
      </c>
      <c r="AK10" s="33">
        <v>8.6206896551724144E-2</v>
      </c>
      <c r="AL10" s="33">
        <v>0</v>
      </c>
      <c r="AM10" s="33">
        <v>-7.9365079365079361E-2</v>
      </c>
      <c r="AN10" s="34">
        <v>0.94849785407725318</v>
      </c>
      <c r="AO10" s="33">
        <v>0.4978540772532189</v>
      </c>
      <c r="AP10" s="33">
        <v>0.14163090128755365</v>
      </c>
      <c r="AQ10" s="33">
        <v>8.15450643776824E-2</v>
      </c>
      <c r="AR10" s="33">
        <v>8.5106382978723406E-3</v>
      </c>
      <c r="AS10" s="136">
        <v>4.7210300429184553E-2</v>
      </c>
      <c r="AT10" s="35">
        <v>4.2918454935622317E-2</v>
      </c>
      <c r="AU10" s="30">
        <v>105</v>
      </c>
      <c r="AV10" s="30">
        <v>83</v>
      </c>
      <c r="AW10" s="31">
        <v>122</v>
      </c>
      <c r="AX10" s="136">
        <v>-0.20952380952380953</v>
      </c>
      <c r="AY10" s="33">
        <v>0.16190476190476191</v>
      </c>
      <c r="AZ10" s="35">
        <v>0.46987951807228917</v>
      </c>
      <c r="BA10" s="29">
        <v>52</v>
      </c>
      <c r="BB10" s="31">
        <v>49</v>
      </c>
      <c r="BC10" s="29">
        <v>5</v>
      </c>
      <c r="BD10" s="31">
        <v>5</v>
      </c>
      <c r="BE10" s="29">
        <v>131</v>
      </c>
      <c r="BF10" s="30">
        <v>221</v>
      </c>
      <c r="BG10" s="33">
        <v>0.59276018099547512</v>
      </c>
      <c r="BH10" s="30">
        <v>75</v>
      </c>
      <c r="BI10" s="30">
        <v>122</v>
      </c>
      <c r="BJ10" s="35">
        <v>0.61475409836065575</v>
      </c>
    </row>
    <row r="11" spans="1:62" x14ac:dyDescent="0.25">
      <c r="A11" s="22"/>
      <c r="B11" s="23"/>
      <c r="C11" s="23"/>
      <c r="D11" s="23" t="s">
        <v>149</v>
      </c>
      <c r="E11" s="24"/>
      <c r="F11" s="184">
        <v>629</v>
      </c>
      <c r="G11" s="185">
        <v>586</v>
      </c>
      <c r="H11" s="186">
        <v>5</v>
      </c>
      <c r="I11" s="186">
        <v>591</v>
      </c>
      <c r="J11" s="187">
        <v>0</v>
      </c>
      <c r="K11" s="185">
        <v>0</v>
      </c>
      <c r="L11" s="186">
        <v>0</v>
      </c>
      <c r="M11" s="186">
        <v>2</v>
      </c>
      <c r="N11" s="186">
        <v>0</v>
      </c>
      <c r="O11" s="186">
        <v>0</v>
      </c>
      <c r="P11" s="186">
        <v>0</v>
      </c>
      <c r="Q11" s="186">
        <v>7</v>
      </c>
      <c r="R11" s="187">
        <v>23</v>
      </c>
      <c r="S11" s="184">
        <v>101</v>
      </c>
      <c r="T11" s="185">
        <v>68</v>
      </c>
      <c r="U11" s="186">
        <v>0</v>
      </c>
      <c r="V11" s="186">
        <v>5</v>
      </c>
      <c r="W11" s="186">
        <v>0</v>
      </c>
      <c r="X11" s="187">
        <v>63</v>
      </c>
      <c r="Y11" s="185">
        <v>1340</v>
      </c>
      <c r="Z11" s="187">
        <v>428</v>
      </c>
      <c r="AA11" s="185">
        <v>1607</v>
      </c>
      <c r="AB11" s="187">
        <v>433</v>
      </c>
      <c r="AC11" s="185">
        <v>1668</v>
      </c>
      <c r="AD11" s="187">
        <v>487</v>
      </c>
      <c r="AE11" s="185">
        <v>185</v>
      </c>
      <c r="AF11" s="186">
        <v>63</v>
      </c>
      <c r="AG11" s="187">
        <v>180</v>
      </c>
      <c r="AH11" s="135">
        <v>0.19925373134328359</v>
      </c>
      <c r="AI11" s="26">
        <v>0.24477611940298508</v>
      </c>
      <c r="AJ11" s="26">
        <v>3.7958929682638455E-2</v>
      </c>
      <c r="AK11" s="26">
        <v>1.1682242990654205E-2</v>
      </c>
      <c r="AL11" s="26">
        <v>0.13785046728971961</v>
      </c>
      <c r="AM11" s="26">
        <v>0.12471131639722864</v>
      </c>
      <c r="AN11" s="27">
        <v>2.8464163822525599</v>
      </c>
      <c r="AO11" s="26">
        <v>0.83105802047781574</v>
      </c>
      <c r="AP11" s="26">
        <v>0.10750853242320819</v>
      </c>
      <c r="AQ11" s="26">
        <v>0.30716723549488056</v>
      </c>
      <c r="AR11" s="26">
        <v>3.7766830870279149E-2</v>
      </c>
      <c r="AS11" s="135">
        <v>0.17235494880546076</v>
      </c>
      <c r="AT11" s="28">
        <v>5.6313993174061432E-2</v>
      </c>
      <c r="AU11" s="23">
        <v>377</v>
      </c>
      <c r="AV11" s="23">
        <v>406</v>
      </c>
      <c r="AW11" s="24">
        <v>411</v>
      </c>
      <c r="AX11" s="135">
        <v>7.6923076923076927E-2</v>
      </c>
      <c r="AY11" s="26">
        <v>9.0185676392572939E-2</v>
      </c>
      <c r="AZ11" s="28">
        <v>1.2315270935960592E-2</v>
      </c>
      <c r="BA11" s="22">
        <v>47</v>
      </c>
      <c r="BB11" s="24">
        <v>38</v>
      </c>
      <c r="BC11" s="22">
        <v>6</v>
      </c>
      <c r="BD11" s="24">
        <v>4</v>
      </c>
      <c r="BE11" s="22">
        <v>869</v>
      </c>
      <c r="BF11" s="23">
        <v>1668</v>
      </c>
      <c r="BG11" s="26">
        <v>0.52098321342925658</v>
      </c>
      <c r="BH11" s="23">
        <v>232</v>
      </c>
      <c r="BI11" s="23">
        <v>411</v>
      </c>
      <c r="BJ11" s="28">
        <v>0.56447688564476883</v>
      </c>
    </row>
    <row r="12" spans="1:62" x14ac:dyDescent="0.25">
      <c r="A12" s="29"/>
      <c r="B12" s="30"/>
      <c r="C12" s="30"/>
      <c r="D12" s="30"/>
      <c r="E12" s="31" t="s">
        <v>68</v>
      </c>
      <c r="F12" s="188">
        <v>512</v>
      </c>
      <c r="G12" s="189">
        <v>492</v>
      </c>
      <c r="H12" s="190">
        <v>2</v>
      </c>
      <c r="I12" s="190">
        <v>494</v>
      </c>
      <c r="J12" s="191">
        <v>0</v>
      </c>
      <c r="K12" s="189">
        <v>0</v>
      </c>
      <c r="L12" s="190">
        <v>0</v>
      </c>
      <c r="M12" s="190">
        <v>1</v>
      </c>
      <c r="N12" s="190">
        <v>0</v>
      </c>
      <c r="O12" s="190">
        <v>0</v>
      </c>
      <c r="P12" s="190">
        <v>0</v>
      </c>
      <c r="Q12" s="190">
        <v>7</v>
      </c>
      <c r="R12" s="191">
        <v>9</v>
      </c>
      <c r="S12" s="188">
        <v>45</v>
      </c>
      <c r="T12" s="189">
        <v>5</v>
      </c>
      <c r="U12" s="190">
        <v>0</v>
      </c>
      <c r="V12" s="190">
        <v>5</v>
      </c>
      <c r="W12" s="190">
        <v>0</v>
      </c>
      <c r="X12" s="191">
        <v>0</v>
      </c>
      <c r="Y12" s="189">
        <v>908</v>
      </c>
      <c r="Z12" s="191">
        <v>329</v>
      </c>
      <c r="AA12" s="189">
        <v>1004</v>
      </c>
      <c r="AB12" s="191">
        <v>328</v>
      </c>
      <c r="AC12" s="189">
        <v>1070</v>
      </c>
      <c r="AD12" s="191">
        <v>350</v>
      </c>
      <c r="AE12" s="189">
        <v>156</v>
      </c>
      <c r="AF12" s="190">
        <v>45</v>
      </c>
      <c r="AG12" s="191">
        <v>120</v>
      </c>
      <c r="AH12" s="136">
        <v>0.10572687224669604</v>
      </c>
      <c r="AI12" s="33">
        <v>0.17841409691629956</v>
      </c>
      <c r="AJ12" s="33">
        <v>6.5737051792828682E-2</v>
      </c>
      <c r="AK12" s="33">
        <v>-3.0395136778115501E-3</v>
      </c>
      <c r="AL12" s="33">
        <v>6.3829787234042548E-2</v>
      </c>
      <c r="AM12" s="33">
        <v>6.7073170731707321E-2</v>
      </c>
      <c r="AN12" s="34">
        <v>2.1747967479674797</v>
      </c>
      <c r="AO12" s="33">
        <v>0.71138211382113825</v>
      </c>
      <c r="AP12" s="33">
        <v>9.1463414634146339E-2</v>
      </c>
      <c r="AQ12" s="33">
        <v>0.24390243902439024</v>
      </c>
      <c r="AR12" s="33">
        <v>1.7964071856287425E-2</v>
      </c>
      <c r="AS12" s="136">
        <v>9.1463414634146339E-2</v>
      </c>
      <c r="AT12" s="35">
        <v>8.1300813008130079E-2</v>
      </c>
      <c r="AU12" s="30">
        <v>325</v>
      </c>
      <c r="AV12" s="30">
        <v>349</v>
      </c>
      <c r="AW12" s="31">
        <v>348</v>
      </c>
      <c r="AX12" s="136">
        <v>7.3846153846153853E-2</v>
      </c>
      <c r="AY12" s="33">
        <v>7.0769230769230765E-2</v>
      </c>
      <c r="AZ12" s="35">
        <v>-2.8653295128939827E-3</v>
      </c>
      <c r="BA12" s="29">
        <v>43</v>
      </c>
      <c r="BB12" s="31">
        <v>37</v>
      </c>
      <c r="BC12" s="29">
        <v>5</v>
      </c>
      <c r="BD12" s="31">
        <v>3</v>
      </c>
      <c r="BE12" s="29">
        <v>615</v>
      </c>
      <c r="BF12" s="30">
        <v>1070</v>
      </c>
      <c r="BG12" s="33">
        <v>0.57476635514018692</v>
      </c>
      <c r="BH12" s="30">
        <v>201</v>
      </c>
      <c r="BI12" s="30">
        <v>348</v>
      </c>
      <c r="BJ12" s="35">
        <v>0.57758620689655171</v>
      </c>
    </row>
    <row r="13" spans="1:62" x14ac:dyDescent="0.25">
      <c r="A13" s="29"/>
      <c r="B13" s="30"/>
      <c r="C13" s="30"/>
      <c r="D13" s="30"/>
      <c r="E13" s="31" t="s">
        <v>148</v>
      </c>
      <c r="F13" s="188">
        <v>116</v>
      </c>
      <c r="G13" s="189">
        <v>93</v>
      </c>
      <c r="H13" s="190">
        <v>3</v>
      </c>
      <c r="I13" s="190">
        <v>96</v>
      </c>
      <c r="J13" s="191">
        <v>0</v>
      </c>
      <c r="K13" s="189">
        <v>0</v>
      </c>
      <c r="L13" s="190">
        <v>0</v>
      </c>
      <c r="M13" s="190">
        <v>1</v>
      </c>
      <c r="N13" s="190">
        <v>0</v>
      </c>
      <c r="O13" s="190">
        <v>0</v>
      </c>
      <c r="P13" s="190">
        <v>0</v>
      </c>
      <c r="Q13" s="190">
        <v>0</v>
      </c>
      <c r="R13" s="191">
        <v>14</v>
      </c>
      <c r="S13" s="188">
        <v>56</v>
      </c>
      <c r="T13" s="189">
        <v>63</v>
      </c>
      <c r="U13" s="190">
        <v>0</v>
      </c>
      <c r="V13" s="190">
        <v>0</v>
      </c>
      <c r="W13" s="190">
        <v>0</v>
      </c>
      <c r="X13" s="191">
        <v>63</v>
      </c>
      <c r="Y13" s="189">
        <v>430</v>
      </c>
      <c r="Z13" s="191">
        <v>97</v>
      </c>
      <c r="AA13" s="189">
        <v>592</v>
      </c>
      <c r="AB13" s="191">
        <v>95</v>
      </c>
      <c r="AC13" s="189">
        <v>576</v>
      </c>
      <c r="AD13" s="191">
        <v>124</v>
      </c>
      <c r="AE13" s="189">
        <v>28</v>
      </c>
      <c r="AF13" s="190">
        <v>18</v>
      </c>
      <c r="AG13" s="191">
        <v>60</v>
      </c>
      <c r="AH13" s="136">
        <v>0.37674418604651161</v>
      </c>
      <c r="AI13" s="33">
        <v>0.33953488372093021</v>
      </c>
      <c r="AJ13" s="33">
        <v>-2.7027027027027029E-2</v>
      </c>
      <c r="AK13" s="33">
        <v>-2.0618556701030927E-2</v>
      </c>
      <c r="AL13" s="33">
        <v>0.27835051546391754</v>
      </c>
      <c r="AM13" s="33">
        <v>0.30526315789473685</v>
      </c>
      <c r="AN13" s="34">
        <v>6.193548387096774</v>
      </c>
      <c r="AO13" s="33">
        <v>1.3333333333333333</v>
      </c>
      <c r="AP13" s="33">
        <v>0.19354838709677419</v>
      </c>
      <c r="AQ13" s="33">
        <v>0.64516129032258063</v>
      </c>
      <c r="AR13" s="33">
        <v>0.13084112149532709</v>
      </c>
      <c r="AS13" s="136">
        <v>0.60215053763440862</v>
      </c>
      <c r="AT13" s="35">
        <v>-7.5268817204301078E-2</v>
      </c>
      <c r="AU13" s="30">
        <v>102</v>
      </c>
      <c r="AV13" s="30">
        <v>118</v>
      </c>
      <c r="AW13" s="31">
        <v>126</v>
      </c>
      <c r="AX13" s="136">
        <v>0.15686274509803921</v>
      </c>
      <c r="AY13" s="33">
        <v>0.23529411764705882</v>
      </c>
      <c r="AZ13" s="35">
        <v>6.7796610169491525E-2</v>
      </c>
      <c r="BA13" s="29">
        <v>55</v>
      </c>
      <c r="BB13" s="31">
        <v>49</v>
      </c>
      <c r="BC13" s="29">
        <v>10</v>
      </c>
      <c r="BD13" s="31">
        <v>6.5</v>
      </c>
      <c r="BE13" s="29">
        <v>240</v>
      </c>
      <c r="BF13" s="30">
        <v>576</v>
      </c>
      <c r="BG13" s="33">
        <v>0.41666666666666669</v>
      </c>
      <c r="BH13" s="30">
        <v>62</v>
      </c>
      <c r="BI13" s="30">
        <v>126</v>
      </c>
      <c r="BJ13" s="35">
        <v>0.49206349206349204</v>
      </c>
    </row>
    <row r="14" spans="1:62" x14ac:dyDescent="0.25">
      <c r="A14" s="15"/>
      <c r="B14" s="16"/>
      <c r="C14" s="16" t="s">
        <v>150</v>
      </c>
      <c r="D14" s="16"/>
      <c r="E14" s="17"/>
      <c r="F14" s="180">
        <v>9170</v>
      </c>
      <c r="G14" s="181">
        <v>8608</v>
      </c>
      <c r="H14" s="182">
        <v>9</v>
      </c>
      <c r="I14" s="182">
        <v>7986</v>
      </c>
      <c r="J14" s="183">
        <v>631</v>
      </c>
      <c r="K14" s="181">
        <v>0</v>
      </c>
      <c r="L14" s="182">
        <v>38</v>
      </c>
      <c r="M14" s="182">
        <v>55</v>
      </c>
      <c r="N14" s="182">
        <v>46</v>
      </c>
      <c r="O14" s="182">
        <v>86</v>
      </c>
      <c r="P14" s="182">
        <v>1</v>
      </c>
      <c r="Q14" s="182">
        <v>40</v>
      </c>
      <c r="R14" s="183">
        <v>281</v>
      </c>
      <c r="S14" s="180">
        <v>872</v>
      </c>
      <c r="T14" s="181">
        <v>588</v>
      </c>
      <c r="U14" s="182">
        <v>3</v>
      </c>
      <c r="V14" s="182">
        <v>25</v>
      </c>
      <c r="W14" s="182">
        <v>23</v>
      </c>
      <c r="X14" s="183">
        <v>537</v>
      </c>
      <c r="Y14" s="181">
        <v>21988</v>
      </c>
      <c r="Z14" s="183">
        <v>6422</v>
      </c>
      <c r="AA14" s="181">
        <v>21965</v>
      </c>
      <c r="AB14" s="183">
        <v>6457</v>
      </c>
      <c r="AC14" s="181">
        <v>22438</v>
      </c>
      <c r="AD14" s="183">
        <v>6494</v>
      </c>
      <c r="AE14" s="181">
        <v>2695</v>
      </c>
      <c r="AF14" s="182">
        <v>896</v>
      </c>
      <c r="AG14" s="183">
        <v>1609</v>
      </c>
      <c r="AH14" s="133">
        <v>-1.0460251046025104E-3</v>
      </c>
      <c r="AI14" s="19">
        <v>2.0465708568309988E-2</v>
      </c>
      <c r="AJ14" s="19">
        <v>2.1534259048486229E-2</v>
      </c>
      <c r="AK14" s="19">
        <v>5.4500155714730615E-3</v>
      </c>
      <c r="AL14" s="19">
        <v>1.1211460604173155E-2</v>
      </c>
      <c r="AM14" s="19">
        <v>5.7302152702493414E-3</v>
      </c>
      <c r="AN14" s="20">
        <v>2.6066449814126393</v>
      </c>
      <c r="AO14" s="19">
        <v>0.75441449814126393</v>
      </c>
      <c r="AP14" s="19">
        <v>0.10408921933085502</v>
      </c>
      <c r="AQ14" s="19">
        <v>0.18691914498141263</v>
      </c>
      <c r="AR14" s="19">
        <v>3.1612104848689392E-2</v>
      </c>
      <c r="AS14" s="133">
        <v>0.10130111524163568</v>
      </c>
      <c r="AT14" s="21">
        <v>3.2992565055762084E-2</v>
      </c>
      <c r="AU14" s="16">
        <v>1562</v>
      </c>
      <c r="AV14" s="16">
        <v>1519</v>
      </c>
      <c r="AW14" s="17">
        <v>1592</v>
      </c>
      <c r="AX14" s="133">
        <v>-2.7528809218950064E-2</v>
      </c>
      <c r="AY14" s="19">
        <v>1.9206145966709345E-2</v>
      </c>
      <c r="AZ14" s="21">
        <v>4.8057932850559579E-2</v>
      </c>
      <c r="BA14" s="15">
        <v>37</v>
      </c>
      <c r="BB14" s="17">
        <v>29</v>
      </c>
      <c r="BC14" s="15">
        <v>4</v>
      </c>
      <c r="BD14" s="17">
        <v>3</v>
      </c>
      <c r="BE14" s="15">
        <v>12504</v>
      </c>
      <c r="BF14" s="16">
        <v>22441</v>
      </c>
      <c r="BG14" s="19">
        <v>0.5571944209259837</v>
      </c>
      <c r="BH14" s="16">
        <v>923</v>
      </c>
      <c r="BI14" s="16">
        <v>1592</v>
      </c>
      <c r="BJ14" s="21">
        <v>0.57977386934673369</v>
      </c>
    </row>
    <row r="15" spans="1:62" x14ac:dyDescent="0.25">
      <c r="A15" s="22"/>
      <c r="B15" s="23"/>
      <c r="C15" s="23"/>
      <c r="D15" s="23" t="s">
        <v>151</v>
      </c>
      <c r="E15" s="24"/>
      <c r="F15" s="184">
        <v>3438</v>
      </c>
      <c r="G15" s="185">
        <v>3222</v>
      </c>
      <c r="H15" s="186">
        <v>9</v>
      </c>
      <c r="I15" s="186">
        <v>3113</v>
      </c>
      <c r="J15" s="187">
        <v>118</v>
      </c>
      <c r="K15" s="185">
        <v>0</v>
      </c>
      <c r="L15" s="186">
        <v>13</v>
      </c>
      <c r="M15" s="186">
        <v>18</v>
      </c>
      <c r="N15" s="186">
        <v>29</v>
      </c>
      <c r="O15" s="186">
        <v>63</v>
      </c>
      <c r="P15" s="186">
        <v>0</v>
      </c>
      <c r="Q15" s="186">
        <v>17</v>
      </c>
      <c r="R15" s="187">
        <v>66</v>
      </c>
      <c r="S15" s="184">
        <v>359</v>
      </c>
      <c r="T15" s="185">
        <v>393</v>
      </c>
      <c r="U15" s="186">
        <v>1</v>
      </c>
      <c r="V15" s="186">
        <v>12</v>
      </c>
      <c r="W15" s="186">
        <v>11</v>
      </c>
      <c r="X15" s="187">
        <v>369</v>
      </c>
      <c r="Y15" s="185">
        <v>7392</v>
      </c>
      <c r="Z15" s="187">
        <v>2462</v>
      </c>
      <c r="AA15" s="185">
        <v>6708</v>
      </c>
      <c r="AB15" s="187">
        <v>2316</v>
      </c>
      <c r="AC15" s="185">
        <v>6560</v>
      </c>
      <c r="AD15" s="187">
        <v>2285</v>
      </c>
      <c r="AE15" s="185">
        <v>1201</v>
      </c>
      <c r="AF15" s="186">
        <v>267</v>
      </c>
      <c r="AG15" s="187">
        <v>550</v>
      </c>
      <c r="AH15" s="135">
        <v>-9.2532467532467536E-2</v>
      </c>
      <c r="AI15" s="26">
        <v>-0.11255411255411256</v>
      </c>
      <c r="AJ15" s="26">
        <v>-2.2063208109719738E-2</v>
      </c>
      <c r="AK15" s="26">
        <v>-5.9301380991064176E-2</v>
      </c>
      <c r="AL15" s="26">
        <v>-7.18927701056052E-2</v>
      </c>
      <c r="AM15" s="26">
        <v>-1.3385146804835924E-2</v>
      </c>
      <c r="AN15" s="27">
        <v>2.0360024829298573</v>
      </c>
      <c r="AO15" s="26">
        <v>0.70918684047175662</v>
      </c>
      <c r="AP15" s="26">
        <v>8.2867783985102417E-2</v>
      </c>
      <c r="AQ15" s="26">
        <v>0.17070142768466789</v>
      </c>
      <c r="AR15" s="26">
        <v>2.0072992700729927E-2</v>
      </c>
      <c r="AS15" s="135">
        <v>0.11142147734326505</v>
      </c>
      <c r="AT15" s="28">
        <v>-1.0552451893234015E-2</v>
      </c>
      <c r="AU15" s="23">
        <v>949</v>
      </c>
      <c r="AV15" s="23">
        <v>872</v>
      </c>
      <c r="AW15" s="24">
        <v>838</v>
      </c>
      <c r="AX15" s="135">
        <v>-8.1138040042149626E-2</v>
      </c>
      <c r="AY15" s="26">
        <v>-0.11696522655426765</v>
      </c>
      <c r="AZ15" s="28">
        <v>-3.8990825688073397E-2</v>
      </c>
      <c r="BA15" s="22">
        <v>42</v>
      </c>
      <c r="BB15" s="24">
        <v>37</v>
      </c>
      <c r="BC15" s="22">
        <v>6</v>
      </c>
      <c r="BD15" s="24">
        <v>3</v>
      </c>
      <c r="BE15" s="22">
        <v>3525</v>
      </c>
      <c r="BF15" s="23">
        <v>6563</v>
      </c>
      <c r="BG15" s="26">
        <v>0.53710193509065973</v>
      </c>
      <c r="BH15" s="23">
        <v>444</v>
      </c>
      <c r="BI15" s="23">
        <v>838</v>
      </c>
      <c r="BJ15" s="28">
        <v>0.5298329355608592</v>
      </c>
    </row>
    <row r="16" spans="1:62" x14ac:dyDescent="0.25">
      <c r="A16" s="29"/>
      <c r="B16" s="30"/>
      <c r="C16" s="30"/>
      <c r="D16" s="30"/>
      <c r="E16" s="31" t="s">
        <v>68</v>
      </c>
      <c r="F16" s="188">
        <v>3356</v>
      </c>
      <c r="G16" s="189">
        <v>3155</v>
      </c>
      <c r="H16" s="190">
        <v>0</v>
      </c>
      <c r="I16" s="190">
        <v>3037</v>
      </c>
      <c r="J16" s="191">
        <v>118</v>
      </c>
      <c r="K16" s="189">
        <v>0</v>
      </c>
      <c r="L16" s="190">
        <v>13</v>
      </c>
      <c r="M16" s="190">
        <v>12</v>
      </c>
      <c r="N16" s="190">
        <v>29</v>
      </c>
      <c r="O16" s="190">
        <v>63</v>
      </c>
      <c r="P16" s="190">
        <v>0</v>
      </c>
      <c r="Q16" s="190">
        <v>17</v>
      </c>
      <c r="R16" s="191">
        <v>66</v>
      </c>
      <c r="S16" s="188">
        <v>294</v>
      </c>
      <c r="T16" s="189">
        <v>318</v>
      </c>
      <c r="U16" s="190">
        <v>1</v>
      </c>
      <c r="V16" s="190">
        <v>12</v>
      </c>
      <c r="W16" s="190">
        <v>5</v>
      </c>
      <c r="X16" s="191">
        <v>300</v>
      </c>
      <c r="Y16" s="189">
        <v>7141</v>
      </c>
      <c r="Z16" s="191">
        <v>2371</v>
      </c>
      <c r="AA16" s="189">
        <v>6477</v>
      </c>
      <c r="AB16" s="191">
        <v>2227</v>
      </c>
      <c r="AC16" s="189">
        <v>6300</v>
      </c>
      <c r="AD16" s="191">
        <v>2193</v>
      </c>
      <c r="AE16" s="189">
        <v>1180</v>
      </c>
      <c r="AF16" s="190">
        <v>251</v>
      </c>
      <c r="AG16" s="191">
        <v>530</v>
      </c>
      <c r="AH16" s="136">
        <v>-9.2984175885730283E-2</v>
      </c>
      <c r="AI16" s="33">
        <v>-0.11777062036129393</v>
      </c>
      <c r="AJ16" s="33">
        <v>-2.7327466419638721E-2</v>
      </c>
      <c r="AK16" s="33">
        <v>-6.0733867566427666E-2</v>
      </c>
      <c r="AL16" s="33">
        <v>-7.5073808519611984E-2</v>
      </c>
      <c r="AM16" s="33">
        <v>-1.5267175572519083E-2</v>
      </c>
      <c r="AN16" s="34">
        <v>1.9968304278922346</v>
      </c>
      <c r="AO16" s="33">
        <v>0.6950871632329636</v>
      </c>
      <c r="AP16" s="33">
        <v>7.9556259904912843E-2</v>
      </c>
      <c r="AQ16" s="33">
        <v>0.16798732171156894</v>
      </c>
      <c r="AR16" s="33">
        <v>2.049053089102763E-2</v>
      </c>
      <c r="AS16" s="136">
        <v>9.3185419968304276E-2</v>
      </c>
      <c r="AT16" s="35">
        <v>-7.6069730586370843E-3</v>
      </c>
      <c r="AU16" s="30">
        <v>924</v>
      </c>
      <c r="AV16" s="30">
        <v>853</v>
      </c>
      <c r="AW16" s="31">
        <v>815</v>
      </c>
      <c r="AX16" s="136">
        <v>-7.6839826839826833E-2</v>
      </c>
      <c r="AY16" s="33">
        <v>-0.11796536796536797</v>
      </c>
      <c r="AZ16" s="35">
        <v>-4.4548651817116064E-2</v>
      </c>
      <c r="BA16" s="29">
        <v>42</v>
      </c>
      <c r="BB16" s="31">
        <v>37</v>
      </c>
      <c r="BC16" s="29">
        <v>5</v>
      </c>
      <c r="BD16" s="31">
        <v>3</v>
      </c>
      <c r="BE16" s="29">
        <v>3380</v>
      </c>
      <c r="BF16" s="30">
        <v>6300</v>
      </c>
      <c r="BG16" s="33">
        <v>0.53650793650793649</v>
      </c>
      <c r="BH16" s="30">
        <v>431</v>
      </c>
      <c r="BI16" s="30">
        <v>815</v>
      </c>
      <c r="BJ16" s="35">
        <v>0.5288343558282208</v>
      </c>
    </row>
    <row r="17" spans="1:62" x14ac:dyDescent="0.25">
      <c r="A17" s="29"/>
      <c r="B17" s="30"/>
      <c r="C17" s="30"/>
      <c r="D17" s="30"/>
      <c r="E17" s="31" t="s">
        <v>148</v>
      </c>
      <c r="F17" s="188">
        <v>82</v>
      </c>
      <c r="G17" s="189">
        <v>67</v>
      </c>
      <c r="H17" s="190">
        <v>9</v>
      </c>
      <c r="I17" s="190">
        <v>76</v>
      </c>
      <c r="J17" s="191">
        <v>0</v>
      </c>
      <c r="K17" s="189">
        <v>0</v>
      </c>
      <c r="L17" s="190">
        <v>0</v>
      </c>
      <c r="M17" s="190">
        <v>6</v>
      </c>
      <c r="N17" s="190">
        <v>0</v>
      </c>
      <c r="O17" s="190">
        <v>0</v>
      </c>
      <c r="P17" s="190">
        <v>0</v>
      </c>
      <c r="Q17" s="190">
        <v>0</v>
      </c>
      <c r="R17" s="191">
        <v>0</v>
      </c>
      <c r="S17" s="188">
        <v>65</v>
      </c>
      <c r="T17" s="189">
        <v>75</v>
      </c>
      <c r="U17" s="190">
        <v>0</v>
      </c>
      <c r="V17" s="190">
        <v>0</v>
      </c>
      <c r="W17" s="190">
        <v>6</v>
      </c>
      <c r="X17" s="191">
        <v>69</v>
      </c>
      <c r="Y17" s="189">
        <v>251</v>
      </c>
      <c r="Z17" s="191">
        <v>91</v>
      </c>
      <c r="AA17" s="189">
        <v>231</v>
      </c>
      <c r="AB17" s="191">
        <v>89</v>
      </c>
      <c r="AC17" s="189">
        <v>260</v>
      </c>
      <c r="AD17" s="191">
        <v>92</v>
      </c>
      <c r="AE17" s="189">
        <v>21</v>
      </c>
      <c r="AF17" s="190">
        <v>16</v>
      </c>
      <c r="AG17" s="191">
        <v>20</v>
      </c>
      <c r="AH17" s="136">
        <v>-7.9681274900398405E-2</v>
      </c>
      <c r="AI17" s="33">
        <v>3.5856573705179286E-2</v>
      </c>
      <c r="AJ17" s="33">
        <v>0.12554112554112554</v>
      </c>
      <c r="AK17" s="33">
        <v>-2.197802197802198E-2</v>
      </c>
      <c r="AL17" s="33">
        <v>1.098901098901099E-2</v>
      </c>
      <c r="AM17" s="33">
        <v>3.3707865168539325E-2</v>
      </c>
      <c r="AN17" s="34">
        <v>3.8805970149253732</v>
      </c>
      <c r="AO17" s="33">
        <v>1.3731343283582089</v>
      </c>
      <c r="AP17" s="33">
        <v>0.23880597014925373</v>
      </c>
      <c r="AQ17" s="33">
        <v>0.29850746268656714</v>
      </c>
      <c r="AR17" s="33">
        <v>0</v>
      </c>
      <c r="AS17" s="136">
        <v>0.97014925373134331</v>
      </c>
      <c r="AT17" s="35">
        <v>-0.14925373134328357</v>
      </c>
      <c r="AU17" s="30">
        <v>84</v>
      </c>
      <c r="AV17" s="30">
        <v>71</v>
      </c>
      <c r="AW17" s="31">
        <v>75</v>
      </c>
      <c r="AX17" s="136">
        <v>-0.15476190476190477</v>
      </c>
      <c r="AY17" s="33">
        <v>-0.10714285714285714</v>
      </c>
      <c r="AZ17" s="35">
        <v>5.6338028169014086E-2</v>
      </c>
      <c r="BA17" s="29">
        <v>46</v>
      </c>
      <c r="BB17" s="31">
        <v>40</v>
      </c>
      <c r="BC17" s="29">
        <v>9</v>
      </c>
      <c r="BD17" s="31">
        <v>6</v>
      </c>
      <c r="BE17" s="29">
        <v>144</v>
      </c>
      <c r="BF17" s="30">
        <v>260</v>
      </c>
      <c r="BG17" s="33">
        <v>0.55384615384615388</v>
      </c>
      <c r="BH17" s="30">
        <v>43</v>
      </c>
      <c r="BI17" s="30">
        <v>75</v>
      </c>
      <c r="BJ17" s="35">
        <v>0.57333333333333336</v>
      </c>
    </row>
    <row r="18" spans="1:62" x14ac:dyDescent="0.25">
      <c r="A18" s="22"/>
      <c r="B18" s="23"/>
      <c r="C18" s="23"/>
      <c r="D18" s="23" t="s">
        <v>152</v>
      </c>
      <c r="E18" s="24"/>
      <c r="F18" s="184">
        <v>186</v>
      </c>
      <c r="G18" s="185">
        <v>180</v>
      </c>
      <c r="H18" s="186">
        <v>0</v>
      </c>
      <c r="I18" s="186">
        <v>180</v>
      </c>
      <c r="J18" s="187">
        <v>0</v>
      </c>
      <c r="K18" s="185">
        <v>0</v>
      </c>
      <c r="L18" s="186">
        <v>0</v>
      </c>
      <c r="M18" s="186">
        <v>0</v>
      </c>
      <c r="N18" s="186">
        <v>1</v>
      </c>
      <c r="O18" s="186">
        <v>3</v>
      </c>
      <c r="P18" s="186">
        <v>0</v>
      </c>
      <c r="Q18" s="186">
        <v>1</v>
      </c>
      <c r="R18" s="187">
        <v>1</v>
      </c>
      <c r="S18" s="184">
        <v>4</v>
      </c>
      <c r="T18" s="185">
        <v>1</v>
      </c>
      <c r="U18" s="186">
        <v>0</v>
      </c>
      <c r="V18" s="186">
        <v>1</v>
      </c>
      <c r="W18" s="186">
        <v>0</v>
      </c>
      <c r="X18" s="187">
        <v>0</v>
      </c>
      <c r="Y18" s="185">
        <v>125</v>
      </c>
      <c r="Z18" s="187">
        <v>77</v>
      </c>
      <c r="AA18" s="185">
        <v>140</v>
      </c>
      <c r="AB18" s="187">
        <v>78</v>
      </c>
      <c r="AC18" s="185">
        <v>124</v>
      </c>
      <c r="AD18" s="187">
        <v>63</v>
      </c>
      <c r="AE18" s="185">
        <v>121</v>
      </c>
      <c r="AF18" s="186">
        <v>54</v>
      </c>
      <c r="AG18" s="187">
        <v>5</v>
      </c>
      <c r="AH18" s="135">
        <v>0.12</v>
      </c>
      <c r="AI18" s="26">
        <v>-8.0000000000000002E-3</v>
      </c>
      <c r="AJ18" s="26">
        <v>-0.11428571428571428</v>
      </c>
      <c r="AK18" s="26">
        <v>1.2987012987012988E-2</v>
      </c>
      <c r="AL18" s="26">
        <v>-0.18181818181818182</v>
      </c>
      <c r="AM18" s="26">
        <v>-0.19230769230769232</v>
      </c>
      <c r="AN18" s="27">
        <v>0.68888888888888888</v>
      </c>
      <c r="AO18" s="26">
        <v>0.35</v>
      </c>
      <c r="AP18" s="26">
        <v>0.3</v>
      </c>
      <c r="AQ18" s="26">
        <v>2.7777777777777776E-2</v>
      </c>
      <c r="AR18" s="26">
        <v>5.5248618784530384E-3</v>
      </c>
      <c r="AS18" s="135">
        <v>2.2222222222222223E-2</v>
      </c>
      <c r="AT18" s="28">
        <v>1.6666666666666666E-2</v>
      </c>
      <c r="AU18" s="23">
        <v>76</v>
      </c>
      <c r="AV18" s="23">
        <v>83</v>
      </c>
      <c r="AW18" s="24">
        <v>69</v>
      </c>
      <c r="AX18" s="135">
        <v>9.2105263157894732E-2</v>
      </c>
      <c r="AY18" s="26">
        <v>-9.2105263157894732E-2</v>
      </c>
      <c r="AZ18" s="28">
        <v>-0.16867469879518071</v>
      </c>
      <c r="BA18" s="22">
        <v>43</v>
      </c>
      <c r="BB18" s="24">
        <v>38</v>
      </c>
      <c r="BC18" s="22">
        <v>5</v>
      </c>
      <c r="BD18" s="24">
        <v>4</v>
      </c>
      <c r="BE18" s="22">
        <v>77</v>
      </c>
      <c r="BF18" s="23">
        <v>124</v>
      </c>
      <c r="BG18" s="26">
        <v>0.62096774193548387</v>
      </c>
      <c r="BH18" s="23">
        <v>39</v>
      </c>
      <c r="BI18" s="23">
        <v>69</v>
      </c>
      <c r="BJ18" s="28">
        <v>0.56521739130434778</v>
      </c>
    </row>
    <row r="19" spans="1:62" x14ac:dyDescent="0.25">
      <c r="A19" s="29"/>
      <c r="B19" s="30"/>
      <c r="C19" s="30"/>
      <c r="D19" s="30"/>
      <c r="E19" s="31" t="s">
        <v>68</v>
      </c>
      <c r="F19" s="188">
        <v>140</v>
      </c>
      <c r="G19" s="189">
        <v>134</v>
      </c>
      <c r="H19" s="190">
        <v>0</v>
      </c>
      <c r="I19" s="190">
        <v>134</v>
      </c>
      <c r="J19" s="191">
        <v>0</v>
      </c>
      <c r="K19" s="189">
        <v>0</v>
      </c>
      <c r="L19" s="190">
        <v>0</v>
      </c>
      <c r="M19" s="190">
        <v>0</v>
      </c>
      <c r="N19" s="190">
        <v>1</v>
      </c>
      <c r="O19" s="190">
        <v>3</v>
      </c>
      <c r="P19" s="190">
        <v>0</v>
      </c>
      <c r="Q19" s="190">
        <v>1</v>
      </c>
      <c r="R19" s="191">
        <v>1</v>
      </c>
      <c r="S19" s="188">
        <v>2</v>
      </c>
      <c r="T19" s="189">
        <v>1</v>
      </c>
      <c r="U19" s="190">
        <v>0</v>
      </c>
      <c r="V19" s="190">
        <v>1</v>
      </c>
      <c r="W19" s="190">
        <v>0</v>
      </c>
      <c r="X19" s="191">
        <v>0</v>
      </c>
      <c r="Y19" s="189">
        <v>107</v>
      </c>
      <c r="Z19" s="191">
        <v>63</v>
      </c>
      <c r="AA19" s="189">
        <v>117</v>
      </c>
      <c r="AB19" s="191">
        <v>61</v>
      </c>
      <c r="AC19" s="189">
        <v>112</v>
      </c>
      <c r="AD19" s="191">
        <v>54</v>
      </c>
      <c r="AE19" s="189">
        <v>84</v>
      </c>
      <c r="AF19" s="190">
        <v>36</v>
      </c>
      <c r="AG19" s="191">
        <v>5</v>
      </c>
      <c r="AH19" s="136">
        <v>9.3457943925233641E-2</v>
      </c>
      <c r="AI19" s="33">
        <v>4.6728971962616821E-2</v>
      </c>
      <c r="AJ19" s="33">
        <v>-4.2735042735042736E-2</v>
      </c>
      <c r="AK19" s="33">
        <v>-3.1746031746031744E-2</v>
      </c>
      <c r="AL19" s="33">
        <v>-0.14285714285714285</v>
      </c>
      <c r="AM19" s="33">
        <v>-0.11475409836065574</v>
      </c>
      <c r="AN19" s="34">
        <v>0.83582089552238803</v>
      </c>
      <c r="AO19" s="33">
        <v>0.40298507462686567</v>
      </c>
      <c r="AP19" s="33">
        <v>0.26865671641791045</v>
      </c>
      <c r="AQ19" s="33">
        <v>3.7313432835820892E-2</v>
      </c>
      <c r="AR19" s="33">
        <v>7.4074074074074077E-3</v>
      </c>
      <c r="AS19" s="136">
        <v>1.4925373134328358E-2</v>
      </c>
      <c r="AT19" s="35">
        <v>7.462686567164179E-3</v>
      </c>
      <c r="AU19" s="30">
        <v>68</v>
      </c>
      <c r="AV19" s="30">
        <v>77</v>
      </c>
      <c r="AW19" s="31">
        <v>64</v>
      </c>
      <c r="AX19" s="136">
        <v>0.13235294117647059</v>
      </c>
      <c r="AY19" s="33">
        <v>-5.8823529411764705E-2</v>
      </c>
      <c r="AZ19" s="35">
        <v>-0.16883116883116883</v>
      </c>
      <c r="BA19" s="29">
        <v>43</v>
      </c>
      <c r="BB19" s="31">
        <v>37</v>
      </c>
      <c r="BC19" s="29">
        <v>5</v>
      </c>
      <c r="BD19" s="31">
        <v>3.5</v>
      </c>
      <c r="BE19" s="29">
        <v>68</v>
      </c>
      <c r="BF19" s="30">
        <v>112</v>
      </c>
      <c r="BG19" s="33">
        <v>0.6071428571428571</v>
      </c>
      <c r="BH19" s="30">
        <v>36</v>
      </c>
      <c r="BI19" s="30">
        <v>64</v>
      </c>
      <c r="BJ19" s="35">
        <v>0.5625</v>
      </c>
    </row>
    <row r="20" spans="1:62" x14ac:dyDescent="0.25">
      <c r="A20" s="29"/>
      <c r="B20" s="30"/>
      <c r="C20" s="30"/>
      <c r="D20" s="30"/>
      <c r="E20" s="31" t="s">
        <v>97</v>
      </c>
      <c r="F20" s="188">
        <v>46</v>
      </c>
      <c r="G20" s="189">
        <v>46</v>
      </c>
      <c r="H20" s="190">
        <v>0</v>
      </c>
      <c r="I20" s="190">
        <v>46</v>
      </c>
      <c r="J20" s="191">
        <v>0</v>
      </c>
      <c r="K20" s="189">
        <v>0</v>
      </c>
      <c r="L20" s="190">
        <v>0</v>
      </c>
      <c r="M20" s="190">
        <v>0</v>
      </c>
      <c r="N20" s="190">
        <v>0</v>
      </c>
      <c r="O20" s="190">
        <v>0</v>
      </c>
      <c r="P20" s="190">
        <v>0</v>
      </c>
      <c r="Q20" s="190">
        <v>0</v>
      </c>
      <c r="R20" s="191">
        <v>0</v>
      </c>
      <c r="S20" s="188">
        <v>2</v>
      </c>
      <c r="T20" s="189"/>
      <c r="U20" s="190"/>
      <c r="V20" s="190"/>
      <c r="W20" s="190"/>
      <c r="X20" s="191"/>
      <c r="Y20" s="189">
        <v>18</v>
      </c>
      <c r="Z20" s="191">
        <v>14</v>
      </c>
      <c r="AA20" s="189">
        <v>23</v>
      </c>
      <c r="AB20" s="191">
        <v>17</v>
      </c>
      <c r="AC20" s="189">
        <v>12</v>
      </c>
      <c r="AD20" s="191">
        <v>9</v>
      </c>
      <c r="AE20" s="189">
        <v>37</v>
      </c>
      <c r="AF20" s="190">
        <v>18</v>
      </c>
      <c r="AG20" s="191">
        <v>0</v>
      </c>
      <c r="AH20" s="136">
        <v>0.27777777777777779</v>
      </c>
      <c r="AI20" s="33">
        <v>-0.33333333333333331</v>
      </c>
      <c r="AJ20" s="33">
        <v>-0.47826086956521741</v>
      </c>
      <c r="AK20" s="33">
        <v>0.21428571428571427</v>
      </c>
      <c r="AL20" s="33">
        <v>-0.35714285714285715</v>
      </c>
      <c r="AM20" s="33">
        <v>-0.47058823529411764</v>
      </c>
      <c r="AN20" s="34">
        <v>0.2608695652173913</v>
      </c>
      <c r="AO20" s="33">
        <v>0.19565217391304349</v>
      </c>
      <c r="AP20" s="33">
        <v>0.39130434782608697</v>
      </c>
      <c r="AQ20" s="33">
        <v>0</v>
      </c>
      <c r="AR20" s="33">
        <v>0</v>
      </c>
      <c r="AS20" s="136">
        <v>4.3478260869565216E-2</v>
      </c>
      <c r="AT20" s="35">
        <v>4.3478260869565216E-2</v>
      </c>
      <c r="AU20" s="30">
        <v>8</v>
      </c>
      <c r="AV20" s="30">
        <v>11</v>
      </c>
      <c r="AW20" s="31">
        <v>7</v>
      </c>
      <c r="AX20" s="136">
        <v>0.375</v>
      </c>
      <c r="AY20" s="33">
        <v>-0.125</v>
      </c>
      <c r="AZ20" s="35">
        <v>-0.36363636363636365</v>
      </c>
      <c r="BA20" s="29">
        <v>43</v>
      </c>
      <c r="BB20" s="31">
        <v>41</v>
      </c>
      <c r="BC20" s="29">
        <v>6</v>
      </c>
      <c r="BD20" s="31">
        <v>6</v>
      </c>
      <c r="BE20" s="29">
        <v>9</v>
      </c>
      <c r="BF20" s="30">
        <v>12</v>
      </c>
      <c r="BG20" s="33">
        <v>0.75</v>
      </c>
      <c r="BH20" s="30">
        <v>4</v>
      </c>
      <c r="BI20" s="30">
        <v>7</v>
      </c>
      <c r="BJ20" s="35">
        <v>0.5714285714285714</v>
      </c>
    </row>
    <row r="21" spans="1:62" x14ac:dyDescent="0.25">
      <c r="A21" s="22"/>
      <c r="B21" s="23"/>
      <c r="C21" s="23"/>
      <c r="D21" s="23" t="s">
        <v>153</v>
      </c>
      <c r="E21" s="24"/>
      <c r="F21" s="184">
        <v>1087</v>
      </c>
      <c r="G21" s="185">
        <v>983</v>
      </c>
      <c r="H21" s="186">
        <v>0</v>
      </c>
      <c r="I21" s="186">
        <v>983</v>
      </c>
      <c r="J21" s="187">
        <v>0</v>
      </c>
      <c r="K21" s="185">
        <v>0</v>
      </c>
      <c r="L21" s="186">
        <v>1</v>
      </c>
      <c r="M21" s="186">
        <v>15</v>
      </c>
      <c r="N21" s="186">
        <v>4</v>
      </c>
      <c r="O21" s="186">
        <v>3</v>
      </c>
      <c r="P21" s="186">
        <v>0</v>
      </c>
      <c r="Q21" s="186">
        <v>13</v>
      </c>
      <c r="R21" s="187">
        <v>67</v>
      </c>
      <c r="S21" s="184">
        <v>187</v>
      </c>
      <c r="T21" s="185">
        <v>152</v>
      </c>
      <c r="U21" s="186">
        <v>0</v>
      </c>
      <c r="V21" s="186">
        <v>10</v>
      </c>
      <c r="W21" s="186">
        <v>4</v>
      </c>
      <c r="X21" s="187">
        <v>138</v>
      </c>
      <c r="Y21" s="185">
        <v>3049</v>
      </c>
      <c r="Z21" s="187">
        <v>802</v>
      </c>
      <c r="AA21" s="185">
        <v>3414</v>
      </c>
      <c r="AB21" s="187">
        <v>875</v>
      </c>
      <c r="AC21" s="185">
        <v>3427</v>
      </c>
      <c r="AD21" s="187">
        <v>855</v>
      </c>
      <c r="AE21" s="185">
        <v>231</v>
      </c>
      <c r="AF21" s="186">
        <v>63</v>
      </c>
      <c r="AG21" s="187">
        <v>274</v>
      </c>
      <c r="AH21" s="135">
        <v>0.1197113807805838</v>
      </c>
      <c r="AI21" s="26">
        <v>0.12397507379468678</v>
      </c>
      <c r="AJ21" s="26">
        <v>3.8078500292911539E-3</v>
      </c>
      <c r="AK21" s="26">
        <v>9.1022443890274321E-2</v>
      </c>
      <c r="AL21" s="26">
        <v>6.6084788029925193E-2</v>
      </c>
      <c r="AM21" s="26">
        <v>-2.2857142857142857E-2</v>
      </c>
      <c r="AN21" s="27">
        <v>3.486266531027467</v>
      </c>
      <c r="AO21" s="26">
        <v>0.86978636826042721</v>
      </c>
      <c r="AP21" s="26">
        <v>6.4089521871820959E-2</v>
      </c>
      <c r="AQ21" s="26">
        <v>0.27873855544252291</v>
      </c>
      <c r="AR21" s="26">
        <v>6.3809523809523816E-2</v>
      </c>
      <c r="AS21" s="135">
        <v>0.19023397761953204</v>
      </c>
      <c r="AT21" s="28">
        <v>3.5605289928789419E-2</v>
      </c>
      <c r="AU21" s="23">
        <v>472</v>
      </c>
      <c r="AV21" s="23">
        <v>459</v>
      </c>
      <c r="AW21" s="24">
        <v>499</v>
      </c>
      <c r="AX21" s="135">
        <v>-2.7542372881355932E-2</v>
      </c>
      <c r="AY21" s="26">
        <v>5.7203389830508475E-2</v>
      </c>
      <c r="AZ21" s="28">
        <v>8.714596949891068E-2</v>
      </c>
      <c r="BA21" s="22">
        <v>32</v>
      </c>
      <c r="BB21" s="24">
        <v>28</v>
      </c>
      <c r="BC21" s="22">
        <v>4</v>
      </c>
      <c r="BD21" s="24">
        <v>3</v>
      </c>
      <c r="BE21" s="22">
        <v>1906</v>
      </c>
      <c r="BF21" s="23">
        <v>3427</v>
      </c>
      <c r="BG21" s="26">
        <v>0.55617157864021005</v>
      </c>
      <c r="BH21" s="23">
        <v>305</v>
      </c>
      <c r="BI21" s="23">
        <v>499</v>
      </c>
      <c r="BJ21" s="28">
        <v>0.6112224448897795</v>
      </c>
    </row>
    <row r="22" spans="1:62" x14ac:dyDescent="0.25">
      <c r="A22" s="29"/>
      <c r="B22" s="30"/>
      <c r="C22" s="30"/>
      <c r="D22" s="30"/>
      <c r="E22" s="31" t="s">
        <v>68</v>
      </c>
      <c r="F22" s="188">
        <v>1087</v>
      </c>
      <c r="G22" s="189">
        <v>983</v>
      </c>
      <c r="H22" s="190">
        <v>0</v>
      </c>
      <c r="I22" s="190">
        <v>983</v>
      </c>
      <c r="J22" s="191">
        <v>0</v>
      </c>
      <c r="K22" s="189">
        <v>0</v>
      </c>
      <c r="L22" s="190">
        <v>1</v>
      </c>
      <c r="M22" s="190">
        <v>15</v>
      </c>
      <c r="N22" s="190">
        <v>4</v>
      </c>
      <c r="O22" s="190">
        <v>3</v>
      </c>
      <c r="P22" s="190">
        <v>0</v>
      </c>
      <c r="Q22" s="190">
        <v>13</v>
      </c>
      <c r="R22" s="191">
        <v>67</v>
      </c>
      <c r="S22" s="188">
        <v>187</v>
      </c>
      <c r="T22" s="189">
        <v>152</v>
      </c>
      <c r="U22" s="190">
        <v>0</v>
      </c>
      <c r="V22" s="190">
        <v>10</v>
      </c>
      <c r="W22" s="190">
        <v>4</v>
      </c>
      <c r="X22" s="191">
        <v>138</v>
      </c>
      <c r="Y22" s="189">
        <v>3049</v>
      </c>
      <c r="Z22" s="191">
        <v>802</v>
      </c>
      <c r="AA22" s="189">
        <v>3414</v>
      </c>
      <c r="AB22" s="191">
        <v>875</v>
      </c>
      <c r="AC22" s="189">
        <v>3427</v>
      </c>
      <c r="AD22" s="191">
        <v>855</v>
      </c>
      <c r="AE22" s="189">
        <v>231</v>
      </c>
      <c r="AF22" s="190">
        <v>63</v>
      </c>
      <c r="AG22" s="191">
        <v>274</v>
      </c>
      <c r="AH22" s="136">
        <v>0.1197113807805838</v>
      </c>
      <c r="AI22" s="33">
        <v>0.12397507379468678</v>
      </c>
      <c r="AJ22" s="33">
        <v>3.8078500292911539E-3</v>
      </c>
      <c r="AK22" s="33">
        <v>9.1022443890274321E-2</v>
      </c>
      <c r="AL22" s="33">
        <v>6.6084788029925193E-2</v>
      </c>
      <c r="AM22" s="33">
        <v>-2.2857142857142857E-2</v>
      </c>
      <c r="AN22" s="34">
        <v>3.486266531027467</v>
      </c>
      <c r="AO22" s="33">
        <v>0.86978636826042721</v>
      </c>
      <c r="AP22" s="33">
        <v>6.4089521871820959E-2</v>
      </c>
      <c r="AQ22" s="33">
        <v>0.27873855544252291</v>
      </c>
      <c r="AR22" s="33">
        <v>6.3809523809523816E-2</v>
      </c>
      <c r="AS22" s="136">
        <v>0.19023397761953204</v>
      </c>
      <c r="AT22" s="35">
        <v>3.5605289928789419E-2</v>
      </c>
      <c r="AU22" s="30">
        <v>472</v>
      </c>
      <c r="AV22" s="30">
        <v>459</v>
      </c>
      <c r="AW22" s="31">
        <v>499</v>
      </c>
      <c r="AX22" s="136">
        <v>-2.7542372881355932E-2</v>
      </c>
      <c r="AY22" s="33">
        <v>5.7203389830508475E-2</v>
      </c>
      <c r="AZ22" s="35">
        <v>8.714596949891068E-2</v>
      </c>
      <c r="BA22" s="29">
        <v>32</v>
      </c>
      <c r="BB22" s="31">
        <v>28</v>
      </c>
      <c r="BC22" s="29">
        <v>4</v>
      </c>
      <c r="BD22" s="31">
        <v>3</v>
      </c>
      <c r="BE22" s="29">
        <v>1906</v>
      </c>
      <c r="BF22" s="30">
        <v>3427</v>
      </c>
      <c r="BG22" s="33">
        <v>0.55617157864021005</v>
      </c>
      <c r="BH22" s="30">
        <v>306</v>
      </c>
      <c r="BI22" s="30">
        <v>499</v>
      </c>
      <c r="BJ22" s="35">
        <v>0.61322645290581157</v>
      </c>
    </row>
    <row r="23" spans="1:62" x14ac:dyDescent="0.25">
      <c r="A23" s="22"/>
      <c r="B23" s="23"/>
      <c r="C23" s="23"/>
      <c r="D23" s="23" t="s">
        <v>154</v>
      </c>
      <c r="E23" s="24"/>
      <c r="F23" s="184">
        <v>1268</v>
      </c>
      <c r="G23" s="185">
        <v>1157</v>
      </c>
      <c r="H23" s="186">
        <v>0</v>
      </c>
      <c r="I23" s="186">
        <v>1112</v>
      </c>
      <c r="J23" s="187">
        <v>45</v>
      </c>
      <c r="K23" s="185">
        <v>0</v>
      </c>
      <c r="L23" s="186">
        <v>0</v>
      </c>
      <c r="M23" s="186">
        <v>11</v>
      </c>
      <c r="N23" s="186">
        <v>3</v>
      </c>
      <c r="O23" s="186">
        <v>7</v>
      </c>
      <c r="P23" s="186">
        <v>0</v>
      </c>
      <c r="Q23" s="186">
        <v>8</v>
      </c>
      <c r="R23" s="187">
        <v>81</v>
      </c>
      <c r="S23" s="184">
        <v>176</v>
      </c>
      <c r="T23" s="185">
        <v>10</v>
      </c>
      <c r="U23" s="186">
        <v>1</v>
      </c>
      <c r="V23" s="186">
        <v>2</v>
      </c>
      <c r="W23" s="186">
        <v>5</v>
      </c>
      <c r="X23" s="187">
        <v>2</v>
      </c>
      <c r="Y23" s="185">
        <v>3707</v>
      </c>
      <c r="Z23" s="187">
        <v>858</v>
      </c>
      <c r="AA23" s="185">
        <v>3766</v>
      </c>
      <c r="AB23" s="187">
        <v>877</v>
      </c>
      <c r="AC23" s="185">
        <v>4856</v>
      </c>
      <c r="AD23" s="187">
        <v>1046</v>
      </c>
      <c r="AE23" s="185">
        <v>219</v>
      </c>
      <c r="AF23" s="186">
        <v>77</v>
      </c>
      <c r="AG23" s="187">
        <v>337</v>
      </c>
      <c r="AH23" s="135">
        <v>1.5915834906932831E-2</v>
      </c>
      <c r="AI23" s="26">
        <v>0.30995414081467493</v>
      </c>
      <c r="AJ23" s="26">
        <v>0.28943175783324482</v>
      </c>
      <c r="AK23" s="26">
        <v>2.2144522144522144E-2</v>
      </c>
      <c r="AL23" s="26">
        <v>0.21911421911421911</v>
      </c>
      <c r="AM23" s="26">
        <v>0.19270239452679588</v>
      </c>
      <c r="AN23" s="27">
        <v>4.1970613656006917</v>
      </c>
      <c r="AO23" s="26">
        <v>0.90406222990492657</v>
      </c>
      <c r="AP23" s="26">
        <v>6.6551426101987901E-2</v>
      </c>
      <c r="AQ23" s="26">
        <v>0.29127052722558339</v>
      </c>
      <c r="AR23" s="26">
        <v>6.5428109854604205E-2</v>
      </c>
      <c r="AS23" s="135">
        <v>0.15211754537597233</v>
      </c>
      <c r="AT23" s="28">
        <v>0.14347450302506481</v>
      </c>
      <c r="AU23" s="23">
        <v>442</v>
      </c>
      <c r="AV23" s="23">
        <v>431</v>
      </c>
      <c r="AW23" s="24">
        <v>520</v>
      </c>
      <c r="AX23" s="135">
        <v>-2.4886877828054297E-2</v>
      </c>
      <c r="AY23" s="26">
        <v>0.17647058823529413</v>
      </c>
      <c r="AZ23" s="28">
        <v>0.20649651972157773</v>
      </c>
      <c r="BA23" s="22">
        <v>20</v>
      </c>
      <c r="BB23" s="24">
        <v>20.5</v>
      </c>
      <c r="BC23" s="22">
        <v>3</v>
      </c>
      <c r="BD23" s="24">
        <v>3</v>
      </c>
      <c r="BE23" s="22">
        <v>3366</v>
      </c>
      <c r="BF23" s="23">
        <v>4856</v>
      </c>
      <c r="BG23" s="26">
        <v>0.69316309719934099</v>
      </c>
      <c r="BH23" s="23">
        <v>342</v>
      </c>
      <c r="BI23" s="23">
        <v>520</v>
      </c>
      <c r="BJ23" s="28">
        <v>0.65769230769230769</v>
      </c>
    </row>
    <row r="24" spans="1:62" x14ac:dyDescent="0.25">
      <c r="A24" s="29"/>
      <c r="B24" s="30"/>
      <c r="C24" s="30"/>
      <c r="D24" s="30"/>
      <c r="E24" s="31" t="s">
        <v>68</v>
      </c>
      <c r="F24" s="188">
        <v>1268</v>
      </c>
      <c r="G24" s="189">
        <v>1157</v>
      </c>
      <c r="H24" s="190">
        <v>0</v>
      </c>
      <c r="I24" s="190">
        <v>1112</v>
      </c>
      <c r="J24" s="191">
        <v>45</v>
      </c>
      <c r="K24" s="189">
        <v>0</v>
      </c>
      <c r="L24" s="190">
        <v>0</v>
      </c>
      <c r="M24" s="190">
        <v>11</v>
      </c>
      <c r="N24" s="190">
        <v>3</v>
      </c>
      <c r="O24" s="190">
        <v>7</v>
      </c>
      <c r="P24" s="190">
        <v>0</v>
      </c>
      <c r="Q24" s="190">
        <v>8</v>
      </c>
      <c r="R24" s="191">
        <v>81</v>
      </c>
      <c r="S24" s="188">
        <v>176</v>
      </c>
      <c r="T24" s="189">
        <v>10</v>
      </c>
      <c r="U24" s="190">
        <v>1</v>
      </c>
      <c r="V24" s="190">
        <v>2</v>
      </c>
      <c r="W24" s="190">
        <v>5</v>
      </c>
      <c r="X24" s="191">
        <v>2</v>
      </c>
      <c r="Y24" s="189">
        <v>3707</v>
      </c>
      <c r="Z24" s="191">
        <v>858</v>
      </c>
      <c r="AA24" s="189">
        <v>3766</v>
      </c>
      <c r="AB24" s="191">
        <v>877</v>
      </c>
      <c r="AC24" s="189">
        <v>4856</v>
      </c>
      <c r="AD24" s="191">
        <v>1046</v>
      </c>
      <c r="AE24" s="189">
        <v>219</v>
      </c>
      <c r="AF24" s="190">
        <v>77</v>
      </c>
      <c r="AG24" s="191">
        <v>337</v>
      </c>
      <c r="AH24" s="136">
        <v>1.5915834906932831E-2</v>
      </c>
      <c r="AI24" s="33">
        <v>0.30995414081467493</v>
      </c>
      <c r="AJ24" s="33">
        <v>0.28943175783324482</v>
      </c>
      <c r="AK24" s="33">
        <v>2.2144522144522144E-2</v>
      </c>
      <c r="AL24" s="33">
        <v>0.21911421911421911</v>
      </c>
      <c r="AM24" s="33">
        <v>0.19270239452679588</v>
      </c>
      <c r="AN24" s="34">
        <v>4.1970613656006917</v>
      </c>
      <c r="AO24" s="33">
        <v>0.90406222990492657</v>
      </c>
      <c r="AP24" s="33">
        <v>6.6551426101987901E-2</v>
      </c>
      <c r="AQ24" s="33">
        <v>0.29127052722558339</v>
      </c>
      <c r="AR24" s="33">
        <v>6.5428109854604205E-2</v>
      </c>
      <c r="AS24" s="136">
        <v>0.15211754537597233</v>
      </c>
      <c r="AT24" s="35">
        <v>0.14347450302506481</v>
      </c>
      <c r="AU24" s="30">
        <v>442</v>
      </c>
      <c r="AV24" s="30">
        <v>431</v>
      </c>
      <c r="AW24" s="31">
        <v>520</v>
      </c>
      <c r="AX24" s="136">
        <v>-2.4886877828054297E-2</v>
      </c>
      <c r="AY24" s="33">
        <v>0.17647058823529413</v>
      </c>
      <c r="AZ24" s="35">
        <v>0.20649651972157773</v>
      </c>
      <c r="BA24" s="29">
        <v>20</v>
      </c>
      <c r="BB24" s="31">
        <v>20.5</v>
      </c>
      <c r="BC24" s="29">
        <v>3</v>
      </c>
      <c r="BD24" s="31">
        <v>3</v>
      </c>
      <c r="BE24" s="29">
        <v>3366</v>
      </c>
      <c r="BF24" s="30">
        <v>4856</v>
      </c>
      <c r="BG24" s="33">
        <v>0.69316309719934099</v>
      </c>
      <c r="BH24" s="30">
        <v>343</v>
      </c>
      <c r="BI24" s="30">
        <v>520</v>
      </c>
      <c r="BJ24" s="35">
        <v>0.6596153846153846</v>
      </c>
    </row>
    <row r="25" spans="1:62" x14ac:dyDescent="0.25">
      <c r="A25" s="22"/>
      <c r="B25" s="23"/>
      <c r="C25" s="23"/>
      <c r="D25" s="23" t="s">
        <v>155</v>
      </c>
      <c r="E25" s="24"/>
      <c r="F25" s="184">
        <v>3045</v>
      </c>
      <c r="G25" s="185">
        <v>2943</v>
      </c>
      <c r="H25" s="186">
        <v>0</v>
      </c>
      <c r="I25" s="186">
        <v>2477</v>
      </c>
      <c r="J25" s="187">
        <v>466</v>
      </c>
      <c r="K25" s="185">
        <v>0</v>
      </c>
      <c r="L25" s="186">
        <v>24</v>
      </c>
      <c r="M25" s="186">
        <v>9</v>
      </c>
      <c r="N25" s="186">
        <v>6</v>
      </c>
      <c r="O25" s="186">
        <v>5</v>
      </c>
      <c r="P25" s="186">
        <v>1</v>
      </c>
      <c r="Q25" s="186">
        <v>1</v>
      </c>
      <c r="R25" s="187">
        <v>53</v>
      </c>
      <c r="S25" s="184">
        <v>139</v>
      </c>
      <c r="T25" s="185">
        <v>32</v>
      </c>
      <c r="U25" s="186">
        <v>1</v>
      </c>
      <c r="V25" s="186">
        <v>0</v>
      </c>
      <c r="W25" s="186">
        <v>3</v>
      </c>
      <c r="X25" s="187">
        <v>28</v>
      </c>
      <c r="Y25" s="185">
        <v>7192</v>
      </c>
      <c r="Z25" s="187">
        <v>2110</v>
      </c>
      <c r="AA25" s="185">
        <v>7452</v>
      </c>
      <c r="AB25" s="187">
        <v>2204</v>
      </c>
      <c r="AC25" s="185">
        <v>7117</v>
      </c>
      <c r="AD25" s="187">
        <v>2136</v>
      </c>
      <c r="AE25" s="185">
        <v>886</v>
      </c>
      <c r="AF25" s="186">
        <v>416</v>
      </c>
      <c r="AG25" s="187">
        <v>410</v>
      </c>
      <c r="AH25" s="135">
        <v>3.6151279199110126E-2</v>
      </c>
      <c r="AI25" s="26">
        <v>-1.0428253615127919E-2</v>
      </c>
      <c r="AJ25" s="26">
        <v>-4.495437466451959E-2</v>
      </c>
      <c r="AK25" s="26">
        <v>4.4549763033175357E-2</v>
      </c>
      <c r="AL25" s="26">
        <v>1.2322274881516588E-2</v>
      </c>
      <c r="AM25" s="26">
        <v>-3.0852994555353903E-2</v>
      </c>
      <c r="AN25" s="27">
        <v>2.4182806659870879</v>
      </c>
      <c r="AO25" s="26">
        <v>0.72579001019367995</v>
      </c>
      <c r="AP25" s="26">
        <v>0.14135236153584776</v>
      </c>
      <c r="AQ25" s="26">
        <v>0.13931362555215765</v>
      </c>
      <c r="AR25" s="26">
        <v>1.7690253671562083E-2</v>
      </c>
      <c r="AS25" s="135">
        <v>4.7230716955487598E-2</v>
      </c>
      <c r="AT25" s="28">
        <v>3.6357458375806999E-2</v>
      </c>
      <c r="AU25" s="23">
        <v>718</v>
      </c>
      <c r="AV25" s="23">
        <v>773</v>
      </c>
      <c r="AW25" s="24">
        <v>738</v>
      </c>
      <c r="AX25" s="135">
        <v>7.6601671309192196E-2</v>
      </c>
      <c r="AY25" s="26">
        <v>2.7855153203342618E-2</v>
      </c>
      <c r="AZ25" s="28">
        <v>-4.5278137128072445E-2</v>
      </c>
      <c r="BA25" s="22">
        <v>43</v>
      </c>
      <c r="BB25" s="24">
        <v>38</v>
      </c>
      <c r="BC25" s="22">
        <v>5</v>
      </c>
      <c r="BD25" s="24">
        <v>4</v>
      </c>
      <c r="BE25" s="22">
        <v>3464</v>
      </c>
      <c r="BF25" s="23">
        <v>7117</v>
      </c>
      <c r="BG25" s="26">
        <v>0.48672193339890402</v>
      </c>
      <c r="BH25" s="23">
        <v>373</v>
      </c>
      <c r="BI25" s="23">
        <v>738</v>
      </c>
      <c r="BJ25" s="28">
        <v>0.50542005420054203</v>
      </c>
    </row>
    <row r="26" spans="1:62" x14ac:dyDescent="0.25">
      <c r="A26" s="29"/>
      <c r="B26" s="30"/>
      <c r="C26" s="30"/>
      <c r="D26" s="30"/>
      <c r="E26" s="31" t="s">
        <v>68</v>
      </c>
      <c r="F26" s="188">
        <v>3045</v>
      </c>
      <c r="G26" s="189">
        <v>2943</v>
      </c>
      <c r="H26" s="190">
        <v>0</v>
      </c>
      <c r="I26" s="190">
        <v>2477</v>
      </c>
      <c r="J26" s="191">
        <v>466</v>
      </c>
      <c r="K26" s="189">
        <v>0</v>
      </c>
      <c r="L26" s="190">
        <v>24</v>
      </c>
      <c r="M26" s="190">
        <v>9</v>
      </c>
      <c r="N26" s="190">
        <v>6</v>
      </c>
      <c r="O26" s="190">
        <v>5</v>
      </c>
      <c r="P26" s="190">
        <v>1</v>
      </c>
      <c r="Q26" s="190">
        <v>1</v>
      </c>
      <c r="R26" s="191">
        <v>53</v>
      </c>
      <c r="S26" s="188">
        <v>139</v>
      </c>
      <c r="T26" s="189">
        <v>32</v>
      </c>
      <c r="U26" s="190">
        <v>1</v>
      </c>
      <c r="V26" s="190">
        <v>0</v>
      </c>
      <c r="W26" s="190">
        <v>3</v>
      </c>
      <c r="X26" s="191">
        <v>28</v>
      </c>
      <c r="Y26" s="189">
        <v>7192</v>
      </c>
      <c r="Z26" s="191">
        <v>2110</v>
      </c>
      <c r="AA26" s="189">
        <v>7452</v>
      </c>
      <c r="AB26" s="191">
        <v>2204</v>
      </c>
      <c r="AC26" s="189">
        <v>7117</v>
      </c>
      <c r="AD26" s="191">
        <v>2136</v>
      </c>
      <c r="AE26" s="189">
        <v>886</v>
      </c>
      <c r="AF26" s="190">
        <v>416</v>
      </c>
      <c r="AG26" s="191">
        <v>410</v>
      </c>
      <c r="AH26" s="136">
        <v>3.6151279199110126E-2</v>
      </c>
      <c r="AI26" s="33">
        <v>-1.0428253615127919E-2</v>
      </c>
      <c r="AJ26" s="33">
        <v>-4.495437466451959E-2</v>
      </c>
      <c r="AK26" s="33">
        <v>4.4549763033175357E-2</v>
      </c>
      <c r="AL26" s="33">
        <v>1.2322274881516588E-2</v>
      </c>
      <c r="AM26" s="33">
        <v>-3.0852994555353903E-2</v>
      </c>
      <c r="AN26" s="34">
        <v>2.4182806659870879</v>
      </c>
      <c r="AO26" s="33">
        <v>0.72579001019367995</v>
      </c>
      <c r="AP26" s="33">
        <v>0.14135236153584776</v>
      </c>
      <c r="AQ26" s="33">
        <v>0.13931362555215765</v>
      </c>
      <c r="AR26" s="33">
        <v>1.7690253671562083E-2</v>
      </c>
      <c r="AS26" s="136">
        <v>4.7230716955487598E-2</v>
      </c>
      <c r="AT26" s="35">
        <v>3.6357458375806999E-2</v>
      </c>
      <c r="AU26" s="30">
        <v>718</v>
      </c>
      <c r="AV26" s="30">
        <v>773</v>
      </c>
      <c r="AW26" s="31">
        <v>738</v>
      </c>
      <c r="AX26" s="136">
        <v>7.6601671309192196E-2</v>
      </c>
      <c r="AY26" s="33">
        <v>2.7855153203342618E-2</v>
      </c>
      <c r="AZ26" s="35">
        <v>-4.5278137128072445E-2</v>
      </c>
      <c r="BA26" s="29">
        <v>43</v>
      </c>
      <c r="BB26" s="31">
        <v>38</v>
      </c>
      <c r="BC26" s="29">
        <v>5</v>
      </c>
      <c r="BD26" s="31">
        <v>4</v>
      </c>
      <c r="BE26" s="29">
        <v>3464</v>
      </c>
      <c r="BF26" s="30">
        <v>7117</v>
      </c>
      <c r="BG26" s="33">
        <v>0.48672193339890402</v>
      </c>
      <c r="BH26" s="30">
        <v>373</v>
      </c>
      <c r="BI26" s="30">
        <v>738</v>
      </c>
      <c r="BJ26" s="35">
        <v>0.50542005420054203</v>
      </c>
    </row>
    <row r="27" spans="1:62" x14ac:dyDescent="0.25">
      <c r="A27" s="22"/>
      <c r="B27" s="23"/>
      <c r="C27" s="23"/>
      <c r="D27" s="23" t="s">
        <v>156</v>
      </c>
      <c r="E27" s="24"/>
      <c r="F27" s="184">
        <v>146</v>
      </c>
      <c r="G27" s="185">
        <v>123</v>
      </c>
      <c r="H27" s="186">
        <v>0</v>
      </c>
      <c r="I27" s="186">
        <v>121</v>
      </c>
      <c r="J27" s="187">
        <v>2</v>
      </c>
      <c r="K27" s="185">
        <v>0</v>
      </c>
      <c r="L27" s="186">
        <v>0</v>
      </c>
      <c r="M27" s="186">
        <v>2</v>
      </c>
      <c r="N27" s="186">
        <v>3</v>
      </c>
      <c r="O27" s="186">
        <v>5</v>
      </c>
      <c r="P27" s="186">
        <v>0</v>
      </c>
      <c r="Q27" s="186">
        <v>0</v>
      </c>
      <c r="R27" s="187">
        <v>13</v>
      </c>
      <c r="S27" s="184">
        <v>7</v>
      </c>
      <c r="T27" s="185"/>
      <c r="U27" s="186"/>
      <c r="V27" s="186"/>
      <c r="W27" s="186"/>
      <c r="X27" s="187"/>
      <c r="Y27" s="185">
        <v>523</v>
      </c>
      <c r="Z27" s="187">
        <v>113</v>
      </c>
      <c r="AA27" s="185">
        <v>485</v>
      </c>
      <c r="AB27" s="187">
        <v>107</v>
      </c>
      <c r="AC27" s="185">
        <v>354</v>
      </c>
      <c r="AD27" s="187">
        <v>109</v>
      </c>
      <c r="AE27" s="185">
        <v>37</v>
      </c>
      <c r="AF27" s="186">
        <v>19</v>
      </c>
      <c r="AG27" s="187">
        <v>33</v>
      </c>
      <c r="AH27" s="135">
        <v>-7.2657743785850867E-2</v>
      </c>
      <c r="AI27" s="26">
        <v>-0.32313575525812621</v>
      </c>
      <c r="AJ27" s="26">
        <v>-0.27010309278350514</v>
      </c>
      <c r="AK27" s="26">
        <v>-5.3097345132743362E-2</v>
      </c>
      <c r="AL27" s="26">
        <v>-3.5398230088495575E-2</v>
      </c>
      <c r="AM27" s="26">
        <v>1.8691588785046728E-2</v>
      </c>
      <c r="AN27" s="27">
        <v>2.8780487804878048</v>
      </c>
      <c r="AO27" s="26">
        <v>0.88617886178861793</v>
      </c>
      <c r="AP27" s="26">
        <v>0.15447154471544716</v>
      </c>
      <c r="AQ27" s="26">
        <v>0.26829268292682928</v>
      </c>
      <c r="AR27" s="26">
        <v>9.5588235294117641E-2</v>
      </c>
      <c r="AS27" s="135">
        <v>5.6910569105691054E-2</v>
      </c>
      <c r="AT27" s="28">
        <v>5.6910569105691054E-2</v>
      </c>
      <c r="AU27" s="23">
        <v>122</v>
      </c>
      <c r="AV27" s="23">
        <v>109</v>
      </c>
      <c r="AW27" s="24">
        <v>110</v>
      </c>
      <c r="AX27" s="135">
        <v>-0.10655737704918032</v>
      </c>
      <c r="AY27" s="26">
        <v>-9.8360655737704916E-2</v>
      </c>
      <c r="AZ27" s="28">
        <v>9.1743119266055051E-3</v>
      </c>
      <c r="BA27" s="22">
        <v>48</v>
      </c>
      <c r="BB27" s="24">
        <v>44.5</v>
      </c>
      <c r="BC27" s="22">
        <v>5</v>
      </c>
      <c r="BD27" s="24">
        <v>4</v>
      </c>
      <c r="BE27" s="22">
        <v>166</v>
      </c>
      <c r="BF27" s="23">
        <v>354</v>
      </c>
      <c r="BG27" s="26">
        <v>0.46892655367231639</v>
      </c>
      <c r="BH27" s="23">
        <v>60</v>
      </c>
      <c r="BI27" s="23">
        <v>110</v>
      </c>
      <c r="BJ27" s="28">
        <v>0.54545454545454541</v>
      </c>
    </row>
    <row r="28" spans="1:62" x14ac:dyDescent="0.25">
      <c r="A28" s="29"/>
      <c r="B28" s="30"/>
      <c r="C28" s="30"/>
      <c r="D28" s="30"/>
      <c r="E28" s="31" t="s">
        <v>68</v>
      </c>
      <c r="F28" s="188">
        <v>146</v>
      </c>
      <c r="G28" s="189">
        <v>123</v>
      </c>
      <c r="H28" s="190">
        <v>0</v>
      </c>
      <c r="I28" s="190">
        <v>121</v>
      </c>
      <c r="J28" s="191">
        <v>2</v>
      </c>
      <c r="K28" s="189">
        <v>0</v>
      </c>
      <c r="L28" s="190">
        <v>0</v>
      </c>
      <c r="M28" s="190">
        <v>2</v>
      </c>
      <c r="N28" s="190">
        <v>3</v>
      </c>
      <c r="O28" s="190">
        <v>5</v>
      </c>
      <c r="P28" s="190">
        <v>0</v>
      </c>
      <c r="Q28" s="190">
        <v>0</v>
      </c>
      <c r="R28" s="191">
        <v>13</v>
      </c>
      <c r="S28" s="188">
        <v>7</v>
      </c>
      <c r="T28" s="189"/>
      <c r="U28" s="190"/>
      <c r="V28" s="190"/>
      <c r="W28" s="190"/>
      <c r="X28" s="191"/>
      <c r="Y28" s="189">
        <v>523</v>
      </c>
      <c r="Z28" s="191">
        <v>113</v>
      </c>
      <c r="AA28" s="189">
        <v>485</v>
      </c>
      <c r="AB28" s="191">
        <v>107</v>
      </c>
      <c r="AC28" s="189">
        <v>354</v>
      </c>
      <c r="AD28" s="191">
        <v>109</v>
      </c>
      <c r="AE28" s="189">
        <v>37</v>
      </c>
      <c r="AF28" s="190">
        <v>19</v>
      </c>
      <c r="AG28" s="191">
        <v>33</v>
      </c>
      <c r="AH28" s="136">
        <v>-7.2657743785850867E-2</v>
      </c>
      <c r="AI28" s="33">
        <v>-0.32313575525812621</v>
      </c>
      <c r="AJ28" s="33">
        <v>-0.27010309278350514</v>
      </c>
      <c r="AK28" s="33">
        <v>-5.3097345132743362E-2</v>
      </c>
      <c r="AL28" s="33">
        <v>-3.5398230088495575E-2</v>
      </c>
      <c r="AM28" s="33">
        <v>1.8691588785046728E-2</v>
      </c>
      <c r="AN28" s="34">
        <v>2.8780487804878048</v>
      </c>
      <c r="AO28" s="33">
        <v>0.88617886178861793</v>
      </c>
      <c r="AP28" s="33">
        <v>0.15447154471544716</v>
      </c>
      <c r="AQ28" s="33">
        <v>0.26829268292682928</v>
      </c>
      <c r="AR28" s="33">
        <v>9.5588235294117641E-2</v>
      </c>
      <c r="AS28" s="136">
        <v>5.6910569105691054E-2</v>
      </c>
      <c r="AT28" s="35">
        <v>5.6910569105691054E-2</v>
      </c>
      <c r="AU28" s="30">
        <v>122</v>
      </c>
      <c r="AV28" s="30">
        <v>109</v>
      </c>
      <c r="AW28" s="31">
        <v>110</v>
      </c>
      <c r="AX28" s="136">
        <v>-0.10655737704918032</v>
      </c>
      <c r="AY28" s="33">
        <v>-9.8360655737704916E-2</v>
      </c>
      <c r="AZ28" s="35">
        <v>9.1743119266055051E-3</v>
      </c>
      <c r="BA28" s="29">
        <v>48</v>
      </c>
      <c r="BB28" s="31">
        <v>44.5</v>
      </c>
      <c r="BC28" s="29">
        <v>5</v>
      </c>
      <c r="BD28" s="31">
        <v>4</v>
      </c>
      <c r="BE28" s="29">
        <v>166</v>
      </c>
      <c r="BF28" s="30">
        <v>354</v>
      </c>
      <c r="BG28" s="33">
        <v>0.46892655367231639</v>
      </c>
      <c r="BH28" s="30">
        <v>60</v>
      </c>
      <c r="BI28" s="30">
        <v>110</v>
      </c>
      <c r="BJ28" s="35">
        <v>0.54545454545454541</v>
      </c>
    </row>
    <row r="29" spans="1:62" x14ac:dyDescent="0.25">
      <c r="A29" s="15"/>
      <c r="B29" s="16"/>
      <c r="C29" s="16" t="s">
        <v>157</v>
      </c>
      <c r="D29" s="16"/>
      <c r="E29" s="17"/>
      <c r="F29" s="180">
        <v>7647</v>
      </c>
      <c r="G29" s="181">
        <v>6989</v>
      </c>
      <c r="H29" s="182">
        <v>9</v>
      </c>
      <c r="I29" s="182">
        <v>6998</v>
      </c>
      <c r="J29" s="183">
        <v>0</v>
      </c>
      <c r="K29" s="181">
        <v>0</v>
      </c>
      <c r="L29" s="182">
        <v>36</v>
      </c>
      <c r="M29" s="182">
        <v>147</v>
      </c>
      <c r="N29" s="182">
        <v>10</v>
      </c>
      <c r="O29" s="182">
        <v>75</v>
      </c>
      <c r="P29" s="182">
        <v>0</v>
      </c>
      <c r="Q29" s="182">
        <v>67</v>
      </c>
      <c r="R29" s="183">
        <v>298</v>
      </c>
      <c r="S29" s="180">
        <v>522</v>
      </c>
      <c r="T29" s="181">
        <v>385</v>
      </c>
      <c r="U29" s="182">
        <v>5</v>
      </c>
      <c r="V29" s="182">
        <v>49</v>
      </c>
      <c r="W29" s="182">
        <v>25</v>
      </c>
      <c r="X29" s="183">
        <v>306</v>
      </c>
      <c r="Y29" s="181">
        <v>32416</v>
      </c>
      <c r="Z29" s="183">
        <v>6403</v>
      </c>
      <c r="AA29" s="181">
        <v>30859</v>
      </c>
      <c r="AB29" s="183">
        <v>6178</v>
      </c>
      <c r="AC29" s="181">
        <v>27101</v>
      </c>
      <c r="AD29" s="183">
        <v>5993</v>
      </c>
      <c r="AE29" s="181">
        <v>1739</v>
      </c>
      <c r="AF29" s="182">
        <v>430</v>
      </c>
      <c r="AG29" s="183">
        <v>1886</v>
      </c>
      <c r="AH29" s="133">
        <v>-4.8031836130306024E-2</v>
      </c>
      <c r="AI29" s="19">
        <v>-0.16396224086870681</v>
      </c>
      <c r="AJ29" s="19">
        <v>-0.12177970770277714</v>
      </c>
      <c r="AK29" s="19">
        <v>-3.5139778228955178E-2</v>
      </c>
      <c r="AL29" s="19">
        <v>-6.4032484772762771E-2</v>
      </c>
      <c r="AM29" s="19">
        <v>-2.9944966008416965E-2</v>
      </c>
      <c r="AN29" s="20">
        <v>3.8776649019888394</v>
      </c>
      <c r="AO29" s="19">
        <v>0.85749034196594653</v>
      </c>
      <c r="AP29" s="19">
        <v>6.1525253970525114E-2</v>
      </c>
      <c r="AQ29" s="19">
        <v>0.26985262555444267</v>
      </c>
      <c r="AR29" s="19">
        <v>4.0894744064772885E-2</v>
      </c>
      <c r="AS29" s="133">
        <v>7.4688796680497924E-2</v>
      </c>
      <c r="AT29" s="21">
        <v>1.9602232078981256E-2</v>
      </c>
      <c r="AU29" s="16">
        <v>1324</v>
      </c>
      <c r="AV29" s="16">
        <v>1229</v>
      </c>
      <c r="AW29" s="17">
        <v>1115</v>
      </c>
      <c r="AX29" s="133">
        <v>-7.175226586102719E-2</v>
      </c>
      <c r="AY29" s="19">
        <v>-0.15785498489425981</v>
      </c>
      <c r="AZ29" s="21">
        <v>-9.2758340113913748E-2</v>
      </c>
      <c r="BA29" s="15">
        <v>52</v>
      </c>
      <c r="BB29" s="17">
        <v>40</v>
      </c>
      <c r="BC29" s="15">
        <v>5</v>
      </c>
      <c r="BD29" s="17">
        <v>4</v>
      </c>
      <c r="BE29" s="15">
        <v>18451</v>
      </c>
      <c r="BF29" s="16">
        <v>27104</v>
      </c>
      <c r="BG29" s="19">
        <v>0.68074822904368359</v>
      </c>
      <c r="BH29" s="16">
        <v>724</v>
      </c>
      <c r="BI29" s="16">
        <v>1115</v>
      </c>
      <c r="BJ29" s="21">
        <v>0.6493273542600897</v>
      </c>
    </row>
    <row r="30" spans="1:62" x14ac:dyDescent="0.25">
      <c r="A30" s="22"/>
      <c r="B30" s="23"/>
      <c r="C30" s="23"/>
      <c r="D30" s="23" t="s">
        <v>158</v>
      </c>
      <c r="E30" s="24"/>
      <c r="F30" s="184">
        <v>807</v>
      </c>
      <c r="G30" s="185">
        <v>732</v>
      </c>
      <c r="H30" s="186">
        <v>9</v>
      </c>
      <c r="I30" s="186">
        <v>741</v>
      </c>
      <c r="J30" s="187">
        <v>0</v>
      </c>
      <c r="K30" s="185">
        <v>0</v>
      </c>
      <c r="L30" s="186">
        <v>0</v>
      </c>
      <c r="M30" s="186">
        <v>2</v>
      </c>
      <c r="N30" s="186">
        <v>0</v>
      </c>
      <c r="O30" s="186">
        <v>15</v>
      </c>
      <c r="P30" s="186">
        <v>0</v>
      </c>
      <c r="Q30" s="186">
        <v>18</v>
      </c>
      <c r="R30" s="187">
        <v>27</v>
      </c>
      <c r="S30" s="184">
        <v>133</v>
      </c>
      <c r="T30" s="185">
        <v>293</v>
      </c>
      <c r="U30" s="186">
        <v>0</v>
      </c>
      <c r="V30" s="186">
        <v>18</v>
      </c>
      <c r="W30" s="186">
        <v>0</v>
      </c>
      <c r="X30" s="187">
        <v>275</v>
      </c>
      <c r="Y30" s="185">
        <v>975</v>
      </c>
      <c r="Z30" s="187">
        <v>489</v>
      </c>
      <c r="AA30" s="185">
        <v>1029</v>
      </c>
      <c r="AB30" s="187">
        <v>488</v>
      </c>
      <c r="AC30" s="185">
        <v>907</v>
      </c>
      <c r="AD30" s="187">
        <v>435</v>
      </c>
      <c r="AE30" s="185">
        <v>447</v>
      </c>
      <c r="AF30" s="186">
        <v>180</v>
      </c>
      <c r="AG30" s="187">
        <v>84</v>
      </c>
      <c r="AH30" s="135">
        <v>5.5384615384615386E-2</v>
      </c>
      <c r="AI30" s="26">
        <v>-6.974358974358974E-2</v>
      </c>
      <c r="AJ30" s="26">
        <v>-0.1185617103984451</v>
      </c>
      <c r="AK30" s="26">
        <v>-2.0449897750511249E-3</v>
      </c>
      <c r="AL30" s="26">
        <v>-0.11042944785276074</v>
      </c>
      <c r="AM30" s="26">
        <v>-0.10860655737704918</v>
      </c>
      <c r="AN30" s="27">
        <v>1.2390710382513661</v>
      </c>
      <c r="AO30" s="26">
        <v>0.59426229508196726</v>
      </c>
      <c r="AP30" s="26">
        <v>0.24590163934426229</v>
      </c>
      <c r="AQ30" s="26">
        <v>0.11475409836065574</v>
      </c>
      <c r="AR30" s="26">
        <v>3.5573122529644272E-2</v>
      </c>
      <c r="AS30" s="135">
        <v>0.18169398907103826</v>
      </c>
      <c r="AT30" s="28">
        <v>-0.21857923497267759</v>
      </c>
      <c r="AU30" s="23">
        <v>335</v>
      </c>
      <c r="AV30" s="23">
        <v>338</v>
      </c>
      <c r="AW30" s="24">
        <v>306</v>
      </c>
      <c r="AX30" s="135">
        <v>8.9552238805970154E-3</v>
      </c>
      <c r="AY30" s="26">
        <v>-8.6567164179104483E-2</v>
      </c>
      <c r="AZ30" s="28">
        <v>-9.4674556213017749E-2</v>
      </c>
      <c r="BA30" s="22">
        <v>45</v>
      </c>
      <c r="BB30" s="24">
        <v>44</v>
      </c>
      <c r="BC30" s="22">
        <v>6</v>
      </c>
      <c r="BD30" s="24">
        <v>5</v>
      </c>
      <c r="BE30" s="22">
        <v>556</v>
      </c>
      <c r="BF30" s="23">
        <v>907</v>
      </c>
      <c r="BG30" s="26">
        <v>0.61300992282249178</v>
      </c>
      <c r="BH30" s="23">
        <v>174</v>
      </c>
      <c r="BI30" s="23">
        <v>306</v>
      </c>
      <c r="BJ30" s="28">
        <v>0.56862745098039214</v>
      </c>
    </row>
    <row r="31" spans="1:62" x14ac:dyDescent="0.25">
      <c r="A31" s="29"/>
      <c r="B31" s="30"/>
      <c r="C31" s="30"/>
      <c r="D31" s="30"/>
      <c r="E31" s="31" t="s">
        <v>68</v>
      </c>
      <c r="F31" s="188">
        <v>560</v>
      </c>
      <c r="G31" s="189">
        <v>509</v>
      </c>
      <c r="H31" s="190">
        <v>0</v>
      </c>
      <c r="I31" s="190">
        <v>509</v>
      </c>
      <c r="J31" s="191">
        <v>0</v>
      </c>
      <c r="K31" s="189">
        <v>0</v>
      </c>
      <c r="L31" s="190">
        <v>0</v>
      </c>
      <c r="M31" s="190">
        <v>1</v>
      </c>
      <c r="N31" s="190">
        <v>0</v>
      </c>
      <c r="O31" s="190">
        <v>14</v>
      </c>
      <c r="P31" s="190">
        <v>0</v>
      </c>
      <c r="Q31" s="190">
        <v>12</v>
      </c>
      <c r="R31" s="191">
        <v>24</v>
      </c>
      <c r="S31" s="188">
        <v>28</v>
      </c>
      <c r="T31" s="189">
        <v>155</v>
      </c>
      <c r="U31" s="190">
        <v>0</v>
      </c>
      <c r="V31" s="190">
        <v>12</v>
      </c>
      <c r="W31" s="190">
        <v>0</v>
      </c>
      <c r="X31" s="191">
        <v>143</v>
      </c>
      <c r="Y31" s="189">
        <v>568</v>
      </c>
      <c r="Z31" s="191">
        <v>312</v>
      </c>
      <c r="AA31" s="189">
        <v>566</v>
      </c>
      <c r="AB31" s="191">
        <v>293</v>
      </c>
      <c r="AC31" s="189">
        <v>460</v>
      </c>
      <c r="AD31" s="191">
        <v>260</v>
      </c>
      <c r="AE31" s="189">
        <v>343</v>
      </c>
      <c r="AF31" s="190">
        <v>146</v>
      </c>
      <c r="AG31" s="191">
        <v>50</v>
      </c>
      <c r="AH31" s="136">
        <v>-3.5211267605633804E-3</v>
      </c>
      <c r="AI31" s="33">
        <v>-0.19014084507042253</v>
      </c>
      <c r="AJ31" s="33">
        <v>-0.1872791519434629</v>
      </c>
      <c r="AK31" s="33">
        <v>-6.0897435897435896E-2</v>
      </c>
      <c r="AL31" s="33">
        <v>-0.16666666666666666</v>
      </c>
      <c r="AM31" s="33">
        <v>-0.11262798634812286</v>
      </c>
      <c r="AN31" s="34">
        <v>0.90373280943025536</v>
      </c>
      <c r="AO31" s="33">
        <v>0.51080550098231825</v>
      </c>
      <c r="AP31" s="33">
        <v>0.2868369351669941</v>
      </c>
      <c r="AQ31" s="33">
        <v>9.8231827111984277E-2</v>
      </c>
      <c r="AR31" s="33">
        <v>4.5028142589118199E-2</v>
      </c>
      <c r="AS31" s="136">
        <v>5.50098231827112E-2</v>
      </c>
      <c r="AT31" s="35">
        <v>-0.24950884086444008</v>
      </c>
      <c r="AU31" s="30">
        <v>253</v>
      </c>
      <c r="AV31" s="30">
        <v>272</v>
      </c>
      <c r="AW31" s="31">
        <v>225</v>
      </c>
      <c r="AX31" s="136">
        <v>7.5098814229249009E-2</v>
      </c>
      <c r="AY31" s="33">
        <v>-0.11067193675889328</v>
      </c>
      <c r="AZ31" s="35">
        <v>-0.17279411764705882</v>
      </c>
      <c r="BA31" s="29">
        <v>44</v>
      </c>
      <c r="BB31" s="31">
        <v>43</v>
      </c>
      <c r="BC31" s="29">
        <v>5</v>
      </c>
      <c r="BD31" s="31">
        <v>4</v>
      </c>
      <c r="BE31" s="29">
        <v>239</v>
      </c>
      <c r="BF31" s="30">
        <v>460</v>
      </c>
      <c r="BG31" s="33">
        <v>0.51956521739130435</v>
      </c>
      <c r="BH31" s="30">
        <v>128</v>
      </c>
      <c r="BI31" s="30">
        <v>225</v>
      </c>
      <c r="BJ31" s="35">
        <v>0.56888888888888889</v>
      </c>
    </row>
    <row r="32" spans="1:62" x14ac:dyDescent="0.25">
      <c r="A32" s="29"/>
      <c r="B32" s="30"/>
      <c r="C32" s="30"/>
      <c r="D32" s="30"/>
      <c r="E32" s="31" t="s">
        <v>148</v>
      </c>
      <c r="F32" s="188">
        <v>148</v>
      </c>
      <c r="G32" s="189">
        <v>134</v>
      </c>
      <c r="H32" s="190">
        <v>9</v>
      </c>
      <c r="I32" s="190">
        <v>143</v>
      </c>
      <c r="J32" s="191">
        <v>0</v>
      </c>
      <c r="K32" s="189">
        <v>0</v>
      </c>
      <c r="L32" s="190">
        <v>0</v>
      </c>
      <c r="M32" s="190">
        <v>0</v>
      </c>
      <c r="N32" s="190">
        <v>0</v>
      </c>
      <c r="O32" s="190">
        <v>0</v>
      </c>
      <c r="P32" s="190">
        <v>0</v>
      </c>
      <c r="Q32" s="190">
        <v>0</v>
      </c>
      <c r="R32" s="191">
        <v>1</v>
      </c>
      <c r="S32" s="188">
        <v>105</v>
      </c>
      <c r="T32" s="189">
        <v>121</v>
      </c>
      <c r="U32" s="190">
        <v>0</v>
      </c>
      <c r="V32" s="190">
        <v>0</v>
      </c>
      <c r="W32" s="190">
        <v>0</v>
      </c>
      <c r="X32" s="191">
        <v>121</v>
      </c>
      <c r="Y32" s="189">
        <v>320</v>
      </c>
      <c r="Z32" s="191">
        <v>133</v>
      </c>
      <c r="AA32" s="189">
        <v>359</v>
      </c>
      <c r="AB32" s="191">
        <v>135</v>
      </c>
      <c r="AC32" s="189">
        <v>383</v>
      </c>
      <c r="AD32" s="191">
        <v>146</v>
      </c>
      <c r="AE32" s="189">
        <v>33</v>
      </c>
      <c r="AF32" s="190">
        <v>12</v>
      </c>
      <c r="AG32" s="191">
        <v>26</v>
      </c>
      <c r="AH32" s="136">
        <v>0.121875</v>
      </c>
      <c r="AI32" s="33">
        <v>0.19687499999999999</v>
      </c>
      <c r="AJ32" s="33">
        <v>6.6852367688022288E-2</v>
      </c>
      <c r="AK32" s="33">
        <v>1.5037593984962405E-2</v>
      </c>
      <c r="AL32" s="33">
        <v>9.7744360902255634E-2</v>
      </c>
      <c r="AM32" s="33">
        <v>8.1481481481481488E-2</v>
      </c>
      <c r="AN32" s="34">
        <v>2.8582089552238807</v>
      </c>
      <c r="AO32" s="33">
        <v>1.0895522388059702</v>
      </c>
      <c r="AP32" s="33">
        <v>8.9552238805970144E-2</v>
      </c>
      <c r="AQ32" s="33">
        <v>0.19402985074626866</v>
      </c>
      <c r="AR32" s="33">
        <v>7.4074074074074077E-3</v>
      </c>
      <c r="AS32" s="136">
        <v>0.78358208955223885</v>
      </c>
      <c r="AT32" s="35">
        <v>-0.11940298507462686</v>
      </c>
      <c r="AU32" s="30">
        <v>65</v>
      </c>
      <c r="AV32" s="30">
        <v>61</v>
      </c>
      <c r="AW32" s="31">
        <v>66</v>
      </c>
      <c r="AX32" s="136">
        <v>-6.1538461538461542E-2</v>
      </c>
      <c r="AY32" s="33">
        <v>1.5384615384615385E-2</v>
      </c>
      <c r="AZ32" s="35">
        <v>8.1967213114754092E-2</v>
      </c>
      <c r="BA32" s="29">
        <v>45</v>
      </c>
      <c r="BB32" s="31">
        <v>45</v>
      </c>
      <c r="BC32" s="29">
        <v>11</v>
      </c>
      <c r="BD32" s="31">
        <v>7.5</v>
      </c>
      <c r="BE32" s="29">
        <v>286</v>
      </c>
      <c r="BF32" s="30">
        <v>383</v>
      </c>
      <c r="BG32" s="33">
        <v>0.74673629242819839</v>
      </c>
      <c r="BH32" s="30">
        <v>37</v>
      </c>
      <c r="BI32" s="30">
        <v>66</v>
      </c>
      <c r="BJ32" s="35">
        <v>0.56060606060606055</v>
      </c>
    </row>
    <row r="33" spans="1:62" x14ac:dyDescent="0.25">
      <c r="A33" s="29"/>
      <c r="B33" s="30"/>
      <c r="C33" s="30"/>
      <c r="D33" s="30"/>
      <c r="E33" s="31" t="s">
        <v>97</v>
      </c>
      <c r="F33" s="188">
        <v>99</v>
      </c>
      <c r="G33" s="189">
        <v>89</v>
      </c>
      <c r="H33" s="190">
        <v>0</v>
      </c>
      <c r="I33" s="190">
        <v>89</v>
      </c>
      <c r="J33" s="191">
        <v>0</v>
      </c>
      <c r="K33" s="189">
        <v>0</v>
      </c>
      <c r="L33" s="190">
        <v>0</v>
      </c>
      <c r="M33" s="190">
        <v>1</v>
      </c>
      <c r="N33" s="190">
        <v>0</v>
      </c>
      <c r="O33" s="190">
        <v>1</v>
      </c>
      <c r="P33" s="190">
        <v>0</v>
      </c>
      <c r="Q33" s="190">
        <v>6</v>
      </c>
      <c r="R33" s="191">
        <v>2</v>
      </c>
      <c r="S33" s="188">
        <v>0</v>
      </c>
      <c r="T33" s="189">
        <v>17</v>
      </c>
      <c r="U33" s="190">
        <v>0</v>
      </c>
      <c r="V33" s="190">
        <v>6</v>
      </c>
      <c r="W33" s="190">
        <v>0</v>
      </c>
      <c r="X33" s="191">
        <v>11</v>
      </c>
      <c r="Y33" s="189">
        <v>87</v>
      </c>
      <c r="Z33" s="191">
        <v>44</v>
      </c>
      <c r="AA33" s="189">
        <v>104</v>
      </c>
      <c r="AB33" s="191">
        <v>60</v>
      </c>
      <c r="AC33" s="189">
        <v>64</v>
      </c>
      <c r="AD33" s="191">
        <v>29</v>
      </c>
      <c r="AE33" s="189">
        <v>71</v>
      </c>
      <c r="AF33" s="190">
        <v>22</v>
      </c>
      <c r="AG33" s="191">
        <v>8</v>
      </c>
      <c r="AH33" s="136">
        <v>0.19540229885057472</v>
      </c>
      <c r="AI33" s="33">
        <v>-0.26436781609195403</v>
      </c>
      <c r="AJ33" s="33">
        <v>-0.38461538461538464</v>
      </c>
      <c r="AK33" s="33">
        <v>0.36363636363636365</v>
      </c>
      <c r="AL33" s="33">
        <v>-0.34090909090909088</v>
      </c>
      <c r="AM33" s="33">
        <v>-0.51666666666666672</v>
      </c>
      <c r="AN33" s="34">
        <v>0.7191011235955056</v>
      </c>
      <c r="AO33" s="33">
        <v>0.3258426966292135</v>
      </c>
      <c r="AP33" s="33">
        <v>0.24719101123595505</v>
      </c>
      <c r="AQ33" s="33">
        <v>8.98876404494382E-2</v>
      </c>
      <c r="AR33" s="33">
        <v>2.197802197802198E-2</v>
      </c>
      <c r="AS33" s="136">
        <v>0</v>
      </c>
      <c r="AT33" s="35">
        <v>-0.19101123595505617</v>
      </c>
      <c r="AU33" s="30">
        <v>56</v>
      </c>
      <c r="AV33" s="30">
        <v>51</v>
      </c>
      <c r="AW33" s="31">
        <v>45</v>
      </c>
      <c r="AX33" s="136">
        <v>-8.9285714285714288E-2</v>
      </c>
      <c r="AY33" s="33">
        <v>-0.19642857142857142</v>
      </c>
      <c r="AZ33" s="35">
        <v>-0.11764705882352941</v>
      </c>
      <c r="BA33" s="29">
        <v>51.5</v>
      </c>
      <c r="BB33" s="31">
        <v>49</v>
      </c>
      <c r="BC33" s="29">
        <v>9</v>
      </c>
      <c r="BD33" s="31">
        <v>6</v>
      </c>
      <c r="BE33" s="29">
        <v>31</v>
      </c>
      <c r="BF33" s="30">
        <v>64</v>
      </c>
      <c r="BG33" s="33">
        <v>0.484375</v>
      </c>
      <c r="BH33" s="30">
        <v>26</v>
      </c>
      <c r="BI33" s="30">
        <v>45</v>
      </c>
      <c r="BJ33" s="35">
        <v>0.57777777777777772</v>
      </c>
    </row>
    <row r="34" spans="1:62" x14ac:dyDescent="0.25">
      <c r="A34" s="22"/>
      <c r="B34" s="23"/>
      <c r="C34" s="23"/>
      <c r="D34" s="23" t="s">
        <v>141</v>
      </c>
      <c r="E34" s="24"/>
      <c r="F34" s="184">
        <v>5871</v>
      </c>
      <c r="G34" s="185">
        <v>5378</v>
      </c>
      <c r="H34" s="186">
        <v>0</v>
      </c>
      <c r="I34" s="186">
        <v>5378</v>
      </c>
      <c r="J34" s="187">
        <v>0</v>
      </c>
      <c r="K34" s="185">
        <v>0</v>
      </c>
      <c r="L34" s="186">
        <v>13</v>
      </c>
      <c r="M34" s="186">
        <v>133</v>
      </c>
      <c r="N34" s="186">
        <v>8</v>
      </c>
      <c r="O34" s="186">
        <v>58</v>
      </c>
      <c r="P34" s="186">
        <v>0</v>
      </c>
      <c r="Q34" s="186">
        <v>41</v>
      </c>
      <c r="R34" s="187">
        <v>228</v>
      </c>
      <c r="S34" s="184">
        <v>302</v>
      </c>
      <c r="T34" s="185">
        <v>80</v>
      </c>
      <c r="U34" s="186">
        <v>5</v>
      </c>
      <c r="V34" s="186">
        <v>24</v>
      </c>
      <c r="W34" s="186">
        <v>24</v>
      </c>
      <c r="X34" s="187">
        <v>27</v>
      </c>
      <c r="Y34" s="185">
        <v>28941</v>
      </c>
      <c r="Z34" s="187">
        <v>5254</v>
      </c>
      <c r="AA34" s="185">
        <v>27483</v>
      </c>
      <c r="AB34" s="187">
        <v>5044</v>
      </c>
      <c r="AC34" s="185">
        <v>23906</v>
      </c>
      <c r="AD34" s="187">
        <v>4885</v>
      </c>
      <c r="AE34" s="185">
        <v>1018</v>
      </c>
      <c r="AF34" s="186">
        <v>176</v>
      </c>
      <c r="AG34" s="187">
        <v>1628</v>
      </c>
      <c r="AH34" s="135">
        <v>-5.0378355965585153E-2</v>
      </c>
      <c r="AI34" s="26">
        <v>-0.17397463805673613</v>
      </c>
      <c r="AJ34" s="26">
        <v>-0.13015318560564712</v>
      </c>
      <c r="AK34" s="26">
        <v>-3.9969547011800534E-2</v>
      </c>
      <c r="AL34" s="26">
        <v>-7.0232204035020937E-2</v>
      </c>
      <c r="AM34" s="26">
        <v>-3.1522601110229975E-2</v>
      </c>
      <c r="AN34" s="27">
        <v>4.445146894756415</v>
      </c>
      <c r="AO34" s="26">
        <v>0.90833023428783932</v>
      </c>
      <c r="AP34" s="26">
        <v>3.2725920416511713E-2</v>
      </c>
      <c r="AQ34" s="26">
        <v>0.30271476385273338</v>
      </c>
      <c r="AR34" s="26">
        <v>4.0670709953621119E-2</v>
      </c>
      <c r="AS34" s="135">
        <v>5.6154704351059875E-2</v>
      </c>
      <c r="AT34" s="28">
        <v>4.1279285979918187E-2</v>
      </c>
      <c r="AU34" s="23">
        <v>1105</v>
      </c>
      <c r="AV34" s="23">
        <v>1009</v>
      </c>
      <c r="AW34" s="24">
        <v>908</v>
      </c>
      <c r="AX34" s="135">
        <v>-8.6877828054298639E-2</v>
      </c>
      <c r="AY34" s="26">
        <v>-0.17828054298642534</v>
      </c>
      <c r="AZ34" s="28">
        <v>-0.10009910802775025</v>
      </c>
      <c r="BA34" s="22">
        <v>52</v>
      </c>
      <c r="BB34" s="24">
        <v>40</v>
      </c>
      <c r="BC34" s="22">
        <v>5</v>
      </c>
      <c r="BD34" s="24">
        <v>4</v>
      </c>
      <c r="BE34" s="22">
        <v>16482</v>
      </c>
      <c r="BF34" s="23">
        <v>23909</v>
      </c>
      <c r="BG34" s="26">
        <v>0.68936383788531519</v>
      </c>
      <c r="BH34" s="23">
        <v>613</v>
      </c>
      <c r="BI34" s="23">
        <v>908</v>
      </c>
      <c r="BJ34" s="28">
        <v>0.67511013215859028</v>
      </c>
    </row>
    <row r="35" spans="1:62" x14ac:dyDescent="0.25">
      <c r="A35" s="29"/>
      <c r="B35" s="30"/>
      <c r="C35" s="30"/>
      <c r="D35" s="30"/>
      <c r="E35" s="31" t="s">
        <v>97</v>
      </c>
      <c r="F35" s="188">
        <v>5871</v>
      </c>
      <c r="G35" s="189">
        <v>5378</v>
      </c>
      <c r="H35" s="190">
        <v>0</v>
      </c>
      <c r="I35" s="190">
        <v>5378</v>
      </c>
      <c r="J35" s="191">
        <v>0</v>
      </c>
      <c r="K35" s="189">
        <v>0</v>
      </c>
      <c r="L35" s="190">
        <v>13</v>
      </c>
      <c r="M35" s="190">
        <v>133</v>
      </c>
      <c r="N35" s="190">
        <v>8</v>
      </c>
      <c r="O35" s="190">
        <v>58</v>
      </c>
      <c r="P35" s="190">
        <v>0</v>
      </c>
      <c r="Q35" s="190">
        <v>41</v>
      </c>
      <c r="R35" s="191">
        <v>228</v>
      </c>
      <c r="S35" s="188">
        <v>302</v>
      </c>
      <c r="T35" s="189">
        <v>80</v>
      </c>
      <c r="U35" s="190">
        <v>5</v>
      </c>
      <c r="V35" s="190">
        <v>24</v>
      </c>
      <c r="W35" s="190">
        <v>24</v>
      </c>
      <c r="X35" s="191">
        <v>27</v>
      </c>
      <c r="Y35" s="189">
        <v>28941</v>
      </c>
      <c r="Z35" s="191">
        <v>5254</v>
      </c>
      <c r="AA35" s="189">
        <v>27483</v>
      </c>
      <c r="AB35" s="191">
        <v>5044</v>
      </c>
      <c r="AC35" s="189">
        <v>23906</v>
      </c>
      <c r="AD35" s="191">
        <v>4885</v>
      </c>
      <c r="AE35" s="189">
        <v>1018</v>
      </c>
      <c r="AF35" s="190">
        <v>176</v>
      </c>
      <c r="AG35" s="191">
        <v>1628</v>
      </c>
      <c r="AH35" s="136">
        <v>-5.0378355965585153E-2</v>
      </c>
      <c r="AI35" s="33">
        <v>-0.17397463805673613</v>
      </c>
      <c r="AJ35" s="33">
        <v>-0.13015318560564712</v>
      </c>
      <c r="AK35" s="33">
        <v>-3.9969547011800534E-2</v>
      </c>
      <c r="AL35" s="33">
        <v>-7.0232204035020937E-2</v>
      </c>
      <c r="AM35" s="33">
        <v>-3.1522601110229975E-2</v>
      </c>
      <c r="AN35" s="34">
        <v>4.445146894756415</v>
      </c>
      <c r="AO35" s="33">
        <v>0.90833023428783932</v>
      </c>
      <c r="AP35" s="33">
        <v>3.2725920416511713E-2</v>
      </c>
      <c r="AQ35" s="33">
        <v>0.30271476385273338</v>
      </c>
      <c r="AR35" s="33">
        <v>4.0670709953621119E-2</v>
      </c>
      <c r="AS35" s="136">
        <v>5.6154704351059875E-2</v>
      </c>
      <c r="AT35" s="35">
        <v>4.1279285979918187E-2</v>
      </c>
      <c r="AU35" s="30">
        <v>1098</v>
      </c>
      <c r="AV35" s="30">
        <v>1003</v>
      </c>
      <c r="AW35" s="31">
        <v>907</v>
      </c>
      <c r="AX35" s="136">
        <v>-8.6520947176684876E-2</v>
      </c>
      <c r="AY35" s="33">
        <v>-0.17395264116575593</v>
      </c>
      <c r="AZ35" s="35">
        <v>-9.5712861415752748E-2</v>
      </c>
      <c r="BA35" s="29">
        <v>52</v>
      </c>
      <c r="BB35" s="31">
        <v>40</v>
      </c>
      <c r="BC35" s="29">
        <v>5</v>
      </c>
      <c r="BD35" s="31">
        <v>4</v>
      </c>
      <c r="BE35" s="29">
        <v>16481</v>
      </c>
      <c r="BF35" s="30">
        <v>23906</v>
      </c>
      <c r="BG35" s="33">
        <v>0.68940851669037062</v>
      </c>
      <c r="BH35" s="30">
        <v>612</v>
      </c>
      <c r="BI35" s="30">
        <v>907</v>
      </c>
      <c r="BJ35" s="35">
        <v>0.67475192943770668</v>
      </c>
    </row>
    <row r="36" spans="1:62" x14ac:dyDescent="0.25">
      <c r="A36" s="22"/>
      <c r="B36" s="23"/>
      <c r="C36" s="23"/>
      <c r="D36" s="23" t="s">
        <v>159</v>
      </c>
      <c r="E36" s="24"/>
      <c r="F36" s="184">
        <v>969</v>
      </c>
      <c r="G36" s="185">
        <v>879</v>
      </c>
      <c r="H36" s="186">
        <v>0</v>
      </c>
      <c r="I36" s="186">
        <v>879</v>
      </c>
      <c r="J36" s="187">
        <v>0</v>
      </c>
      <c r="K36" s="185">
        <v>0</v>
      </c>
      <c r="L36" s="186">
        <v>23</v>
      </c>
      <c r="M36" s="186">
        <v>12</v>
      </c>
      <c r="N36" s="186">
        <v>2</v>
      </c>
      <c r="O36" s="186">
        <v>2</v>
      </c>
      <c r="P36" s="186">
        <v>0</v>
      </c>
      <c r="Q36" s="186">
        <v>8</v>
      </c>
      <c r="R36" s="187">
        <v>43</v>
      </c>
      <c r="S36" s="184">
        <v>87</v>
      </c>
      <c r="T36" s="185">
        <v>12</v>
      </c>
      <c r="U36" s="186">
        <v>0</v>
      </c>
      <c r="V36" s="186">
        <v>7</v>
      </c>
      <c r="W36" s="186">
        <v>1</v>
      </c>
      <c r="X36" s="187">
        <v>4</v>
      </c>
      <c r="Y36" s="185">
        <v>2500</v>
      </c>
      <c r="Z36" s="187">
        <v>660</v>
      </c>
      <c r="AA36" s="185">
        <v>2347</v>
      </c>
      <c r="AB36" s="187">
        <v>646</v>
      </c>
      <c r="AC36" s="185">
        <v>2288</v>
      </c>
      <c r="AD36" s="187">
        <v>673</v>
      </c>
      <c r="AE36" s="185">
        <v>274</v>
      </c>
      <c r="AF36" s="186">
        <v>74</v>
      </c>
      <c r="AG36" s="187">
        <v>174</v>
      </c>
      <c r="AH36" s="135">
        <v>-6.1199999999999997E-2</v>
      </c>
      <c r="AI36" s="26">
        <v>-8.48E-2</v>
      </c>
      <c r="AJ36" s="26">
        <v>-2.5138474648487431E-2</v>
      </c>
      <c r="AK36" s="26">
        <v>-2.1212121212121213E-2</v>
      </c>
      <c r="AL36" s="26">
        <v>1.9696969696969695E-2</v>
      </c>
      <c r="AM36" s="26">
        <v>4.1795665634674919E-2</v>
      </c>
      <c r="AN36" s="27">
        <v>2.6029579067121729</v>
      </c>
      <c r="AO36" s="26">
        <v>0.76564277588168372</v>
      </c>
      <c r="AP36" s="26">
        <v>8.418657565415244E-2</v>
      </c>
      <c r="AQ36" s="26">
        <v>0.19795221843003413</v>
      </c>
      <c r="AR36" s="26">
        <v>4.6637744034707156E-2</v>
      </c>
      <c r="AS36" s="135">
        <v>9.8976109215017066E-2</v>
      </c>
      <c r="AT36" s="28">
        <v>8.5324232081911269E-2</v>
      </c>
      <c r="AU36" s="23">
        <v>341</v>
      </c>
      <c r="AV36" s="23">
        <v>338</v>
      </c>
      <c r="AW36" s="24">
        <v>326</v>
      </c>
      <c r="AX36" s="135">
        <v>-8.7976539589442824E-3</v>
      </c>
      <c r="AY36" s="26">
        <v>-4.398826979472141E-2</v>
      </c>
      <c r="AZ36" s="28">
        <v>-3.5502958579881658E-2</v>
      </c>
      <c r="BA36" s="22">
        <v>49</v>
      </c>
      <c r="BB36" s="24">
        <v>46</v>
      </c>
      <c r="BC36" s="22">
        <v>6</v>
      </c>
      <c r="BD36" s="24">
        <v>5.5</v>
      </c>
      <c r="BE36" s="22">
        <v>1413</v>
      </c>
      <c r="BF36" s="23">
        <v>2288</v>
      </c>
      <c r="BG36" s="26">
        <v>0.61756993006993011</v>
      </c>
      <c r="BH36" s="23">
        <v>216</v>
      </c>
      <c r="BI36" s="23">
        <v>326</v>
      </c>
      <c r="BJ36" s="28">
        <v>0.66257668711656437</v>
      </c>
    </row>
    <row r="37" spans="1:62" x14ac:dyDescent="0.25">
      <c r="A37" s="29"/>
      <c r="B37" s="30"/>
      <c r="C37" s="30"/>
      <c r="D37" s="30"/>
      <c r="E37" s="31" t="s">
        <v>97</v>
      </c>
      <c r="F37" s="188">
        <v>968</v>
      </c>
      <c r="G37" s="189">
        <v>878</v>
      </c>
      <c r="H37" s="190">
        <v>0</v>
      </c>
      <c r="I37" s="190">
        <v>878</v>
      </c>
      <c r="J37" s="191">
        <v>0</v>
      </c>
      <c r="K37" s="189">
        <v>0</v>
      </c>
      <c r="L37" s="190">
        <v>23</v>
      </c>
      <c r="M37" s="190">
        <v>12</v>
      </c>
      <c r="N37" s="190">
        <v>2</v>
      </c>
      <c r="O37" s="190">
        <v>2</v>
      </c>
      <c r="P37" s="190">
        <v>0</v>
      </c>
      <c r="Q37" s="190">
        <v>8</v>
      </c>
      <c r="R37" s="191">
        <v>43</v>
      </c>
      <c r="S37" s="188">
        <v>87</v>
      </c>
      <c r="T37" s="189">
        <v>12</v>
      </c>
      <c r="U37" s="190">
        <v>0</v>
      </c>
      <c r="V37" s="190">
        <v>7</v>
      </c>
      <c r="W37" s="190">
        <v>1</v>
      </c>
      <c r="X37" s="191">
        <v>4</v>
      </c>
      <c r="Y37" s="189">
        <v>2498</v>
      </c>
      <c r="Z37" s="191">
        <v>659</v>
      </c>
      <c r="AA37" s="189">
        <v>2344</v>
      </c>
      <c r="AB37" s="191">
        <v>645</v>
      </c>
      <c r="AC37" s="189">
        <v>2286</v>
      </c>
      <c r="AD37" s="191">
        <v>672</v>
      </c>
      <c r="AE37" s="189">
        <v>274</v>
      </c>
      <c r="AF37" s="190">
        <v>74</v>
      </c>
      <c r="AG37" s="191">
        <v>174</v>
      </c>
      <c r="AH37" s="136">
        <v>-6.1649319455564448E-2</v>
      </c>
      <c r="AI37" s="33">
        <v>-8.4867894315452358E-2</v>
      </c>
      <c r="AJ37" s="33">
        <v>-2.4744027303754267E-2</v>
      </c>
      <c r="AK37" s="33">
        <v>-2.1244309559939303E-2</v>
      </c>
      <c r="AL37" s="33">
        <v>1.9726858877086494E-2</v>
      </c>
      <c r="AM37" s="33">
        <v>4.1860465116279069E-2</v>
      </c>
      <c r="AN37" s="34">
        <v>2.6036446469248293</v>
      </c>
      <c r="AO37" s="33">
        <v>0.76537585421412302</v>
      </c>
      <c r="AP37" s="33">
        <v>8.4282460136674259E-2</v>
      </c>
      <c r="AQ37" s="33">
        <v>0.19817767653758542</v>
      </c>
      <c r="AR37" s="33">
        <v>4.6688382193268187E-2</v>
      </c>
      <c r="AS37" s="136">
        <v>9.9088838268792709E-2</v>
      </c>
      <c r="AT37" s="35">
        <v>8.5421412300683369E-2</v>
      </c>
      <c r="AU37" s="30">
        <v>341</v>
      </c>
      <c r="AV37" s="30">
        <v>337</v>
      </c>
      <c r="AW37" s="31">
        <v>326</v>
      </c>
      <c r="AX37" s="136">
        <v>-1.1730205278592375E-2</v>
      </c>
      <c r="AY37" s="33">
        <v>-4.398826979472141E-2</v>
      </c>
      <c r="AZ37" s="35">
        <v>-3.2640949554896145E-2</v>
      </c>
      <c r="BA37" s="29">
        <v>49</v>
      </c>
      <c r="BB37" s="31">
        <v>46</v>
      </c>
      <c r="BC37" s="29">
        <v>6</v>
      </c>
      <c r="BD37" s="31">
        <v>5.5</v>
      </c>
      <c r="BE37" s="29">
        <v>1413</v>
      </c>
      <c r="BF37" s="30">
        <v>2286</v>
      </c>
      <c r="BG37" s="33">
        <v>0.61811023622047245</v>
      </c>
      <c r="BH37" s="30">
        <v>215</v>
      </c>
      <c r="BI37" s="30">
        <v>326</v>
      </c>
      <c r="BJ37" s="35">
        <v>0.6595092024539877</v>
      </c>
    </row>
    <row r="38" spans="1:62" x14ac:dyDescent="0.25">
      <c r="A38" s="15"/>
      <c r="B38" s="16"/>
      <c r="C38" s="16" t="s">
        <v>160</v>
      </c>
      <c r="D38" s="16"/>
      <c r="E38" s="17"/>
      <c r="F38" s="180">
        <v>679</v>
      </c>
      <c r="G38" s="181">
        <v>651</v>
      </c>
      <c r="H38" s="182">
        <v>1</v>
      </c>
      <c r="I38" s="182">
        <v>652</v>
      </c>
      <c r="J38" s="183">
        <v>0</v>
      </c>
      <c r="K38" s="181">
        <v>0</v>
      </c>
      <c r="L38" s="182">
        <v>3</v>
      </c>
      <c r="M38" s="182">
        <v>7</v>
      </c>
      <c r="N38" s="182">
        <v>1</v>
      </c>
      <c r="O38" s="182">
        <v>4</v>
      </c>
      <c r="P38" s="182">
        <v>0</v>
      </c>
      <c r="Q38" s="182">
        <v>4</v>
      </c>
      <c r="R38" s="183">
        <v>8</v>
      </c>
      <c r="S38" s="180">
        <v>88</v>
      </c>
      <c r="T38" s="181">
        <v>19</v>
      </c>
      <c r="U38" s="182">
        <v>1</v>
      </c>
      <c r="V38" s="182">
        <v>4</v>
      </c>
      <c r="W38" s="182">
        <v>4</v>
      </c>
      <c r="X38" s="183">
        <v>10</v>
      </c>
      <c r="Y38" s="181">
        <v>440</v>
      </c>
      <c r="Z38" s="183">
        <v>208</v>
      </c>
      <c r="AA38" s="181">
        <v>889</v>
      </c>
      <c r="AB38" s="183">
        <v>299</v>
      </c>
      <c r="AC38" s="181">
        <v>809</v>
      </c>
      <c r="AD38" s="183">
        <v>336</v>
      </c>
      <c r="AE38" s="181">
        <v>331</v>
      </c>
      <c r="AF38" s="182">
        <v>100</v>
      </c>
      <c r="AG38" s="183">
        <v>70</v>
      </c>
      <c r="AH38" s="133">
        <v>1.0204545454545455</v>
      </c>
      <c r="AI38" s="19">
        <v>0.83863636363636362</v>
      </c>
      <c r="AJ38" s="19">
        <v>-8.9988751406074236E-2</v>
      </c>
      <c r="AK38" s="19">
        <v>0.4375</v>
      </c>
      <c r="AL38" s="19">
        <v>0.61538461538461542</v>
      </c>
      <c r="AM38" s="19">
        <v>0.12374581939799331</v>
      </c>
      <c r="AN38" s="20">
        <v>1.2427035330261136</v>
      </c>
      <c r="AO38" s="19">
        <v>0.5161290322580645</v>
      </c>
      <c r="AP38" s="19">
        <v>0.15360983102918588</v>
      </c>
      <c r="AQ38" s="19">
        <v>0.10752688172043011</v>
      </c>
      <c r="AR38" s="19">
        <v>1.2139605462822459E-2</v>
      </c>
      <c r="AS38" s="133">
        <v>0.13517665130568357</v>
      </c>
      <c r="AT38" s="21">
        <v>0.10599078341013825</v>
      </c>
      <c r="AU38" s="16">
        <v>133</v>
      </c>
      <c r="AV38" s="16">
        <v>226</v>
      </c>
      <c r="AW38" s="17">
        <v>278</v>
      </c>
      <c r="AX38" s="133">
        <v>0.6992481203007519</v>
      </c>
      <c r="AY38" s="19">
        <v>1.0902255639097744</v>
      </c>
      <c r="AZ38" s="21">
        <v>0.23008849557522124</v>
      </c>
      <c r="BA38" s="15">
        <v>28</v>
      </c>
      <c r="BB38" s="17">
        <v>29</v>
      </c>
      <c r="BC38" s="15">
        <v>3</v>
      </c>
      <c r="BD38" s="17">
        <v>3</v>
      </c>
      <c r="BE38" s="15">
        <v>558</v>
      </c>
      <c r="BF38" s="16">
        <v>809</v>
      </c>
      <c r="BG38" s="19">
        <v>0.68974042027194071</v>
      </c>
      <c r="BH38" s="16">
        <v>194</v>
      </c>
      <c r="BI38" s="16">
        <v>278</v>
      </c>
      <c r="BJ38" s="21">
        <v>0.69784172661870503</v>
      </c>
    </row>
    <row r="39" spans="1:62" x14ac:dyDescent="0.25">
      <c r="A39" s="22"/>
      <c r="B39" s="23"/>
      <c r="C39" s="23"/>
      <c r="D39" s="23" t="s">
        <v>161</v>
      </c>
      <c r="E39" s="24"/>
      <c r="F39" s="184">
        <v>451</v>
      </c>
      <c r="G39" s="185">
        <v>432</v>
      </c>
      <c r="H39" s="186">
        <v>0</v>
      </c>
      <c r="I39" s="186">
        <v>432</v>
      </c>
      <c r="J39" s="187">
        <v>0</v>
      </c>
      <c r="K39" s="185">
        <v>0</v>
      </c>
      <c r="L39" s="186">
        <v>3</v>
      </c>
      <c r="M39" s="186">
        <v>5</v>
      </c>
      <c r="N39" s="186">
        <v>1</v>
      </c>
      <c r="O39" s="186">
        <v>2</v>
      </c>
      <c r="P39" s="186">
        <v>0</v>
      </c>
      <c r="Q39" s="186">
        <v>3</v>
      </c>
      <c r="R39" s="187">
        <v>5</v>
      </c>
      <c r="S39" s="184">
        <v>23</v>
      </c>
      <c r="T39" s="185">
        <v>6</v>
      </c>
      <c r="U39" s="186">
        <v>0</v>
      </c>
      <c r="V39" s="186">
        <v>3</v>
      </c>
      <c r="W39" s="186">
        <v>3</v>
      </c>
      <c r="X39" s="187">
        <v>0</v>
      </c>
      <c r="Y39" s="185">
        <v>409</v>
      </c>
      <c r="Z39" s="187">
        <v>191</v>
      </c>
      <c r="AA39" s="185">
        <v>724</v>
      </c>
      <c r="AB39" s="187">
        <v>239</v>
      </c>
      <c r="AC39" s="185">
        <v>460</v>
      </c>
      <c r="AD39" s="187">
        <v>195</v>
      </c>
      <c r="AE39" s="185">
        <v>252</v>
      </c>
      <c r="AF39" s="186">
        <v>59</v>
      </c>
      <c r="AG39" s="187">
        <v>33</v>
      </c>
      <c r="AH39" s="135">
        <v>0.77017114914425433</v>
      </c>
      <c r="AI39" s="26">
        <v>0.12469437652811736</v>
      </c>
      <c r="AJ39" s="26">
        <v>-0.36464088397790057</v>
      </c>
      <c r="AK39" s="26">
        <v>0.2513089005235602</v>
      </c>
      <c r="AL39" s="26">
        <v>2.0942408376963352E-2</v>
      </c>
      <c r="AM39" s="26">
        <v>-0.18410041841004185</v>
      </c>
      <c r="AN39" s="27">
        <v>1.0648148148148149</v>
      </c>
      <c r="AO39" s="26">
        <v>0.4513888888888889</v>
      </c>
      <c r="AP39" s="26">
        <v>0.13657407407407407</v>
      </c>
      <c r="AQ39" s="26">
        <v>7.6388888888888895E-2</v>
      </c>
      <c r="AR39" s="26">
        <v>1.1441647597254004E-2</v>
      </c>
      <c r="AS39" s="135">
        <v>5.3240740740740741E-2</v>
      </c>
      <c r="AT39" s="28">
        <v>3.9351851851851853E-2</v>
      </c>
      <c r="AU39" s="23">
        <v>122</v>
      </c>
      <c r="AV39" s="23">
        <v>168</v>
      </c>
      <c r="AW39" s="24">
        <v>141</v>
      </c>
      <c r="AX39" s="135">
        <v>0.37704918032786883</v>
      </c>
      <c r="AY39" s="26">
        <v>0.15573770491803279</v>
      </c>
      <c r="AZ39" s="28">
        <v>-0.16071428571428573</v>
      </c>
      <c r="BA39" s="22">
        <v>28</v>
      </c>
      <c r="BB39" s="24">
        <v>35</v>
      </c>
      <c r="BC39" s="22">
        <v>3</v>
      </c>
      <c r="BD39" s="24">
        <v>3</v>
      </c>
      <c r="BE39" s="22">
        <v>325</v>
      </c>
      <c r="BF39" s="23">
        <v>460</v>
      </c>
      <c r="BG39" s="26">
        <v>0.70652173913043481</v>
      </c>
      <c r="BH39" s="23">
        <v>97</v>
      </c>
      <c r="BI39" s="23">
        <v>141</v>
      </c>
      <c r="BJ39" s="28">
        <v>0.68794326241134751</v>
      </c>
    </row>
    <row r="40" spans="1:62" x14ac:dyDescent="0.25">
      <c r="A40" s="29"/>
      <c r="B40" s="30"/>
      <c r="C40" s="30"/>
      <c r="D40" s="30"/>
      <c r="E40" s="31" t="s">
        <v>97</v>
      </c>
      <c r="F40" s="188">
        <v>447</v>
      </c>
      <c r="G40" s="189">
        <v>428</v>
      </c>
      <c r="H40" s="190">
        <v>0</v>
      </c>
      <c r="I40" s="190">
        <v>428</v>
      </c>
      <c r="J40" s="191">
        <v>0</v>
      </c>
      <c r="K40" s="189">
        <v>0</v>
      </c>
      <c r="L40" s="190">
        <v>3</v>
      </c>
      <c r="M40" s="190">
        <v>5</v>
      </c>
      <c r="N40" s="190">
        <v>1</v>
      </c>
      <c r="O40" s="190">
        <v>2</v>
      </c>
      <c r="P40" s="190">
        <v>0</v>
      </c>
      <c r="Q40" s="190">
        <v>3</v>
      </c>
      <c r="R40" s="191">
        <v>5</v>
      </c>
      <c r="S40" s="188">
        <v>23</v>
      </c>
      <c r="T40" s="189">
        <v>6</v>
      </c>
      <c r="U40" s="190">
        <v>0</v>
      </c>
      <c r="V40" s="190">
        <v>3</v>
      </c>
      <c r="W40" s="190">
        <v>3</v>
      </c>
      <c r="X40" s="191">
        <v>0</v>
      </c>
      <c r="Y40" s="189">
        <v>409</v>
      </c>
      <c r="Z40" s="191">
        <v>191</v>
      </c>
      <c r="AA40" s="189">
        <v>722</v>
      </c>
      <c r="AB40" s="191">
        <v>237</v>
      </c>
      <c r="AC40" s="189">
        <v>453</v>
      </c>
      <c r="AD40" s="191">
        <v>192</v>
      </c>
      <c r="AE40" s="189">
        <v>251</v>
      </c>
      <c r="AF40" s="190">
        <v>59</v>
      </c>
      <c r="AG40" s="191">
        <v>33</v>
      </c>
      <c r="AH40" s="136">
        <v>0.76528117359413206</v>
      </c>
      <c r="AI40" s="33">
        <v>0.10757946210268948</v>
      </c>
      <c r="AJ40" s="33">
        <v>-0.37257617728531855</v>
      </c>
      <c r="AK40" s="33">
        <v>0.24083769633507854</v>
      </c>
      <c r="AL40" s="33">
        <v>5.235602094240838E-3</v>
      </c>
      <c r="AM40" s="33">
        <v>-0.189873417721519</v>
      </c>
      <c r="AN40" s="34">
        <v>1.058411214953271</v>
      </c>
      <c r="AO40" s="33">
        <v>0.44859813084112149</v>
      </c>
      <c r="AP40" s="33">
        <v>0.13785046728971961</v>
      </c>
      <c r="AQ40" s="33">
        <v>7.7102803738317752E-2</v>
      </c>
      <c r="AR40" s="33">
        <v>1.1547344110854504E-2</v>
      </c>
      <c r="AS40" s="136">
        <v>5.3738317757009345E-2</v>
      </c>
      <c r="AT40" s="35">
        <v>3.9719626168224297E-2</v>
      </c>
      <c r="AU40" s="30">
        <v>122</v>
      </c>
      <c r="AV40" s="30">
        <v>166</v>
      </c>
      <c r="AW40" s="31">
        <v>137</v>
      </c>
      <c r="AX40" s="136">
        <v>0.36065573770491804</v>
      </c>
      <c r="AY40" s="33">
        <v>0.12295081967213115</v>
      </c>
      <c r="AZ40" s="35">
        <v>-0.1746987951807229</v>
      </c>
      <c r="BA40" s="29">
        <v>28</v>
      </c>
      <c r="BB40" s="31">
        <v>37</v>
      </c>
      <c r="BC40" s="29">
        <v>3</v>
      </c>
      <c r="BD40" s="31">
        <v>3</v>
      </c>
      <c r="BE40" s="29">
        <v>321</v>
      </c>
      <c r="BF40" s="30">
        <v>453</v>
      </c>
      <c r="BG40" s="33">
        <v>0.70860927152317876</v>
      </c>
      <c r="BH40" s="30">
        <v>94</v>
      </c>
      <c r="BI40" s="30">
        <v>137</v>
      </c>
      <c r="BJ40" s="35">
        <v>0.68613138686131392</v>
      </c>
    </row>
    <row r="41" spans="1:62" x14ac:dyDescent="0.25">
      <c r="A41" s="22"/>
      <c r="B41" s="23"/>
      <c r="C41" s="23"/>
      <c r="D41" s="23" t="s">
        <v>162</v>
      </c>
      <c r="E41" s="24"/>
      <c r="F41" s="184">
        <v>102</v>
      </c>
      <c r="G41" s="185">
        <v>96</v>
      </c>
      <c r="H41" s="186">
        <v>0</v>
      </c>
      <c r="I41" s="186">
        <v>96</v>
      </c>
      <c r="J41" s="187">
        <v>0</v>
      </c>
      <c r="K41" s="185">
        <v>0</v>
      </c>
      <c r="L41" s="186">
        <v>0</v>
      </c>
      <c r="M41" s="186">
        <v>1</v>
      </c>
      <c r="N41" s="186">
        <v>0</v>
      </c>
      <c r="O41" s="186">
        <v>1</v>
      </c>
      <c r="P41" s="186">
        <v>0</v>
      </c>
      <c r="Q41" s="186">
        <v>1</v>
      </c>
      <c r="R41" s="187">
        <v>3</v>
      </c>
      <c r="S41" s="184">
        <v>18</v>
      </c>
      <c r="T41" s="185">
        <v>2</v>
      </c>
      <c r="U41" s="186">
        <v>1</v>
      </c>
      <c r="V41" s="186">
        <v>1</v>
      </c>
      <c r="W41" s="186">
        <v>0</v>
      </c>
      <c r="X41" s="187">
        <v>0</v>
      </c>
      <c r="Y41" s="185">
        <v>17</v>
      </c>
      <c r="Z41" s="187">
        <v>11</v>
      </c>
      <c r="AA41" s="185">
        <v>69</v>
      </c>
      <c r="AB41" s="187">
        <v>27</v>
      </c>
      <c r="AC41" s="185">
        <v>127</v>
      </c>
      <c r="AD41" s="187">
        <v>62</v>
      </c>
      <c r="AE41" s="185">
        <v>38</v>
      </c>
      <c r="AF41" s="186">
        <v>17</v>
      </c>
      <c r="AG41" s="187">
        <v>20</v>
      </c>
      <c r="AH41" s="135">
        <v>3.0588235294117645</v>
      </c>
      <c r="AI41" s="26">
        <v>6.4705882352941178</v>
      </c>
      <c r="AJ41" s="26">
        <v>0.84057971014492749</v>
      </c>
      <c r="AK41" s="26">
        <v>1.4545454545454546</v>
      </c>
      <c r="AL41" s="26">
        <v>4.6363636363636367</v>
      </c>
      <c r="AM41" s="26">
        <v>1.2962962962962963</v>
      </c>
      <c r="AN41" s="27">
        <v>1.3229166666666667</v>
      </c>
      <c r="AO41" s="26">
        <v>0.64583333333333337</v>
      </c>
      <c r="AP41" s="26">
        <v>0.17708333333333334</v>
      </c>
      <c r="AQ41" s="26">
        <v>0.20833333333333334</v>
      </c>
      <c r="AR41" s="26">
        <v>3.0303030303030304E-2</v>
      </c>
      <c r="AS41" s="135">
        <v>0.1875</v>
      </c>
      <c r="AT41" s="28">
        <v>0.16666666666666666</v>
      </c>
      <c r="AU41" s="23">
        <v>15</v>
      </c>
      <c r="AV41" s="23">
        <v>41</v>
      </c>
      <c r="AW41" s="24">
        <v>79</v>
      </c>
      <c r="AX41" s="135">
        <v>1.7333333333333334</v>
      </c>
      <c r="AY41" s="26">
        <v>4.2666666666666666</v>
      </c>
      <c r="AZ41" s="28">
        <v>0.92682926829268297</v>
      </c>
      <c r="BA41" s="22">
        <v>30.5</v>
      </c>
      <c r="BB41" s="24">
        <v>25.5</v>
      </c>
      <c r="BC41" s="22">
        <v>3</v>
      </c>
      <c r="BD41" s="24">
        <v>2</v>
      </c>
      <c r="BE41" s="22">
        <v>87</v>
      </c>
      <c r="BF41" s="23">
        <v>127</v>
      </c>
      <c r="BG41" s="26">
        <v>0.68503937007874016</v>
      </c>
      <c r="BH41" s="23">
        <v>49</v>
      </c>
      <c r="BI41" s="23">
        <v>79</v>
      </c>
      <c r="BJ41" s="28">
        <v>0.620253164556962</v>
      </c>
    </row>
    <row r="42" spans="1:62" x14ac:dyDescent="0.25">
      <c r="A42" s="29"/>
      <c r="B42" s="30"/>
      <c r="C42" s="30"/>
      <c r="D42" s="30"/>
      <c r="E42" s="31" t="s">
        <v>68</v>
      </c>
      <c r="F42" s="188">
        <v>92</v>
      </c>
      <c r="G42" s="189">
        <v>89</v>
      </c>
      <c r="H42" s="190">
        <v>0</v>
      </c>
      <c r="I42" s="190">
        <v>89</v>
      </c>
      <c r="J42" s="191">
        <v>0</v>
      </c>
      <c r="K42" s="189">
        <v>0</v>
      </c>
      <c r="L42" s="190">
        <v>0</v>
      </c>
      <c r="M42" s="190">
        <v>1</v>
      </c>
      <c r="N42" s="190">
        <v>0</v>
      </c>
      <c r="O42" s="190">
        <v>1</v>
      </c>
      <c r="P42" s="190">
        <v>0</v>
      </c>
      <c r="Q42" s="190">
        <v>0</v>
      </c>
      <c r="R42" s="191">
        <v>1</v>
      </c>
      <c r="S42" s="188">
        <v>14</v>
      </c>
      <c r="T42" s="189">
        <v>1</v>
      </c>
      <c r="U42" s="190">
        <v>1</v>
      </c>
      <c r="V42" s="190">
        <v>0</v>
      </c>
      <c r="W42" s="190">
        <v>0</v>
      </c>
      <c r="X42" s="191">
        <v>0</v>
      </c>
      <c r="Y42" s="189">
        <v>14</v>
      </c>
      <c r="Z42" s="191">
        <v>10</v>
      </c>
      <c r="AA42" s="189">
        <v>65</v>
      </c>
      <c r="AB42" s="191">
        <v>25</v>
      </c>
      <c r="AC42" s="189">
        <v>116</v>
      </c>
      <c r="AD42" s="191">
        <v>59</v>
      </c>
      <c r="AE42" s="189">
        <v>31</v>
      </c>
      <c r="AF42" s="190">
        <v>15</v>
      </c>
      <c r="AG42" s="191">
        <v>18</v>
      </c>
      <c r="AH42" s="136">
        <v>3.6428571428571428</v>
      </c>
      <c r="AI42" s="33">
        <v>7.2857142857142856</v>
      </c>
      <c r="AJ42" s="33">
        <v>0.7846153846153846</v>
      </c>
      <c r="AK42" s="33">
        <v>1.5</v>
      </c>
      <c r="AL42" s="33">
        <v>4.9000000000000004</v>
      </c>
      <c r="AM42" s="33">
        <v>1.36</v>
      </c>
      <c r="AN42" s="34">
        <v>1.303370786516854</v>
      </c>
      <c r="AO42" s="33">
        <v>0.6629213483146067</v>
      </c>
      <c r="AP42" s="33">
        <v>0.16853932584269662</v>
      </c>
      <c r="AQ42" s="33">
        <v>0.20224719101123595</v>
      </c>
      <c r="AR42" s="33">
        <v>1.1111111111111112E-2</v>
      </c>
      <c r="AS42" s="136">
        <v>0.15730337078651685</v>
      </c>
      <c r="AT42" s="35">
        <v>0.14606741573033707</v>
      </c>
      <c r="AU42" s="30">
        <v>12</v>
      </c>
      <c r="AV42" s="30">
        <v>39</v>
      </c>
      <c r="AW42" s="31">
        <v>77</v>
      </c>
      <c r="AX42" s="136">
        <v>2.25</v>
      </c>
      <c r="AY42" s="33">
        <v>5.416666666666667</v>
      </c>
      <c r="AZ42" s="35">
        <v>0.97435897435897434</v>
      </c>
      <c r="BA42" s="29">
        <v>24</v>
      </c>
      <c r="BB42" s="31">
        <v>24.5</v>
      </c>
      <c r="BC42" s="29">
        <v>3</v>
      </c>
      <c r="BD42" s="31">
        <v>2</v>
      </c>
      <c r="BE42" s="29">
        <v>76</v>
      </c>
      <c r="BF42" s="30">
        <v>116</v>
      </c>
      <c r="BG42" s="33">
        <v>0.65517241379310343</v>
      </c>
      <c r="BH42" s="30">
        <v>47</v>
      </c>
      <c r="BI42" s="30">
        <v>77</v>
      </c>
      <c r="BJ42" s="35">
        <v>0.61038961038961037</v>
      </c>
    </row>
    <row r="43" spans="1:62" x14ac:dyDescent="0.25">
      <c r="A43" s="29"/>
      <c r="B43" s="30"/>
      <c r="C43" s="30"/>
      <c r="D43" s="30"/>
      <c r="E43" s="31" t="s">
        <v>97</v>
      </c>
      <c r="F43" s="188">
        <v>10</v>
      </c>
      <c r="G43" s="189">
        <v>7</v>
      </c>
      <c r="H43" s="190">
        <v>0</v>
      </c>
      <c r="I43" s="190">
        <v>7</v>
      </c>
      <c r="J43" s="191">
        <v>0</v>
      </c>
      <c r="K43" s="189">
        <v>0</v>
      </c>
      <c r="L43" s="190">
        <v>0</v>
      </c>
      <c r="M43" s="190">
        <v>0</v>
      </c>
      <c r="N43" s="190">
        <v>0</v>
      </c>
      <c r="O43" s="190">
        <v>0</v>
      </c>
      <c r="P43" s="190">
        <v>0</v>
      </c>
      <c r="Q43" s="190">
        <v>1</v>
      </c>
      <c r="R43" s="191">
        <v>2</v>
      </c>
      <c r="S43" s="188">
        <v>4</v>
      </c>
      <c r="T43" s="189">
        <v>1</v>
      </c>
      <c r="U43" s="190">
        <v>0</v>
      </c>
      <c r="V43" s="190">
        <v>1</v>
      </c>
      <c r="W43" s="190">
        <v>0</v>
      </c>
      <c r="X43" s="191">
        <v>0</v>
      </c>
      <c r="Y43" s="189">
        <v>3</v>
      </c>
      <c r="Z43" s="191">
        <v>1</v>
      </c>
      <c r="AA43" s="189">
        <v>4</v>
      </c>
      <c r="AB43" s="191">
        <v>2</v>
      </c>
      <c r="AC43" s="189">
        <v>11</v>
      </c>
      <c r="AD43" s="191">
        <v>3</v>
      </c>
      <c r="AE43" s="189">
        <v>7</v>
      </c>
      <c r="AF43" s="190">
        <v>2</v>
      </c>
      <c r="AG43" s="191">
        <v>2</v>
      </c>
      <c r="AH43" s="136">
        <v>0.33333333333333331</v>
      </c>
      <c r="AI43" s="33">
        <v>2.6666666666666665</v>
      </c>
      <c r="AJ43" s="33">
        <v>1.75</v>
      </c>
      <c r="AK43" s="33">
        <v>1</v>
      </c>
      <c r="AL43" s="33">
        <v>2</v>
      </c>
      <c r="AM43" s="33">
        <v>0.5</v>
      </c>
      <c r="AN43" s="34">
        <v>1.5714285714285714</v>
      </c>
      <c r="AO43" s="33">
        <v>0.42857142857142855</v>
      </c>
      <c r="AP43" s="33">
        <v>0.2857142857142857</v>
      </c>
      <c r="AQ43" s="33">
        <v>0.2857142857142857</v>
      </c>
      <c r="AR43" s="33">
        <v>0.22222222222222221</v>
      </c>
      <c r="AS43" s="136">
        <v>0.5714285714285714</v>
      </c>
      <c r="AT43" s="35">
        <v>0.42857142857142855</v>
      </c>
      <c r="AU43" s="30">
        <v>3</v>
      </c>
      <c r="AV43" s="30">
        <v>2</v>
      </c>
      <c r="AW43" s="31">
        <v>4</v>
      </c>
      <c r="AX43" s="136">
        <v>-0.33333333333333331</v>
      </c>
      <c r="AY43" s="33">
        <v>0.33333333333333331</v>
      </c>
      <c r="AZ43" s="35">
        <v>1</v>
      </c>
      <c r="BA43" s="29">
        <v>56</v>
      </c>
      <c r="BB43" s="31">
        <v>56.5</v>
      </c>
      <c r="BC43" s="29">
        <v>13</v>
      </c>
      <c r="BD43" s="31">
        <v>8</v>
      </c>
      <c r="BE43" s="29">
        <v>11</v>
      </c>
      <c r="BF43" s="30">
        <v>11</v>
      </c>
      <c r="BG43" s="33">
        <v>1</v>
      </c>
      <c r="BH43" s="30">
        <v>4</v>
      </c>
      <c r="BI43" s="30">
        <v>4</v>
      </c>
      <c r="BJ43" s="35">
        <v>1</v>
      </c>
    </row>
    <row r="44" spans="1:62" x14ac:dyDescent="0.25">
      <c r="A44" s="22"/>
      <c r="B44" s="23"/>
      <c r="C44" s="23"/>
      <c r="D44" s="23" t="s">
        <v>163</v>
      </c>
      <c r="E44" s="24"/>
      <c r="F44" s="184">
        <v>126</v>
      </c>
      <c r="G44" s="185">
        <v>123</v>
      </c>
      <c r="H44" s="186">
        <v>1</v>
      </c>
      <c r="I44" s="186">
        <v>124</v>
      </c>
      <c r="J44" s="187">
        <v>0</v>
      </c>
      <c r="K44" s="185">
        <v>0</v>
      </c>
      <c r="L44" s="186">
        <v>0</v>
      </c>
      <c r="M44" s="186">
        <v>1</v>
      </c>
      <c r="N44" s="186">
        <v>0</v>
      </c>
      <c r="O44" s="186">
        <v>1</v>
      </c>
      <c r="P44" s="186">
        <v>0</v>
      </c>
      <c r="Q44" s="186">
        <v>0</v>
      </c>
      <c r="R44" s="187">
        <v>0</v>
      </c>
      <c r="S44" s="184">
        <v>47</v>
      </c>
      <c r="T44" s="185">
        <v>11</v>
      </c>
      <c r="U44" s="186">
        <v>0</v>
      </c>
      <c r="V44" s="186">
        <v>0</v>
      </c>
      <c r="W44" s="186">
        <v>1</v>
      </c>
      <c r="X44" s="187">
        <v>10</v>
      </c>
      <c r="Y44" s="185">
        <v>14</v>
      </c>
      <c r="Z44" s="187">
        <v>6</v>
      </c>
      <c r="AA44" s="185">
        <v>96</v>
      </c>
      <c r="AB44" s="187">
        <v>33</v>
      </c>
      <c r="AC44" s="185">
        <v>222</v>
      </c>
      <c r="AD44" s="187">
        <v>79</v>
      </c>
      <c r="AE44" s="185">
        <v>41</v>
      </c>
      <c r="AF44" s="186">
        <v>24</v>
      </c>
      <c r="AG44" s="187">
        <v>17</v>
      </c>
      <c r="AH44" s="135">
        <v>5.8571428571428568</v>
      </c>
      <c r="AI44" s="26">
        <v>14.857142857142858</v>
      </c>
      <c r="AJ44" s="26">
        <v>1.3125</v>
      </c>
      <c r="AK44" s="26">
        <v>4.5</v>
      </c>
      <c r="AL44" s="26">
        <v>12.166666666666666</v>
      </c>
      <c r="AM44" s="26">
        <v>1.393939393939394</v>
      </c>
      <c r="AN44" s="27">
        <v>1.8048780487804879</v>
      </c>
      <c r="AO44" s="26">
        <v>0.64227642276422769</v>
      </c>
      <c r="AP44" s="26">
        <v>0.1951219512195122</v>
      </c>
      <c r="AQ44" s="26">
        <v>0.13821138211382114</v>
      </c>
      <c r="AR44" s="26">
        <v>0</v>
      </c>
      <c r="AS44" s="135">
        <v>0.38211382113821141</v>
      </c>
      <c r="AT44" s="28">
        <v>0.29268292682926828</v>
      </c>
      <c r="AU44" s="23">
        <v>4</v>
      </c>
      <c r="AV44" s="23">
        <v>40</v>
      </c>
      <c r="AW44" s="24">
        <v>115</v>
      </c>
      <c r="AX44" s="135">
        <v>9</v>
      </c>
      <c r="AY44" s="26">
        <v>27.75</v>
      </c>
      <c r="AZ44" s="28">
        <v>1.875</v>
      </c>
      <c r="BA44" s="22">
        <v>30</v>
      </c>
      <c r="BB44" s="24">
        <v>26</v>
      </c>
      <c r="BC44" s="22">
        <v>3</v>
      </c>
      <c r="BD44" s="24">
        <v>3</v>
      </c>
      <c r="BE44" s="22">
        <v>146</v>
      </c>
      <c r="BF44" s="23">
        <v>222</v>
      </c>
      <c r="BG44" s="26">
        <v>0.65765765765765771</v>
      </c>
      <c r="BH44" s="23">
        <v>84</v>
      </c>
      <c r="BI44" s="23">
        <v>115</v>
      </c>
      <c r="BJ44" s="28">
        <v>0.73043478260869565</v>
      </c>
    </row>
    <row r="45" spans="1:62" x14ac:dyDescent="0.25">
      <c r="A45" s="29"/>
      <c r="B45" s="30"/>
      <c r="C45" s="30"/>
      <c r="D45" s="30"/>
      <c r="E45" s="31" t="s">
        <v>68</v>
      </c>
      <c r="F45" s="188">
        <v>106</v>
      </c>
      <c r="G45" s="189">
        <v>105</v>
      </c>
      <c r="H45" s="190">
        <v>0</v>
      </c>
      <c r="I45" s="190">
        <v>105</v>
      </c>
      <c r="J45" s="191">
        <v>0</v>
      </c>
      <c r="K45" s="189">
        <v>0</v>
      </c>
      <c r="L45" s="190">
        <v>0</v>
      </c>
      <c r="M45" s="190">
        <v>0</v>
      </c>
      <c r="N45" s="190">
        <v>0</v>
      </c>
      <c r="O45" s="190">
        <v>1</v>
      </c>
      <c r="P45" s="190">
        <v>0</v>
      </c>
      <c r="Q45" s="190">
        <v>0</v>
      </c>
      <c r="R45" s="191">
        <v>0</v>
      </c>
      <c r="S45" s="188">
        <v>35</v>
      </c>
      <c r="T45" s="189"/>
      <c r="U45" s="190"/>
      <c r="V45" s="190"/>
      <c r="W45" s="190"/>
      <c r="X45" s="191"/>
      <c r="Y45" s="189">
        <v>0</v>
      </c>
      <c r="Z45" s="191">
        <v>0</v>
      </c>
      <c r="AA45" s="189">
        <v>30</v>
      </c>
      <c r="AB45" s="191">
        <v>14</v>
      </c>
      <c r="AC45" s="189">
        <v>163</v>
      </c>
      <c r="AD45" s="191">
        <v>65</v>
      </c>
      <c r="AE45" s="189">
        <v>32</v>
      </c>
      <c r="AF45" s="190">
        <v>18</v>
      </c>
      <c r="AG45" s="191">
        <v>16</v>
      </c>
      <c r="AH45" s="136"/>
      <c r="AI45" s="33"/>
      <c r="AJ45" s="33">
        <v>4.4333333333333336</v>
      </c>
      <c r="AK45" s="33"/>
      <c r="AL45" s="33"/>
      <c r="AM45" s="33">
        <v>3.6428571428571428</v>
      </c>
      <c r="AN45" s="34">
        <v>1.5523809523809524</v>
      </c>
      <c r="AO45" s="33">
        <v>0.61904761904761907</v>
      </c>
      <c r="AP45" s="33">
        <v>0.17142857142857143</v>
      </c>
      <c r="AQ45" s="33">
        <v>0.15238095238095239</v>
      </c>
      <c r="AR45" s="33">
        <v>0</v>
      </c>
      <c r="AS45" s="136">
        <v>0.33333333333333331</v>
      </c>
      <c r="AT45" s="35">
        <v>0.33333333333333331</v>
      </c>
      <c r="AU45" s="30">
        <v>0</v>
      </c>
      <c r="AV45" s="30">
        <v>19</v>
      </c>
      <c r="AW45" s="31">
        <v>88</v>
      </c>
      <c r="AX45" s="136"/>
      <c r="AY45" s="33"/>
      <c r="AZ45" s="35">
        <v>3.6315789473684212</v>
      </c>
      <c r="BA45" s="29">
        <v>20</v>
      </c>
      <c r="BB45" s="31">
        <v>21.5</v>
      </c>
      <c r="BC45" s="29">
        <v>3</v>
      </c>
      <c r="BD45" s="31">
        <v>3</v>
      </c>
      <c r="BE45" s="29">
        <v>112</v>
      </c>
      <c r="BF45" s="30">
        <v>163</v>
      </c>
      <c r="BG45" s="33">
        <v>0.68711656441717794</v>
      </c>
      <c r="BH45" s="30">
        <v>65</v>
      </c>
      <c r="BI45" s="30">
        <v>88</v>
      </c>
      <c r="BJ45" s="35">
        <v>0.73863636363636365</v>
      </c>
    </row>
    <row r="46" spans="1:62" x14ac:dyDescent="0.25">
      <c r="A46" s="29"/>
      <c r="B46" s="30"/>
      <c r="C46" s="30"/>
      <c r="D46" s="30"/>
      <c r="E46" s="31" t="s">
        <v>148</v>
      </c>
      <c r="F46" s="188">
        <v>19</v>
      </c>
      <c r="G46" s="189">
        <v>17</v>
      </c>
      <c r="H46" s="190">
        <v>1</v>
      </c>
      <c r="I46" s="190">
        <v>18</v>
      </c>
      <c r="J46" s="191">
        <v>0</v>
      </c>
      <c r="K46" s="189">
        <v>0</v>
      </c>
      <c r="L46" s="190">
        <v>0</v>
      </c>
      <c r="M46" s="190">
        <v>1</v>
      </c>
      <c r="N46" s="190">
        <v>0</v>
      </c>
      <c r="O46" s="190">
        <v>0</v>
      </c>
      <c r="P46" s="190">
        <v>0</v>
      </c>
      <c r="Q46" s="190">
        <v>0</v>
      </c>
      <c r="R46" s="191">
        <v>0</v>
      </c>
      <c r="S46" s="188">
        <v>12</v>
      </c>
      <c r="T46" s="189">
        <v>11</v>
      </c>
      <c r="U46" s="190">
        <v>0</v>
      </c>
      <c r="V46" s="190">
        <v>0</v>
      </c>
      <c r="W46" s="190">
        <v>1</v>
      </c>
      <c r="X46" s="191">
        <v>10</v>
      </c>
      <c r="Y46" s="189">
        <v>14</v>
      </c>
      <c r="Z46" s="191">
        <v>6</v>
      </c>
      <c r="AA46" s="189">
        <v>61</v>
      </c>
      <c r="AB46" s="191">
        <v>18</v>
      </c>
      <c r="AC46" s="189">
        <v>38</v>
      </c>
      <c r="AD46" s="191">
        <v>13</v>
      </c>
      <c r="AE46" s="189">
        <v>9</v>
      </c>
      <c r="AF46" s="190">
        <v>6</v>
      </c>
      <c r="AG46" s="191">
        <v>0</v>
      </c>
      <c r="AH46" s="136">
        <v>3.3571428571428572</v>
      </c>
      <c r="AI46" s="33">
        <v>1.7142857142857142</v>
      </c>
      <c r="AJ46" s="33">
        <v>-0.37704918032786883</v>
      </c>
      <c r="AK46" s="33">
        <v>2</v>
      </c>
      <c r="AL46" s="33">
        <v>1.1666666666666667</v>
      </c>
      <c r="AM46" s="33">
        <v>-0.27777777777777779</v>
      </c>
      <c r="AN46" s="34">
        <v>2.2352941176470589</v>
      </c>
      <c r="AO46" s="33">
        <v>0.76470588235294112</v>
      </c>
      <c r="AP46" s="33">
        <v>0.35294117647058826</v>
      </c>
      <c r="AQ46" s="33">
        <v>0</v>
      </c>
      <c r="AR46" s="33">
        <v>0</v>
      </c>
      <c r="AS46" s="136">
        <v>0.70588235294117652</v>
      </c>
      <c r="AT46" s="35">
        <v>5.8823529411764705E-2</v>
      </c>
      <c r="AU46" s="30">
        <v>4</v>
      </c>
      <c r="AV46" s="30">
        <v>23</v>
      </c>
      <c r="AW46" s="31">
        <v>13</v>
      </c>
      <c r="AX46" s="136">
        <v>4.75</v>
      </c>
      <c r="AY46" s="33">
        <v>2.25</v>
      </c>
      <c r="AZ46" s="35">
        <v>-0.43478260869565216</v>
      </c>
      <c r="BA46" s="29">
        <v>37</v>
      </c>
      <c r="BB46" s="31">
        <v>37</v>
      </c>
      <c r="BC46" s="29">
        <v>3.5</v>
      </c>
      <c r="BD46" s="31">
        <v>4</v>
      </c>
      <c r="BE46" s="29">
        <v>19</v>
      </c>
      <c r="BF46" s="30">
        <v>38</v>
      </c>
      <c r="BG46" s="33">
        <v>0.5</v>
      </c>
      <c r="BH46" s="30">
        <v>7</v>
      </c>
      <c r="BI46" s="30">
        <v>13</v>
      </c>
      <c r="BJ46" s="35">
        <v>0.53846153846153844</v>
      </c>
    </row>
    <row r="47" spans="1:62" x14ac:dyDescent="0.25">
      <c r="A47" s="15"/>
      <c r="B47" s="16"/>
      <c r="C47" s="16" t="s">
        <v>77</v>
      </c>
      <c r="D47" s="16"/>
      <c r="E47" s="17"/>
      <c r="F47" s="180">
        <v>898</v>
      </c>
      <c r="G47" s="181">
        <v>483</v>
      </c>
      <c r="H47" s="182">
        <v>0</v>
      </c>
      <c r="I47" s="182">
        <v>0</v>
      </c>
      <c r="J47" s="183">
        <v>483</v>
      </c>
      <c r="K47" s="181">
        <v>0</v>
      </c>
      <c r="L47" s="182">
        <v>1</v>
      </c>
      <c r="M47" s="182">
        <v>0</v>
      </c>
      <c r="N47" s="182">
        <v>5</v>
      </c>
      <c r="O47" s="182">
        <v>315</v>
      </c>
      <c r="P47" s="182">
        <v>93</v>
      </c>
      <c r="Q47" s="182">
        <v>0</v>
      </c>
      <c r="R47" s="183">
        <v>1</v>
      </c>
      <c r="S47" s="180">
        <v>0</v>
      </c>
      <c r="T47" s="181"/>
      <c r="U47" s="182"/>
      <c r="V47" s="182"/>
      <c r="W47" s="182"/>
      <c r="X47" s="183"/>
      <c r="Y47" s="181">
        <v>2</v>
      </c>
      <c r="Z47" s="183">
        <v>2</v>
      </c>
      <c r="AA47" s="181">
        <v>5</v>
      </c>
      <c r="AB47" s="183">
        <v>4</v>
      </c>
      <c r="AC47" s="181">
        <v>12</v>
      </c>
      <c r="AD47" s="183">
        <v>12</v>
      </c>
      <c r="AE47" s="181">
        <v>882</v>
      </c>
      <c r="AF47" s="182">
        <v>877</v>
      </c>
      <c r="AG47" s="183">
        <v>8</v>
      </c>
      <c r="AH47" s="133">
        <v>1.5</v>
      </c>
      <c r="AI47" s="19">
        <v>5</v>
      </c>
      <c r="AJ47" s="19">
        <v>1.4</v>
      </c>
      <c r="AK47" s="19">
        <v>1</v>
      </c>
      <c r="AL47" s="19">
        <v>5</v>
      </c>
      <c r="AM47" s="19">
        <v>2</v>
      </c>
      <c r="AN47" s="20">
        <v>2.4844720496894408E-2</v>
      </c>
      <c r="AO47" s="19">
        <v>2.4844720496894408E-2</v>
      </c>
      <c r="AP47" s="19">
        <v>1.815734989648033</v>
      </c>
      <c r="AQ47" s="19">
        <v>1.6563146997929608E-2</v>
      </c>
      <c r="AR47" s="19">
        <v>2.0661157024793389E-3</v>
      </c>
      <c r="AS47" s="133">
        <v>0</v>
      </c>
      <c r="AT47" s="21">
        <v>0</v>
      </c>
      <c r="AU47" s="16">
        <v>2</v>
      </c>
      <c r="AV47" s="16">
        <v>2</v>
      </c>
      <c r="AW47" s="17">
        <v>6</v>
      </c>
      <c r="AX47" s="133">
        <v>0</v>
      </c>
      <c r="AY47" s="19">
        <v>2</v>
      </c>
      <c r="AZ47" s="21">
        <v>2</v>
      </c>
      <c r="BA47" s="15">
        <v>53</v>
      </c>
      <c r="BB47" s="17">
        <v>54</v>
      </c>
      <c r="BC47" s="15">
        <v>13</v>
      </c>
      <c r="BD47" s="17">
        <v>13</v>
      </c>
      <c r="BE47" s="15">
        <v>11</v>
      </c>
      <c r="BF47" s="16">
        <v>12</v>
      </c>
      <c r="BG47" s="19">
        <v>0.91666666666666663</v>
      </c>
      <c r="BH47" s="16">
        <v>5</v>
      </c>
      <c r="BI47" s="16">
        <v>6</v>
      </c>
      <c r="BJ47" s="21">
        <v>0.83333333333333337</v>
      </c>
    </row>
    <row r="48" spans="1:62" x14ac:dyDescent="0.25">
      <c r="A48" s="29"/>
      <c r="B48" s="30"/>
      <c r="C48" s="30"/>
      <c r="D48" s="30"/>
      <c r="E48" s="31" t="s">
        <v>68</v>
      </c>
      <c r="F48" s="188">
        <v>898</v>
      </c>
      <c r="G48" s="189">
        <v>483</v>
      </c>
      <c r="H48" s="190">
        <v>0</v>
      </c>
      <c r="I48" s="190">
        <v>0</v>
      </c>
      <c r="J48" s="191">
        <v>483</v>
      </c>
      <c r="K48" s="189">
        <v>0</v>
      </c>
      <c r="L48" s="190">
        <v>1</v>
      </c>
      <c r="M48" s="190">
        <v>0</v>
      </c>
      <c r="N48" s="190">
        <v>5</v>
      </c>
      <c r="O48" s="190">
        <v>315</v>
      </c>
      <c r="P48" s="190">
        <v>93</v>
      </c>
      <c r="Q48" s="190">
        <v>0</v>
      </c>
      <c r="R48" s="191">
        <v>1</v>
      </c>
      <c r="S48" s="188">
        <v>0</v>
      </c>
      <c r="T48" s="189"/>
      <c r="U48" s="190"/>
      <c r="V48" s="190"/>
      <c r="W48" s="190"/>
      <c r="X48" s="191"/>
      <c r="Y48" s="189">
        <v>2</v>
      </c>
      <c r="Z48" s="191">
        <v>2</v>
      </c>
      <c r="AA48" s="189">
        <v>5</v>
      </c>
      <c r="AB48" s="191">
        <v>4</v>
      </c>
      <c r="AC48" s="189">
        <v>12</v>
      </c>
      <c r="AD48" s="191">
        <v>12</v>
      </c>
      <c r="AE48" s="189">
        <v>882</v>
      </c>
      <c r="AF48" s="190">
        <v>877</v>
      </c>
      <c r="AG48" s="191">
        <v>8</v>
      </c>
      <c r="AH48" s="136">
        <v>1.5</v>
      </c>
      <c r="AI48" s="33">
        <v>5</v>
      </c>
      <c r="AJ48" s="33">
        <v>1.4</v>
      </c>
      <c r="AK48" s="33">
        <v>1</v>
      </c>
      <c r="AL48" s="33">
        <v>5</v>
      </c>
      <c r="AM48" s="33">
        <v>2</v>
      </c>
      <c r="AN48" s="34">
        <v>2.4844720496894408E-2</v>
      </c>
      <c r="AO48" s="33">
        <v>2.4844720496894408E-2</v>
      </c>
      <c r="AP48" s="33">
        <v>1.815734989648033</v>
      </c>
      <c r="AQ48" s="33">
        <v>1.6563146997929608E-2</v>
      </c>
      <c r="AR48" s="33">
        <v>2.0661157024793389E-3</v>
      </c>
      <c r="AS48" s="136">
        <v>0</v>
      </c>
      <c r="AT48" s="35">
        <v>0</v>
      </c>
      <c r="AU48" s="30">
        <v>2</v>
      </c>
      <c r="AV48" s="30">
        <v>2</v>
      </c>
      <c r="AW48" s="31">
        <v>6</v>
      </c>
      <c r="AX48" s="136">
        <v>0</v>
      </c>
      <c r="AY48" s="33">
        <v>2</v>
      </c>
      <c r="AZ48" s="35">
        <v>2</v>
      </c>
      <c r="BA48" s="29">
        <v>53</v>
      </c>
      <c r="BB48" s="31">
        <v>54</v>
      </c>
      <c r="BC48" s="29">
        <v>13</v>
      </c>
      <c r="BD48" s="31">
        <v>13</v>
      </c>
      <c r="BE48" s="29">
        <v>11</v>
      </c>
      <c r="BF48" s="30">
        <v>12</v>
      </c>
      <c r="BG48" s="33">
        <v>0.91666666666666663</v>
      </c>
      <c r="BH48" s="30">
        <v>5</v>
      </c>
      <c r="BI48" s="30">
        <v>6</v>
      </c>
      <c r="BJ48" s="35">
        <v>0.83333333333333337</v>
      </c>
    </row>
    <row r="49" spans="1:62" x14ac:dyDescent="0.25">
      <c r="A49" s="15"/>
      <c r="B49" s="16"/>
      <c r="C49" s="16" t="s">
        <v>114</v>
      </c>
      <c r="D49" s="16"/>
      <c r="E49" s="17"/>
      <c r="F49" s="180">
        <v>8345</v>
      </c>
      <c r="G49" s="181">
        <v>7383</v>
      </c>
      <c r="H49" s="182">
        <v>85</v>
      </c>
      <c r="I49" s="182">
        <v>7466</v>
      </c>
      <c r="J49" s="183">
        <v>2</v>
      </c>
      <c r="K49" s="181">
        <v>0</v>
      </c>
      <c r="L49" s="182">
        <v>27</v>
      </c>
      <c r="M49" s="182">
        <v>63</v>
      </c>
      <c r="N49" s="182">
        <v>7</v>
      </c>
      <c r="O49" s="182">
        <v>22</v>
      </c>
      <c r="P49" s="182">
        <v>0</v>
      </c>
      <c r="Q49" s="182">
        <v>192</v>
      </c>
      <c r="R49" s="183">
        <v>385</v>
      </c>
      <c r="S49" s="180">
        <v>1225</v>
      </c>
      <c r="T49" s="181">
        <v>1375</v>
      </c>
      <c r="U49" s="182">
        <v>13</v>
      </c>
      <c r="V49" s="182">
        <v>43</v>
      </c>
      <c r="W49" s="182">
        <v>42</v>
      </c>
      <c r="X49" s="183">
        <v>1277</v>
      </c>
      <c r="Y49" s="181">
        <v>19210</v>
      </c>
      <c r="Z49" s="183">
        <v>5785</v>
      </c>
      <c r="AA49" s="181">
        <v>20203</v>
      </c>
      <c r="AB49" s="183">
        <v>5997</v>
      </c>
      <c r="AC49" s="181">
        <v>19968</v>
      </c>
      <c r="AD49" s="183">
        <v>5829</v>
      </c>
      <c r="AE49" s="181">
        <v>3038</v>
      </c>
      <c r="AF49" s="182">
        <v>1282</v>
      </c>
      <c r="AG49" s="183">
        <v>1800</v>
      </c>
      <c r="AH49" s="133">
        <v>5.1691827173347214E-2</v>
      </c>
      <c r="AI49" s="19">
        <v>3.9458615304528891E-2</v>
      </c>
      <c r="AJ49" s="19">
        <v>-1.1631935851111221E-2</v>
      </c>
      <c r="AK49" s="19">
        <v>3.6646499567847886E-2</v>
      </c>
      <c r="AL49" s="19">
        <v>7.6058772687986175E-3</v>
      </c>
      <c r="AM49" s="19">
        <v>-2.8014007003501751E-2</v>
      </c>
      <c r="AN49" s="20">
        <v>2.7045916294189354</v>
      </c>
      <c r="AO49" s="19">
        <v>0.78951645672490856</v>
      </c>
      <c r="AP49" s="19">
        <v>0.17364215088717325</v>
      </c>
      <c r="AQ49" s="19">
        <v>0.24380333197887039</v>
      </c>
      <c r="AR49" s="19">
        <v>4.9562306900102986E-2</v>
      </c>
      <c r="AS49" s="133">
        <v>0.16592171204117567</v>
      </c>
      <c r="AT49" s="21">
        <v>-2.031694433157253E-2</v>
      </c>
      <c r="AU49" s="16">
        <v>3141</v>
      </c>
      <c r="AV49" s="16">
        <v>3197</v>
      </c>
      <c r="AW49" s="17">
        <v>3137</v>
      </c>
      <c r="AX49" s="133">
        <v>1.7828716969118114E-2</v>
      </c>
      <c r="AY49" s="19">
        <v>-1.2734797835084368E-3</v>
      </c>
      <c r="AZ49" s="21">
        <v>-1.876759461995621E-2</v>
      </c>
      <c r="BA49" s="15">
        <v>46</v>
      </c>
      <c r="BB49" s="17">
        <v>37</v>
      </c>
      <c r="BC49" s="15">
        <v>6</v>
      </c>
      <c r="BD49" s="17">
        <v>3</v>
      </c>
      <c r="BE49" s="15">
        <v>11644</v>
      </c>
      <c r="BF49" s="16">
        <v>19968</v>
      </c>
      <c r="BG49" s="19">
        <v>0.58313301282051277</v>
      </c>
      <c r="BH49" s="16">
        <v>1889</v>
      </c>
      <c r="BI49" s="16">
        <v>3137</v>
      </c>
      <c r="BJ49" s="21">
        <v>0.60216767612368505</v>
      </c>
    </row>
    <row r="50" spans="1:62" x14ac:dyDescent="0.25">
      <c r="A50" s="22"/>
      <c r="B50" s="23"/>
      <c r="C50" s="23"/>
      <c r="D50" s="23" t="s">
        <v>115</v>
      </c>
      <c r="E50" s="24"/>
      <c r="F50" s="184">
        <v>1183</v>
      </c>
      <c r="G50" s="185">
        <v>1014</v>
      </c>
      <c r="H50" s="186">
        <v>20</v>
      </c>
      <c r="I50" s="186">
        <v>1034</v>
      </c>
      <c r="J50" s="187">
        <v>0</v>
      </c>
      <c r="K50" s="185">
        <v>0</v>
      </c>
      <c r="L50" s="186">
        <v>1</v>
      </c>
      <c r="M50" s="186">
        <v>6</v>
      </c>
      <c r="N50" s="186">
        <v>3</v>
      </c>
      <c r="O50" s="186">
        <v>0</v>
      </c>
      <c r="P50" s="186">
        <v>0</v>
      </c>
      <c r="Q50" s="186">
        <v>25</v>
      </c>
      <c r="R50" s="187">
        <v>70</v>
      </c>
      <c r="S50" s="184">
        <v>185</v>
      </c>
      <c r="T50" s="185">
        <v>101</v>
      </c>
      <c r="U50" s="186">
        <v>0</v>
      </c>
      <c r="V50" s="186">
        <v>12</v>
      </c>
      <c r="W50" s="186">
        <v>2</v>
      </c>
      <c r="X50" s="187">
        <v>87</v>
      </c>
      <c r="Y50" s="185">
        <v>3058</v>
      </c>
      <c r="Z50" s="187">
        <v>723</v>
      </c>
      <c r="AA50" s="185">
        <v>3273</v>
      </c>
      <c r="AB50" s="187">
        <v>822</v>
      </c>
      <c r="AC50" s="185">
        <v>3530</v>
      </c>
      <c r="AD50" s="187">
        <v>840</v>
      </c>
      <c r="AE50" s="185">
        <v>464</v>
      </c>
      <c r="AF50" s="186">
        <v>236</v>
      </c>
      <c r="AG50" s="187">
        <v>308</v>
      </c>
      <c r="AH50" s="135">
        <v>7.0307390451275348E-2</v>
      </c>
      <c r="AI50" s="26">
        <v>0.15434924787442772</v>
      </c>
      <c r="AJ50" s="26">
        <v>7.8521234341582646E-2</v>
      </c>
      <c r="AK50" s="26">
        <v>0.13692946058091288</v>
      </c>
      <c r="AL50" s="26">
        <v>0.16182572614107885</v>
      </c>
      <c r="AM50" s="26">
        <v>2.1897810218978103E-2</v>
      </c>
      <c r="AN50" s="27">
        <v>3.4812623274161734</v>
      </c>
      <c r="AO50" s="26">
        <v>0.82840236686390534</v>
      </c>
      <c r="AP50" s="26">
        <v>0.23274161735700197</v>
      </c>
      <c r="AQ50" s="26">
        <v>0.30374753451676528</v>
      </c>
      <c r="AR50" s="26">
        <v>6.4575645756457564E-2</v>
      </c>
      <c r="AS50" s="135">
        <v>0.18244575936883628</v>
      </c>
      <c r="AT50" s="28">
        <v>8.2840236686390539E-2</v>
      </c>
      <c r="AU50" s="23">
        <v>746</v>
      </c>
      <c r="AV50" s="23">
        <v>850</v>
      </c>
      <c r="AW50" s="24">
        <v>880</v>
      </c>
      <c r="AX50" s="135">
        <v>0.13941018766756033</v>
      </c>
      <c r="AY50" s="26">
        <v>0.17962466487935658</v>
      </c>
      <c r="AZ50" s="28">
        <v>3.5294117647058823E-2</v>
      </c>
      <c r="BA50" s="22">
        <v>46</v>
      </c>
      <c r="BB50" s="24">
        <v>40</v>
      </c>
      <c r="BC50" s="22">
        <v>6</v>
      </c>
      <c r="BD50" s="24">
        <v>5</v>
      </c>
      <c r="BE50" s="22">
        <v>2068</v>
      </c>
      <c r="BF50" s="23">
        <v>3530</v>
      </c>
      <c r="BG50" s="26">
        <v>0.58583569405099145</v>
      </c>
      <c r="BH50" s="23">
        <v>506</v>
      </c>
      <c r="BI50" s="23">
        <v>880</v>
      </c>
      <c r="BJ50" s="28">
        <v>0.57499999999999996</v>
      </c>
    </row>
    <row r="51" spans="1:62" x14ac:dyDescent="0.25">
      <c r="A51" s="29"/>
      <c r="B51" s="30"/>
      <c r="C51" s="30"/>
      <c r="D51" s="30"/>
      <c r="E51" s="31" t="s">
        <v>68</v>
      </c>
      <c r="F51" s="188">
        <v>682</v>
      </c>
      <c r="G51" s="189">
        <v>594</v>
      </c>
      <c r="H51" s="190">
        <v>0</v>
      </c>
      <c r="I51" s="190">
        <v>594</v>
      </c>
      <c r="J51" s="191">
        <v>0</v>
      </c>
      <c r="K51" s="189">
        <v>0</v>
      </c>
      <c r="L51" s="190">
        <v>1</v>
      </c>
      <c r="M51" s="190">
        <v>2</v>
      </c>
      <c r="N51" s="190">
        <v>3</v>
      </c>
      <c r="O51" s="190">
        <v>0</v>
      </c>
      <c r="P51" s="190">
        <v>0</v>
      </c>
      <c r="Q51" s="190">
        <v>23</v>
      </c>
      <c r="R51" s="191">
        <v>59</v>
      </c>
      <c r="S51" s="188">
        <v>33</v>
      </c>
      <c r="T51" s="189">
        <v>12</v>
      </c>
      <c r="U51" s="190">
        <v>0</v>
      </c>
      <c r="V51" s="190">
        <v>11</v>
      </c>
      <c r="W51" s="190">
        <v>0</v>
      </c>
      <c r="X51" s="191">
        <v>1</v>
      </c>
      <c r="Y51" s="189">
        <v>1357</v>
      </c>
      <c r="Z51" s="191">
        <v>417</v>
      </c>
      <c r="AA51" s="189">
        <v>1682</v>
      </c>
      <c r="AB51" s="191">
        <v>493</v>
      </c>
      <c r="AC51" s="189">
        <v>1858</v>
      </c>
      <c r="AD51" s="191">
        <v>522</v>
      </c>
      <c r="AE51" s="189">
        <v>257</v>
      </c>
      <c r="AF51" s="190">
        <v>118</v>
      </c>
      <c r="AG51" s="191">
        <v>174</v>
      </c>
      <c r="AH51" s="136">
        <v>0.23949889462048637</v>
      </c>
      <c r="AI51" s="33">
        <v>0.36919675755342668</v>
      </c>
      <c r="AJ51" s="33">
        <v>0.10463733650416171</v>
      </c>
      <c r="AK51" s="33">
        <v>0.18225419664268586</v>
      </c>
      <c r="AL51" s="33">
        <v>0.25179856115107913</v>
      </c>
      <c r="AM51" s="33">
        <v>5.8823529411764705E-2</v>
      </c>
      <c r="AN51" s="34">
        <v>3.127946127946128</v>
      </c>
      <c r="AO51" s="33">
        <v>0.87878787878787878</v>
      </c>
      <c r="AP51" s="33">
        <v>0.19865319865319866</v>
      </c>
      <c r="AQ51" s="33">
        <v>0.29292929292929293</v>
      </c>
      <c r="AR51" s="33">
        <v>9.0352220520673807E-2</v>
      </c>
      <c r="AS51" s="136">
        <v>5.5555555555555552E-2</v>
      </c>
      <c r="AT51" s="35">
        <v>3.5353535353535352E-2</v>
      </c>
      <c r="AU51" s="30">
        <v>491</v>
      </c>
      <c r="AV51" s="30">
        <v>615</v>
      </c>
      <c r="AW51" s="31">
        <v>681</v>
      </c>
      <c r="AX51" s="136">
        <v>0.25254582484725052</v>
      </c>
      <c r="AY51" s="33">
        <v>0.38696537678207737</v>
      </c>
      <c r="AZ51" s="35">
        <v>0.10731707317073171</v>
      </c>
      <c r="BA51" s="29">
        <v>41</v>
      </c>
      <c r="BB51" s="31">
        <v>38</v>
      </c>
      <c r="BC51" s="29">
        <v>4</v>
      </c>
      <c r="BD51" s="31">
        <v>4</v>
      </c>
      <c r="BE51" s="29">
        <v>1149</v>
      </c>
      <c r="BF51" s="30">
        <v>1858</v>
      </c>
      <c r="BG51" s="33">
        <v>0.61840688912809472</v>
      </c>
      <c r="BH51" s="30">
        <v>396</v>
      </c>
      <c r="BI51" s="30">
        <v>681</v>
      </c>
      <c r="BJ51" s="35">
        <v>0.58149779735682816</v>
      </c>
    </row>
    <row r="52" spans="1:62" x14ac:dyDescent="0.25">
      <c r="A52" s="29"/>
      <c r="B52" s="30"/>
      <c r="C52" s="30"/>
      <c r="D52" s="30"/>
      <c r="E52" s="31" t="s">
        <v>148</v>
      </c>
      <c r="F52" s="188">
        <v>471</v>
      </c>
      <c r="G52" s="189">
        <v>392</v>
      </c>
      <c r="H52" s="190">
        <v>20</v>
      </c>
      <c r="I52" s="190">
        <v>412</v>
      </c>
      <c r="J52" s="191">
        <v>0</v>
      </c>
      <c r="K52" s="189">
        <v>0</v>
      </c>
      <c r="L52" s="190">
        <v>0</v>
      </c>
      <c r="M52" s="190">
        <v>3</v>
      </c>
      <c r="N52" s="190">
        <v>0</v>
      </c>
      <c r="O52" s="190">
        <v>0</v>
      </c>
      <c r="P52" s="190">
        <v>0</v>
      </c>
      <c r="Q52" s="190">
        <v>2</v>
      </c>
      <c r="R52" s="191">
        <v>10</v>
      </c>
      <c r="S52" s="188">
        <v>149</v>
      </c>
      <c r="T52" s="189">
        <v>89</v>
      </c>
      <c r="U52" s="190">
        <v>0</v>
      </c>
      <c r="V52" s="190">
        <v>1</v>
      </c>
      <c r="W52" s="190">
        <v>2</v>
      </c>
      <c r="X52" s="191">
        <v>86</v>
      </c>
      <c r="Y52" s="189">
        <v>1668</v>
      </c>
      <c r="Z52" s="191">
        <v>291</v>
      </c>
      <c r="AA52" s="189">
        <v>1565</v>
      </c>
      <c r="AB52" s="191">
        <v>311</v>
      </c>
      <c r="AC52" s="189">
        <v>1638</v>
      </c>
      <c r="AD52" s="191">
        <v>308</v>
      </c>
      <c r="AE52" s="189">
        <v>187</v>
      </c>
      <c r="AF52" s="190">
        <v>111</v>
      </c>
      <c r="AG52" s="191">
        <v>131</v>
      </c>
      <c r="AH52" s="136">
        <v>-6.1750599520383691E-2</v>
      </c>
      <c r="AI52" s="33">
        <v>-1.7985611510791366E-2</v>
      </c>
      <c r="AJ52" s="33">
        <v>4.6645367412140572E-2</v>
      </c>
      <c r="AK52" s="33">
        <v>6.8728522336769765E-2</v>
      </c>
      <c r="AL52" s="33">
        <v>5.8419243986254296E-2</v>
      </c>
      <c r="AM52" s="33">
        <v>-9.6463022508038593E-3</v>
      </c>
      <c r="AN52" s="34">
        <v>4.1785714285714288</v>
      </c>
      <c r="AO52" s="33">
        <v>0.7857142857142857</v>
      </c>
      <c r="AP52" s="33">
        <v>0.28316326530612246</v>
      </c>
      <c r="AQ52" s="33">
        <v>0.33418367346938777</v>
      </c>
      <c r="AR52" s="33">
        <v>2.4875621890547265E-2</v>
      </c>
      <c r="AS52" s="136">
        <v>0.38010204081632654</v>
      </c>
      <c r="AT52" s="35">
        <v>0.15306122448979592</v>
      </c>
      <c r="AU52" s="30">
        <v>376</v>
      </c>
      <c r="AV52" s="30">
        <v>361</v>
      </c>
      <c r="AW52" s="31">
        <v>346</v>
      </c>
      <c r="AX52" s="136">
        <v>-3.9893617021276598E-2</v>
      </c>
      <c r="AY52" s="33">
        <v>-7.9787234042553196E-2</v>
      </c>
      <c r="AZ52" s="35">
        <v>-4.1551246537396121E-2</v>
      </c>
      <c r="BA52" s="29">
        <v>53</v>
      </c>
      <c r="BB52" s="31">
        <v>47</v>
      </c>
      <c r="BC52" s="29">
        <v>9</v>
      </c>
      <c r="BD52" s="31">
        <v>7</v>
      </c>
      <c r="BE52" s="29">
        <v>902</v>
      </c>
      <c r="BF52" s="30">
        <v>1638</v>
      </c>
      <c r="BG52" s="33">
        <v>0.55067155067155071</v>
      </c>
      <c r="BH52" s="30">
        <v>192</v>
      </c>
      <c r="BI52" s="30">
        <v>346</v>
      </c>
      <c r="BJ52" s="35">
        <v>0.55491329479768781</v>
      </c>
    </row>
    <row r="53" spans="1:62" x14ac:dyDescent="0.25">
      <c r="A53" s="29"/>
      <c r="B53" s="30"/>
      <c r="C53" s="30"/>
      <c r="D53" s="30"/>
      <c r="E53" s="31" t="s">
        <v>97</v>
      </c>
      <c r="F53" s="188">
        <v>30</v>
      </c>
      <c r="G53" s="189">
        <v>28</v>
      </c>
      <c r="H53" s="190">
        <v>0</v>
      </c>
      <c r="I53" s="190">
        <v>28</v>
      </c>
      <c r="J53" s="191">
        <v>0</v>
      </c>
      <c r="K53" s="189">
        <v>0</v>
      </c>
      <c r="L53" s="190">
        <v>0</v>
      </c>
      <c r="M53" s="190">
        <v>1</v>
      </c>
      <c r="N53" s="190">
        <v>0</v>
      </c>
      <c r="O53" s="190">
        <v>0</v>
      </c>
      <c r="P53" s="190">
        <v>0</v>
      </c>
      <c r="Q53" s="190">
        <v>0</v>
      </c>
      <c r="R53" s="191">
        <v>1</v>
      </c>
      <c r="S53" s="188">
        <v>3</v>
      </c>
      <c r="T53" s="189"/>
      <c r="U53" s="190"/>
      <c r="V53" s="190"/>
      <c r="W53" s="190"/>
      <c r="X53" s="191"/>
      <c r="Y53" s="189">
        <v>33</v>
      </c>
      <c r="Z53" s="191">
        <v>15</v>
      </c>
      <c r="AA53" s="189">
        <v>26</v>
      </c>
      <c r="AB53" s="191">
        <v>18</v>
      </c>
      <c r="AC53" s="189">
        <v>34</v>
      </c>
      <c r="AD53" s="191">
        <v>10</v>
      </c>
      <c r="AE53" s="189">
        <v>20</v>
      </c>
      <c r="AF53" s="190">
        <v>7</v>
      </c>
      <c r="AG53" s="191">
        <v>3</v>
      </c>
      <c r="AH53" s="136">
        <v>-0.21212121212121213</v>
      </c>
      <c r="AI53" s="33">
        <v>3.0303030303030304E-2</v>
      </c>
      <c r="AJ53" s="33">
        <v>0.30769230769230771</v>
      </c>
      <c r="AK53" s="33">
        <v>0.2</v>
      </c>
      <c r="AL53" s="33">
        <v>-0.33333333333333331</v>
      </c>
      <c r="AM53" s="33">
        <v>-0.44444444444444442</v>
      </c>
      <c r="AN53" s="34">
        <v>1.2142857142857142</v>
      </c>
      <c r="AO53" s="33">
        <v>0.35714285714285715</v>
      </c>
      <c r="AP53" s="33">
        <v>0.25</v>
      </c>
      <c r="AQ53" s="33">
        <v>0.10714285714285714</v>
      </c>
      <c r="AR53" s="33">
        <v>3.4482758620689655E-2</v>
      </c>
      <c r="AS53" s="136">
        <v>0.10714285714285714</v>
      </c>
      <c r="AT53" s="35">
        <v>0.10714285714285714</v>
      </c>
      <c r="AU53" s="30">
        <v>24</v>
      </c>
      <c r="AV53" s="30">
        <v>20</v>
      </c>
      <c r="AW53" s="31">
        <v>27</v>
      </c>
      <c r="AX53" s="136">
        <v>-0.16666666666666666</v>
      </c>
      <c r="AY53" s="33">
        <v>0.125</v>
      </c>
      <c r="AZ53" s="35">
        <v>0.35</v>
      </c>
      <c r="BA53" s="29">
        <v>43</v>
      </c>
      <c r="BB53" s="31">
        <v>42</v>
      </c>
      <c r="BC53" s="29">
        <v>3</v>
      </c>
      <c r="BD53" s="31">
        <v>4</v>
      </c>
      <c r="BE53" s="29">
        <v>17</v>
      </c>
      <c r="BF53" s="30">
        <v>34</v>
      </c>
      <c r="BG53" s="33">
        <v>0.5</v>
      </c>
      <c r="BH53" s="30">
        <v>14</v>
      </c>
      <c r="BI53" s="30">
        <v>27</v>
      </c>
      <c r="BJ53" s="35">
        <v>0.51851851851851849</v>
      </c>
    </row>
    <row r="54" spans="1:62" x14ac:dyDescent="0.25">
      <c r="A54" s="22"/>
      <c r="B54" s="23"/>
      <c r="C54" s="23"/>
      <c r="D54" s="23" t="s">
        <v>164</v>
      </c>
      <c r="E54" s="24"/>
      <c r="F54" s="184">
        <v>672</v>
      </c>
      <c r="G54" s="185">
        <v>639</v>
      </c>
      <c r="H54" s="186">
        <v>2</v>
      </c>
      <c r="I54" s="186">
        <v>641</v>
      </c>
      <c r="J54" s="187">
        <v>0</v>
      </c>
      <c r="K54" s="185">
        <v>0</v>
      </c>
      <c r="L54" s="186">
        <v>0</v>
      </c>
      <c r="M54" s="186">
        <v>2</v>
      </c>
      <c r="N54" s="186">
        <v>0</v>
      </c>
      <c r="O54" s="186">
        <v>0</v>
      </c>
      <c r="P54" s="186">
        <v>0</v>
      </c>
      <c r="Q54" s="186">
        <v>13</v>
      </c>
      <c r="R54" s="187">
        <v>16</v>
      </c>
      <c r="S54" s="184">
        <v>27</v>
      </c>
      <c r="T54" s="185">
        <v>4</v>
      </c>
      <c r="U54" s="186">
        <v>0</v>
      </c>
      <c r="V54" s="186">
        <v>1</v>
      </c>
      <c r="W54" s="186">
        <v>0</v>
      </c>
      <c r="X54" s="187">
        <v>3</v>
      </c>
      <c r="Y54" s="185">
        <v>803</v>
      </c>
      <c r="Z54" s="187">
        <v>365</v>
      </c>
      <c r="AA54" s="185">
        <v>936</v>
      </c>
      <c r="AB54" s="187">
        <v>392</v>
      </c>
      <c r="AC54" s="185">
        <v>841</v>
      </c>
      <c r="AD54" s="187">
        <v>343</v>
      </c>
      <c r="AE54" s="185">
        <v>330</v>
      </c>
      <c r="AF54" s="186">
        <v>119</v>
      </c>
      <c r="AG54" s="187">
        <v>90</v>
      </c>
      <c r="AH54" s="135">
        <v>0.16562889165628891</v>
      </c>
      <c r="AI54" s="26">
        <v>4.7322540473225407E-2</v>
      </c>
      <c r="AJ54" s="26">
        <v>-0.1014957264957265</v>
      </c>
      <c r="AK54" s="26">
        <v>7.3972602739726029E-2</v>
      </c>
      <c r="AL54" s="26">
        <v>-6.0273972602739728E-2</v>
      </c>
      <c r="AM54" s="26">
        <v>-0.125</v>
      </c>
      <c r="AN54" s="27">
        <v>1.3161189358372456</v>
      </c>
      <c r="AO54" s="26">
        <v>0.53677621283255084</v>
      </c>
      <c r="AP54" s="26">
        <v>0.18622848200312989</v>
      </c>
      <c r="AQ54" s="26">
        <v>0.14084507042253522</v>
      </c>
      <c r="AR54" s="26">
        <v>2.4427480916030534E-2</v>
      </c>
      <c r="AS54" s="135">
        <v>4.2253521126760563E-2</v>
      </c>
      <c r="AT54" s="28">
        <v>3.5993740219092331E-2</v>
      </c>
      <c r="AU54" s="23">
        <v>341</v>
      </c>
      <c r="AV54" s="23">
        <v>349</v>
      </c>
      <c r="AW54" s="24">
        <v>330</v>
      </c>
      <c r="AX54" s="135">
        <v>2.3460410557184751E-2</v>
      </c>
      <c r="AY54" s="26">
        <v>-3.2258064516129031E-2</v>
      </c>
      <c r="AZ54" s="28">
        <v>-5.4441260744985676E-2</v>
      </c>
      <c r="BA54" s="22">
        <v>45.5</v>
      </c>
      <c r="BB54" s="24">
        <v>40.5</v>
      </c>
      <c r="BC54" s="22">
        <v>6</v>
      </c>
      <c r="BD54" s="24">
        <v>4</v>
      </c>
      <c r="BE54" s="22">
        <v>504</v>
      </c>
      <c r="BF54" s="23">
        <v>841</v>
      </c>
      <c r="BG54" s="26">
        <v>0.59928656361474431</v>
      </c>
      <c r="BH54" s="23">
        <v>189</v>
      </c>
      <c r="BI54" s="23">
        <v>330</v>
      </c>
      <c r="BJ54" s="28">
        <v>0.57272727272727275</v>
      </c>
    </row>
    <row r="55" spans="1:62" x14ac:dyDescent="0.25">
      <c r="A55" s="29"/>
      <c r="B55" s="30"/>
      <c r="C55" s="30"/>
      <c r="D55" s="30"/>
      <c r="E55" s="31" t="s">
        <v>68</v>
      </c>
      <c r="F55" s="188">
        <v>535</v>
      </c>
      <c r="G55" s="189">
        <v>509</v>
      </c>
      <c r="H55" s="190">
        <v>0</v>
      </c>
      <c r="I55" s="190">
        <v>509</v>
      </c>
      <c r="J55" s="191">
        <v>0</v>
      </c>
      <c r="K55" s="189">
        <v>0</v>
      </c>
      <c r="L55" s="190">
        <v>0</v>
      </c>
      <c r="M55" s="190">
        <v>0</v>
      </c>
      <c r="N55" s="190">
        <v>0</v>
      </c>
      <c r="O55" s="190">
        <v>0</v>
      </c>
      <c r="P55" s="190">
        <v>0</v>
      </c>
      <c r="Q55" s="190">
        <v>13</v>
      </c>
      <c r="R55" s="191">
        <v>13</v>
      </c>
      <c r="S55" s="188">
        <v>14</v>
      </c>
      <c r="T55" s="189">
        <v>2</v>
      </c>
      <c r="U55" s="190">
        <v>0</v>
      </c>
      <c r="V55" s="190">
        <v>1</v>
      </c>
      <c r="W55" s="190">
        <v>0</v>
      </c>
      <c r="X55" s="191">
        <v>1</v>
      </c>
      <c r="Y55" s="189">
        <v>601</v>
      </c>
      <c r="Z55" s="191">
        <v>291</v>
      </c>
      <c r="AA55" s="189">
        <v>693</v>
      </c>
      <c r="AB55" s="191">
        <v>303</v>
      </c>
      <c r="AC55" s="189">
        <v>641</v>
      </c>
      <c r="AD55" s="191">
        <v>266</v>
      </c>
      <c r="AE55" s="189">
        <v>269</v>
      </c>
      <c r="AF55" s="190">
        <v>104</v>
      </c>
      <c r="AG55" s="191">
        <v>74</v>
      </c>
      <c r="AH55" s="136">
        <v>0.15307820299500832</v>
      </c>
      <c r="AI55" s="33">
        <v>6.6555740432612309E-2</v>
      </c>
      <c r="AJ55" s="33">
        <v>-7.5036075036075039E-2</v>
      </c>
      <c r="AK55" s="33">
        <v>4.1237113402061855E-2</v>
      </c>
      <c r="AL55" s="33">
        <v>-8.5910652920962199E-2</v>
      </c>
      <c r="AM55" s="33">
        <v>-0.12211221122112212</v>
      </c>
      <c r="AN55" s="34">
        <v>1.2593320235756384</v>
      </c>
      <c r="AO55" s="33">
        <v>0.52259332023575633</v>
      </c>
      <c r="AP55" s="33">
        <v>0.20432220039292731</v>
      </c>
      <c r="AQ55" s="33">
        <v>0.14538310412573674</v>
      </c>
      <c r="AR55" s="33">
        <v>2.4904214559386972E-2</v>
      </c>
      <c r="AS55" s="136">
        <v>2.75049115913556E-2</v>
      </c>
      <c r="AT55" s="35">
        <v>2.3575638506876228E-2</v>
      </c>
      <c r="AU55" s="30">
        <v>284</v>
      </c>
      <c r="AV55" s="30">
        <v>298</v>
      </c>
      <c r="AW55" s="31">
        <v>274</v>
      </c>
      <c r="AX55" s="136">
        <v>4.9295774647887321E-2</v>
      </c>
      <c r="AY55" s="33">
        <v>-3.5211267605633804E-2</v>
      </c>
      <c r="AZ55" s="35">
        <v>-8.0536912751677847E-2</v>
      </c>
      <c r="BA55" s="29">
        <v>44</v>
      </c>
      <c r="BB55" s="31">
        <v>40</v>
      </c>
      <c r="BC55" s="29">
        <v>5</v>
      </c>
      <c r="BD55" s="31">
        <v>3</v>
      </c>
      <c r="BE55" s="29">
        <v>389</v>
      </c>
      <c r="BF55" s="30">
        <v>641</v>
      </c>
      <c r="BG55" s="33">
        <v>0.6068642745709828</v>
      </c>
      <c r="BH55" s="30">
        <v>167</v>
      </c>
      <c r="BI55" s="30">
        <v>274</v>
      </c>
      <c r="BJ55" s="35">
        <v>0.60948905109489049</v>
      </c>
    </row>
    <row r="56" spans="1:62" x14ac:dyDescent="0.25">
      <c r="A56" s="29"/>
      <c r="B56" s="30"/>
      <c r="C56" s="30"/>
      <c r="D56" s="30"/>
      <c r="E56" s="31" t="s">
        <v>148</v>
      </c>
      <c r="F56" s="188">
        <v>49</v>
      </c>
      <c r="G56" s="189">
        <v>47</v>
      </c>
      <c r="H56" s="190">
        <v>2</v>
      </c>
      <c r="I56" s="190">
        <v>49</v>
      </c>
      <c r="J56" s="191">
        <v>0</v>
      </c>
      <c r="K56" s="189">
        <v>0</v>
      </c>
      <c r="L56" s="190">
        <v>0</v>
      </c>
      <c r="M56" s="190">
        <v>0</v>
      </c>
      <c r="N56" s="190">
        <v>0</v>
      </c>
      <c r="O56" s="190">
        <v>0</v>
      </c>
      <c r="P56" s="190">
        <v>0</v>
      </c>
      <c r="Q56" s="190">
        <v>0</v>
      </c>
      <c r="R56" s="191">
        <v>0</v>
      </c>
      <c r="S56" s="188">
        <v>13</v>
      </c>
      <c r="T56" s="189">
        <v>2</v>
      </c>
      <c r="U56" s="190">
        <v>0</v>
      </c>
      <c r="V56" s="190">
        <v>0</v>
      </c>
      <c r="W56" s="190">
        <v>0</v>
      </c>
      <c r="X56" s="191">
        <v>2</v>
      </c>
      <c r="Y56" s="189">
        <v>85</v>
      </c>
      <c r="Z56" s="191">
        <v>21</v>
      </c>
      <c r="AA56" s="189">
        <v>143</v>
      </c>
      <c r="AB56" s="191">
        <v>36</v>
      </c>
      <c r="AC56" s="189">
        <v>125</v>
      </c>
      <c r="AD56" s="191">
        <v>36</v>
      </c>
      <c r="AE56" s="189">
        <v>13</v>
      </c>
      <c r="AF56" s="190">
        <v>1</v>
      </c>
      <c r="AG56" s="191">
        <v>7</v>
      </c>
      <c r="AH56" s="136">
        <v>0.68235294117647061</v>
      </c>
      <c r="AI56" s="33">
        <v>0.47058823529411764</v>
      </c>
      <c r="AJ56" s="33">
        <v>-0.12587412587412589</v>
      </c>
      <c r="AK56" s="33">
        <v>0.7142857142857143</v>
      </c>
      <c r="AL56" s="33">
        <v>0.7142857142857143</v>
      </c>
      <c r="AM56" s="33">
        <v>0</v>
      </c>
      <c r="AN56" s="34">
        <v>2.6595744680851063</v>
      </c>
      <c r="AO56" s="33">
        <v>0.76595744680851063</v>
      </c>
      <c r="AP56" s="33">
        <v>2.1276595744680851E-2</v>
      </c>
      <c r="AQ56" s="33">
        <v>0.14893617021276595</v>
      </c>
      <c r="AR56" s="33">
        <v>0</v>
      </c>
      <c r="AS56" s="136">
        <v>0.27659574468085107</v>
      </c>
      <c r="AT56" s="35">
        <v>0.23404255319148937</v>
      </c>
      <c r="AU56" s="30">
        <v>31</v>
      </c>
      <c r="AV56" s="30">
        <v>47</v>
      </c>
      <c r="AW56" s="31">
        <v>50</v>
      </c>
      <c r="AX56" s="136">
        <v>0.5161290322580645</v>
      </c>
      <c r="AY56" s="33">
        <v>0.61290322580645162</v>
      </c>
      <c r="AZ56" s="35">
        <v>6.3829787234042548E-2</v>
      </c>
      <c r="BA56" s="29">
        <v>50</v>
      </c>
      <c r="BB56" s="31">
        <v>50</v>
      </c>
      <c r="BC56" s="29">
        <v>9</v>
      </c>
      <c r="BD56" s="31">
        <v>9</v>
      </c>
      <c r="BE56" s="29">
        <v>67</v>
      </c>
      <c r="BF56" s="30">
        <v>125</v>
      </c>
      <c r="BG56" s="33">
        <v>0.53600000000000003</v>
      </c>
      <c r="BH56" s="30">
        <v>22</v>
      </c>
      <c r="BI56" s="30">
        <v>50</v>
      </c>
      <c r="BJ56" s="35">
        <v>0.44</v>
      </c>
    </row>
    <row r="57" spans="1:62" x14ac:dyDescent="0.25">
      <c r="A57" s="29"/>
      <c r="B57" s="30"/>
      <c r="C57" s="30"/>
      <c r="D57" s="30"/>
      <c r="E57" s="31" t="s">
        <v>97</v>
      </c>
      <c r="F57" s="188">
        <v>87</v>
      </c>
      <c r="G57" s="189">
        <v>82</v>
      </c>
      <c r="H57" s="190">
        <v>0</v>
      </c>
      <c r="I57" s="190">
        <v>82</v>
      </c>
      <c r="J57" s="191">
        <v>0</v>
      </c>
      <c r="K57" s="189">
        <v>0</v>
      </c>
      <c r="L57" s="190">
        <v>0</v>
      </c>
      <c r="M57" s="190">
        <v>2</v>
      </c>
      <c r="N57" s="190">
        <v>0</v>
      </c>
      <c r="O57" s="190">
        <v>0</v>
      </c>
      <c r="P57" s="190">
        <v>0</v>
      </c>
      <c r="Q57" s="190">
        <v>0</v>
      </c>
      <c r="R57" s="191">
        <v>3</v>
      </c>
      <c r="S57" s="188">
        <v>0</v>
      </c>
      <c r="T57" s="189"/>
      <c r="U57" s="190"/>
      <c r="V57" s="190"/>
      <c r="W57" s="190"/>
      <c r="X57" s="191"/>
      <c r="Y57" s="189">
        <v>109</v>
      </c>
      <c r="Z57" s="191">
        <v>52</v>
      </c>
      <c r="AA57" s="189">
        <v>96</v>
      </c>
      <c r="AB57" s="191">
        <v>52</v>
      </c>
      <c r="AC57" s="189">
        <v>74</v>
      </c>
      <c r="AD57" s="191">
        <v>40</v>
      </c>
      <c r="AE57" s="189">
        <v>48</v>
      </c>
      <c r="AF57" s="190">
        <v>14</v>
      </c>
      <c r="AG57" s="191">
        <v>8</v>
      </c>
      <c r="AH57" s="136">
        <v>-0.11926605504587157</v>
      </c>
      <c r="AI57" s="33">
        <v>-0.32110091743119268</v>
      </c>
      <c r="AJ57" s="33">
        <v>-0.22916666666666666</v>
      </c>
      <c r="AK57" s="33">
        <v>0</v>
      </c>
      <c r="AL57" s="33">
        <v>-0.23076923076923078</v>
      </c>
      <c r="AM57" s="33">
        <v>-0.23076923076923078</v>
      </c>
      <c r="AN57" s="34">
        <v>0.90243902439024393</v>
      </c>
      <c r="AO57" s="33">
        <v>0.48780487804878048</v>
      </c>
      <c r="AP57" s="33">
        <v>0.17073170731707318</v>
      </c>
      <c r="AQ57" s="33">
        <v>9.7560975609756101E-2</v>
      </c>
      <c r="AR57" s="33">
        <v>3.5294117647058823E-2</v>
      </c>
      <c r="AS57" s="136">
        <v>0</v>
      </c>
      <c r="AT57" s="35">
        <v>0</v>
      </c>
      <c r="AU57" s="30">
        <v>48</v>
      </c>
      <c r="AV57" s="30">
        <v>45</v>
      </c>
      <c r="AW57" s="31">
        <v>40</v>
      </c>
      <c r="AX57" s="136">
        <v>-6.25E-2</v>
      </c>
      <c r="AY57" s="33">
        <v>-0.16666666666666666</v>
      </c>
      <c r="AZ57" s="35">
        <v>-0.1111111111111111</v>
      </c>
      <c r="BA57" s="29">
        <v>51</v>
      </c>
      <c r="BB57" s="31">
        <v>46</v>
      </c>
      <c r="BC57" s="29">
        <v>4</v>
      </c>
      <c r="BD57" s="31">
        <v>5</v>
      </c>
      <c r="BE57" s="29">
        <v>47</v>
      </c>
      <c r="BF57" s="30">
        <v>74</v>
      </c>
      <c r="BG57" s="33">
        <v>0.63513513513513509</v>
      </c>
      <c r="BH57" s="30">
        <v>25</v>
      </c>
      <c r="BI57" s="30">
        <v>40</v>
      </c>
      <c r="BJ57" s="35">
        <v>0.625</v>
      </c>
    </row>
    <row r="58" spans="1:62" x14ac:dyDescent="0.25">
      <c r="A58" s="22"/>
      <c r="B58" s="23"/>
      <c r="C58" s="23"/>
      <c r="D58" s="23" t="s">
        <v>117</v>
      </c>
      <c r="E58" s="24"/>
      <c r="F58" s="184">
        <v>1735</v>
      </c>
      <c r="G58" s="185">
        <v>1627</v>
      </c>
      <c r="H58" s="186">
        <v>10</v>
      </c>
      <c r="I58" s="186">
        <v>1637</v>
      </c>
      <c r="J58" s="187">
        <v>0</v>
      </c>
      <c r="K58" s="185">
        <v>0</v>
      </c>
      <c r="L58" s="186">
        <v>1</v>
      </c>
      <c r="M58" s="186">
        <v>2</v>
      </c>
      <c r="N58" s="186">
        <v>0</v>
      </c>
      <c r="O58" s="186">
        <v>7</v>
      </c>
      <c r="P58" s="186">
        <v>0</v>
      </c>
      <c r="Q58" s="186">
        <v>53</v>
      </c>
      <c r="R58" s="187">
        <v>35</v>
      </c>
      <c r="S58" s="184">
        <v>154</v>
      </c>
      <c r="T58" s="185">
        <v>166</v>
      </c>
      <c r="U58" s="186">
        <v>0</v>
      </c>
      <c r="V58" s="186">
        <v>9</v>
      </c>
      <c r="W58" s="186">
        <v>1</v>
      </c>
      <c r="X58" s="187">
        <v>156</v>
      </c>
      <c r="Y58" s="185">
        <v>4603</v>
      </c>
      <c r="Z58" s="187">
        <v>1367</v>
      </c>
      <c r="AA58" s="185">
        <v>4697</v>
      </c>
      <c r="AB58" s="187">
        <v>1325</v>
      </c>
      <c r="AC58" s="185">
        <v>4414</v>
      </c>
      <c r="AD58" s="187">
        <v>1298</v>
      </c>
      <c r="AE58" s="185">
        <v>483</v>
      </c>
      <c r="AF58" s="186">
        <v>180</v>
      </c>
      <c r="AG58" s="187">
        <v>294</v>
      </c>
      <c r="AH58" s="135">
        <v>2.0421464262437541E-2</v>
      </c>
      <c r="AI58" s="26">
        <v>-4.106017814468825E-2</v>
      </c>
      <c r="AJ58" s="26">
        <v>-6.0251224185650418E-2</v>
      </c>
      <c r="AK58" s="26">
        <v>-3.0724213606437453E-2</v>
      </c>
      <c r="AL58" s="26">
        <v>-5.0475493782004388E-2</v>
      </c>
      <c r="AM58" s="26">
        <v>-2.0377358490566037E-2</v>
      </c>
      <c r="AN58" s="27">
        <v>2.7129686539643516</v>
      </c>
      <c r="AO58" s="26">
        <v>0.79778733866011065</v>
      </c>
      <c r="AP58" s="26">
        <v>0.11063306699446834</v>
      </c>
      <c r="AQ58" s="26">
        <v>0.18070067609096496</v>
      </c>
      <c r="AR58" s="26">
        <v>2.1058965102286401E-2</v>
      </c>
      <c r="AS58" s="135">
        <v>9.4652735095267365E-2</v>
      </c>
      <c r="AT58" s="28">
        <v>-7.3755377996312229E-3</v>
      </c>
      <c r="AU58" s="23">
        <v>1117</v>
      </c>
      <c r="AV58" s="23">
        <v>1127</v>
      </c>
      <c r="AW58" s="24">
        <v>1106</v>
      </c>
      <c r="AX58" s="135">
        <v>8.9525514771709933E-3</v>
      </c>
      <c r="AY58" s="26">
        <v>-9.8478066248880933E-3</v>
      </c>
      <c r="AZ58" s="28">
        <v>-1.8633540372670808E-2</v>
      </c>
      <c r="BA58" s="22">
        <v>48</v>
      </c>
      <c r="BB58" s="24">
        <v>44</v>
      </c>
      <c r="BC58" s="22">
        <v>7</v>
      </c>
      <c r="BD58" s="24">
        <v>6</v>
      </c>
      <c r="BE58" s="22">
        <v>2085</v>
      </c>
      <c r="BF58" s="23">
        <v>4414</v>
      </c>
      <c r="BG58" s="26">
        <v>0.4723606705935659</v>
      </c>
      <c r="BH58" s="23">
        <v>580</v>
      </c>
      <c r="BI58" s="23">
        <v>1106</v>
      </c>
      <c r="BJ58" s="28">
        <v>0.5244122965641953</v>
      </c>
    </row>
    <row r="59" spans="1:62" x14ac:dyDescent="0.25">
      <c r="A59" s="29"/>
      <c r="B59" s="30"/>
      <c r="C59" s="30"/>
      <c r="D59" s="30"/>
      <c r="E59" s="31" t="s">
        <v>165</v>
      </c>
      <c r="F59" s="188">
        <v>122</v>
      </c>
      <c r="G59" s="189">
        <v>111</v>
      </c>
      <c r="H59" s="190">
        <v>0</v>
      </c>
      <c r="I59" s="190">
        <v>111</v>
      </c>
      <c r="J59" s="191">
        <v>0</v>
      </c>
      <c r="K59" s="189">
        <v>0</v>
      </c>
      <c r="L59" s="190">
        <v>0</v>
      </c>
      <c r="M59" s="190">
        <v>1</v>
      </c>
      <c r="N59" s="190">
        <v>0</v>
      </c>
      <c r="O59" s="190">
        <v>0</v>
      </c>
      <c r="P59" s="190">
        <v>0</v>
      </c>
      <c r="Q59" s="190">
        <v>5</v>
      </c>
      <c r="R59" s="191">
        <v>5</v>
      </c>
      <c r="S59" s="188">
        <v>0</v>
      </c>
      <c r="T59" s="189">
        <v>6</v>
      </c>
      <c r="U59" s="190">
        <v>0</v>
      </c>
      <c r="V59" s="190">
        <v>3</v>
      </c>
      <c r="W59" s="190">
        <v>1</v>
      </c>
      <c r="X59" s="191">
        <v>2</v>
      </c>
      <c r="Y59" s="189">
        <v>213</v>
      </c>
      <c r="Z59" s="191">
        <v>94</v>
      </c>
      <c r="AA59" s="189">
        <v>198</v>
      </c>
      <c r="AB59" s="191">
        <v>90</v>
      </c>
      <c r="AC59" s="189">
        <v>169</v>
      </c>
      <c r="AD59" s="191">
        <v>78</v>
      </c>
      <c r="AE59" s="189">
        <v>46</v>
      </c>
      <c r="AF59" s="190">
        <v>20</v>
      </c>
      <c r="AG59" s="191">
        <v>8</v>
      </c>
      <c r="AH59" s="136">
        <v>-7.0422535211267609E-2</v>
      </c>
      <c r="AI59" s="33">
        <v>-0.20657276995305165</v>
      </c>
      <c r="AJ59" s="33">
        <v>-0.14646464646464646</v>
      </c>
      <c r="AK59" s="33">
        <v>-4.2553191489361701E-2</v>
      </c>
      <c r="AL59" s="33">
        <v>-0.1702127659574468</v>
      </c>
      <c r="AM59" s="33">
        <v>-0.13333333333333333</v>
      </c>
      <c r="AN59" s="34">
        <v>1.5225225225225225</v>
      </c>
      <c r="AO59" s="33">
        <v>0.70270270270270274</v>
      </c>
      <c r="AP59" s="33">
        <v>0.18018018018018017</v>
      </c>
      <c r="AQ59" s="33">
        <v>7.2072072072072071E-2</v>
      </c>
      <c r="AR59" s="33">
        <v>4.3103448275862072E-2</v>
      </c>
      <c r="AS59" s="136">
        <v>0</v>
      </c>
      <c r="AT59" s="35">
        <v>-5.4054054054054057E-2</v>
      </c>
      <c r="AU59" s="30">
        <v>129</v>
      </c>
      <c r="AV59" s="30">
        <v>107</v>
      </c>
      <c r="AW59" s="31">
        <v>94</v>
      </c>
      <c r="AX59" s="136">
        <v>-0.17054263565891473</v>
      </c>
      <c r="AY59" s="33">
        <v>-0.27131782945736432</v>
      </c>
      <c r="AZ59" s="35">
        <v>-0.12149532710280374</v>
      </c>
      <c r="BA59" s="29">
        <v>57.5</v>
      </c>
      <c r="BB59" s="31">
        <v>56</v>
      </c>
      <c r="BC59" s="29">
        <v>9</v>
      </c>
      <c r="BD59" s="31">
        <v>7</v>
      </c>
      <c r="BE59" s="29">
        <v>68</v>
      </c>
      <c r="BF59" s="30">
        <v>169</v>
      </c>
      <c r="BG59" s="33">
        <v>0.40236686390532544</v>
      </c>
      <c r="BH59" s="30">
        <v>41</v>
      </c>
      <c r="BI59" s="30">
        <v>94</v>
      </c>
      <c r="BJ59" s="35">
        <v>0.43617021276595747</v>
      </c>
    </row>
    <row r="60" spans="1:62" x14ac:dyDescent="0.25">
      <c r="A60" s="29"/>
      <c r="B60" s="30"/>
      <c r="C60" s="30"/>
      <c r="D60" s="30"/>
      <c r="E60" s="31" t="s">
        <v>68</v>
      </c>
      <c r="F60" s="188">
        <v>1333</v>
      </c>
      <c r="G60" s="189">
        <v>1250</v>
      </c>
      <c r="H60" s="190">
        <v>0</v>
      </c>
      <c r="I60" s="190">
        <v>1250</v>
      </c>
      <c r="J60" s="191">
        <v>0</v>
      </c>
      <c r="K60" s="189">
        <v>0</v>
      </c>
      <c r="L60" s="190">
        <v>1</v>
      </c>
      <c r="M60" s="190">
        <v>1</v>
      </c>
      <c r="N60" s="190">
        <v>0</v>
      </c>
      <c r="O60" s="190">
        <v>7</v>
      </c>
      <c r="P60" s="190">
        <v>0</v>
      </c>
      <c r="Q60" s="190">
        <v>48</v>
      </c>
      <c r="R60" s="191">
        <v>26</v>
      </c>
      <c r="S60" s="188">
        <v>80</v>
      </c>
      <c r="T60" s="189">
        <v>151</v>
      </c>
      <c r="U60" s="190">
        <v>0</v>
      </c>
      <c r="V60" s="190">
        <v>6</v>
      </c>
      <c r="W60" s="190">
        <v>0</v>
      </c>
      <c r="X60" s="191">
        <v>145</v>
      </c>
      <c r="Y60" s="189">
        <v>3683</v>
      </c>
      <c r="Z60" s="191">
        <v>1081</v>
      </c>
      <c r="AA60" s="189">
        <v>3805</v>
      </c>
      <c r="AB60" s="191">
        <v>1032</v>
      </c>
      <c r="AC60" s="189">
        <v>3573</v>
      </c>
      <c r="AD60" s="191">
        <v>1026</v>
      </c>
      <c r="AE60" s="189">
        <v>353</v>
      </c>
      <c r="AF60" s="190">
        <v>116</v>
      </c>
      <c r="AG60" s="191">
        <v>242</v>
      </c>
      <c r="AH60" s="136">
        <v>3.3125169698615259E-2</v>
      </c>
      <c r="AI60" s="33">
        <v>-2.9866956285636709E-2</v>
      </c>
      <c r="AJ60" s="33">
        <v>-6.0972404730617609E-2</v>
      </c>
      <c r="AK60" s="33">
        <v>-4.5328399629972246E-2</v>
      </c>
      <c r="AL60" s="33">
        <v>-5.0878815911193337E-2</v>
      </c>
      <c r="AM60" s="33">
        <v>-5.8139534883720929E-3</v>
      </c>
      <c r="AN60" s="34">
        <v>2.8584000000000001</v>
      </c>
      <c r="AO60" s="33">
        <v>0.82079999999999997</v>
      </c>
      <c r="AP60" s="33">
        <v>9.2799999999999994E-2</v>
      </c>
      <c r="AQ60" s="33">
        <v>0.19359999999999999</v>
      </c>
      <c r="AR60" s="33">
        <v>2.037617554858934E-2</v>
      </c>
      <c r="AS60" s="136">
        <v>6.4000000000000001E-2</v>
      </c>
      <c r="AT60" s="35">
        <v>-5.6800000000000003E-2</v>
      </c>
      <c r="AU60" s="30">
        <v>1016</v>
      </c>
      <c r="AV60" s="30">
        <v>1030</v>
      </c>
      <c r="AW60" s="31">
        <v>1008</v>
      </c>
      <c r="AX60" s="136">
        <v>1.3779527559055118E-2</v>
      </c>
      <c r="AY60" s="33">
        <v>-7.874015748031496E-3</v>
      </c>
      <c r="AZ60" s="35">
        <v>-2.1359223300970873E-2</v>
      </c>
      <c r="BA60" s="29">
        <v>47</v>
      </c>
      <c r="BB60" s="31">
        <v>44</v>
      </c>
      <c r="BC60" s="29">
        <v>7</v>
      </c>
      <c r="BD60" s="31">
        <v>6</v>
      </c>
      <c r="BE60" s="29">
        <v>1700</v>
      </c>
      <c r="BF60" s="30">
        <v>3573</v>
      </c>
      <c r="BG60" s="33">
        <v>0.47579065211307026</v>
      </c>
      <c r="BH60" s="30">
        <v>523</v>
      </c>
      <c r="BI60" s="30">
        <v>1008</v>
      </c>
      <c r="BJ60" s="35">
        <v>0.51884920634920639</v>
      </c>
    </row>
    <row r="61" spans="1:62" x14ac:dyDescent="0.25">
      <c r="A61" s="29"/>
      <c r="B61" s="30"/>
      <c r="C61" s="30"/>
      <c r="D61" s="30"/>
      <c r="E61" s="31" t="s">
        <v>148</v>
      </c>
      <c r="F61" s="188">
        <v>183</v>
      </c>
      <c r="G61" s="189">
        <v>171</v>
      </c>
      <c r="H61" s="190">
        <v>10</v>
      </c>
      <c r="I61" s="190">
        <v>181</v>
      </c>
      <c r="J61" s="191">
        <v>0</v>
      </c>
      <c r="K61" s="189">
        <v>0</v>
      </c>
      <c r="L61" s="190">
        <v>0</v>
      </c>
      <c r="M61" s="190">
        <v>0</v>
      </c>
      <c r="N61" s="190">
        <v>0</v>
      </c>
      <c r="O61" s="190">
        <v>0</v>
      </c>
      <c r="P61" s="190">
        <v>0</v>
      </c>
      <c r="Q61" s="190">
        <v>0</v>
      </c>
      <c r="R61" s="191">
        <v>2</v>
      </c>
      <c r="S61" s="188">
        <v>73</v>
      </c>
      <c r="T61" s="189">
        <v>9</v>
      </c>
      <c r="U61" s="190">
        <v>0</v>
      </c>
      <c r="V61" s="190">
        <v>0</v>
      </c>
      <c r="W61" s="190">
        <v>0</v>
      </c>
      <c r="X61" s="191">
        <v>9</v>
      </c>
      <c r="Y61" s="189">
        <v>642</v>
      </c>
      <c r="Z61" s="191">
        <v>153</v>
      </c>
      <c r="AA61" s="189">
        <v>635</v>
      </c>
      <c r="AB61" s="191">
        <v>164</v>
      </c>
      <c r="AC61" s="189">
        <v>600</v>
      </c>
      <c r="AD61" s="191">
        <v>150</v>
      </c>
      <c r="AE61" s="189">
        <v>31</v>
      </c>
      <c r="AF61" s="190">
        <v>21</v>
      </c>
      <c r="AG61" s="191">
        <v>37</v>
      </c>
      <c r="AH61" s="136">
        <v>-1.0903426791277258E-2</v>
      </c>
      <c r="AI61" s="33">
        <v>-6.5420560747663545E-2</v>
      </c>
      <c r="AJ61" s="33">
        <v>-5.5118110236220472E-2</v>
      </c>
      <c r="AK61" s="33">
        <v>7.1895424836601302E-2</v>
      </c>
      <c r="AL61" s="33">
        <v>-1.9607843137254902E-2</v>
      </c>
      <c r="AM61" s="33">
        <v>-8.5365853658536592E-2</v>
      </c>
      <c r="AN61" s="34">
        <v>3.5087719298245612</v>
      </c>
      <c r="AO61" s="33">
        <v>0.8771929824561403</v>
      </c>
      <c r="AP61" s="33">
        <v>0.12280701754385964</v>
      </c>
      <c r="AQ61" s="33">
        <v>0.21637426900584794</v>
      </c>
      <c r="AR61" s="33">
        <v>1.1560693641618497E-2</v>
      </c>
      <c r="AS61" s="136">
        <v>0.42690058479532161</v>
      </c>
      <c r="AT61" s="35">
        <v>0.3742690058479532</v>
      </c>
      <c r="AU61" s="30">
        <v>193</v>
      </c>
      <c r="AV61" s="30">
        <v>194</v>
      </c>
      <c r="AW61" s="31">
        <v>160</v>
      </c>
      <c r="AX61" s="136">
        <v>5.1813471502590676E-3</v>
      </c>
      <c r="AY61" s="33">
        <v>-0.17098445595854922</v>
      </c>
      <c r="AZ61" s="35">
        <v>-0.17525773195876287</v>
      </c>
      <c r="BA61" s="29">
        <v>53</v>
      </c>
      <c r="BB61" s="31">
        <v>45</v>
      </c>
      <c r="BC61" s="29">
        <v>9</v>
      </c>
      <c r="BD61" s="31">
        <v>7</v>
      </c>
      <c r="BE61" s="29">
        <v>274</v>
      </c>
      <c r="BF61" s="30">
        <v>600</v>
      </c>
      <c r="BG61" s="33">
        <v>0.45666666666666667</v>
      </c>
      <c r="BH61" s="30">
        <v>79</v>
      </c>
      <c r="BI61" s="30">
        <v>160</v>
      </c>
      <c r="BJ61" s="35">
        <v>0.49375000000000002</v>
      </c>
    </row>
    <row r="62" spans="1:62" x14ac:dyDescent="0.25">
      <c r="A62" s="29"/>
      <c r="B62" s="30"/>
      <c r="C62" s="30"/>
      <c r="D62" s="30"/>
      <c r="E62" s="31" t="s">
        <v>97</v>
      </c>
      <c r="F62" s="188">
        <v>97</v>
      </c>
      <c r="G62" s="189">
        <v>95</v>
      </c>
      <c r="H62" s="190">
        <v>0</v>
      </c>
      <c r="I62" s="190">
        <v>95</v>
      </c>
      <c r="J62" s="191">
        <v>0</v>
      </c>
      <c r="K62" s="189">
        <v>0</v>
      </c>
      <c r="L62" s="190">
        <v>0</v>
      </c>
      <c r="M62" s="190">
        <v>0</v>
      </c>
      <c r="N62" s="190">
        <v>0</v>
      </c>
      <c r="O62" s="190">
        <v>0</v>
      </c>
      <c r="P62" s="190">
        <v>0</v>
      </c>
      <c r="Q62" s="190">
        <v>0</v>
      </c>
      <c r="R62" s="191">
        <v>2</v>
      </c>
      <c r="S62" s="188">
        <v>1</v>
      </c>
      <c r="T62" s="189"/>
      <c r="U62" s="190"/>
      <c r="V62" s="190"/>
      <c r="W62" s="190"/>
      <c r="X62" s="191"/>
      <c r="Y62" s="189">
        <v>65</v>
      </c>
      <c r="Z62" s="191">
        <v>39</v>
      </c>
      <c r="AA62" s="189">
        <v>59</v>
      </c>
      <c r="AB62" s="191">
        <v>39</v>
      </c>
      <c r="AC62" s="189">
        <v>72</v>
      </c>
      <c r="AD62" s="191">
        <v>44</v>
      </c>
      <c r="AE62" s="189">
        <v>53</v>
      </c>
      <c r="AF62" s="190">
        <v>23</v>
      </c>
      <c r="AG62" s="191">
        <v>7</v>
      </c>
      <c r="AH62" s="136">
        <v>-9.2307692307692313E-2</v>
      </c>
      <c r="AI62" s="33">
        <v>0.1076923076923077</v>
      </c>
      <c r="AJ62" s="33">
        <v>0.22033898305084745</v>
      </c>
      <c r="AK62" s="33">
        <v>0</v>
      </c>
      <c r="AL62" s="33">
        <v>0.12820512820512819</v>
      </c>
      <c r="AM62" s="33">
        <v>0.12820512820512819</v>
      </c>
      <c r="AN62" s="34">
        <v>0.75789473684210529</v>
      </c>
      <c r="AO62" s="33">
        <v>0.4631578947368421</v>
      </c>
      <c r="AP62" s="33">
        <v>0.24210526315789474</v>
      </c>
      <c r="AQ62" s="33">
        <v>7.3684210526315783E-2</v>
      </c>
      <c r="AR62" s="33">
        <v>2.0618556701030927E-2</v>
      </c>
      <c r="AS62" s="136">
        <v>1.0526315789473684E-2</v>
      </c>
      <c r="AT62" s="35">
        <v>1.0526315789473684E-2</v>
      </c>
      <c r="AU62" s="30">
        <v>31</v>
      </c>
      <c r="AV62" s="30">
        <v>35</v>
      </c>
      <c r="AW62" s="31">
        <v>43</v>
      </c>
      <c r="AX62" s="136">
        <v>0.12903225806451613</v>
      </c>
      <c r="AY62" s="33">
        <v>0.38709677419354838</v>
      </c>
      <c r="AZ62" s="35">
        <v>0.22857142857142856</v>
      </c>
      <c r="BA62" s="29">
        <v>53</v>
      </c>
      <c r="BB62" s="31">
        <v>51</v>
      </c>
      <c r="BC62" s="29">
        <v>5</v>
      </c>
      <c r="BD62" s="31">
        <v>6</v>
      </c>
      <c r="BE62" s="29">
        <v>43</v>
      </c>
      <c r="BF62" s="30">
        <v>72</v>
      </c>
      <c r="BG62" s="33">
        <v>0.59722222222222221</v>
      </c>
      <c r="BH62" s="30">
        <v>30</v>
      </c>
      <c r="BI62" s="30">
        <v>43</v>
      </c>
      <c r="BJ62" s="35">
        <v>0.69767441860465118</v>
      </c>
    </row>
    <row r="63" spans="1:62" x14ac:dyDescent="0.25">
      <c r="A63" s="22"/>
      <c r="B63" s="23"/>
      <c r="C63" s="23"/>
      <c r="D63" s="23" t="s">
        <v>166</v>
      </c>
      <c r="E63" s="24"/>
      <c r="F63" s="184">
        <v>631</v>
      </c>
      <c r="G63" s="185">
        <v>592</v>
      </c>
      <c r="H63" s="186">
        <v>0</v>
      </c>
      <c r="I63" s="186">
        <v>592</v>
      </c>
      <c r="J63" s="187">
        <v>0</v>
      </c>
      <c r="K63" s="185">
        <v>0</v>
      </c>
      <c r="L63" s="186">
        <v>21</v>
      </c>
      <c r="M63" s="186">
        <v>7</v>
      </c>
      <c r="N63" s="186">
        <v>0</v>
      </c>
      <c r="O63" s="186">
        <v>5</v>
      </c>
      <c r="P63" s="186">
        <v>0</v>
      </c>
      <c r="Q63" s="186">
        <v>0</v>
      </c>
      <c r="R63" s="187">
        <v>6</v>
      </c>
      <c r="S63" s="184">
        <v>50</v>
      </c>
      <c r="T63" s="185">
        <v>3</v>
      </c>
      <c r="U63" s="186">
        <v>0</v>
      </c>
      <c r="V63" s="186">
        <v>0</v>
      </c>
      <c r="W63" s="186">
        <v>2</v>
      </c>
      <c r="X63" s="187">
        <v>1</v>
      </c>
      <c r="Y63" s="185">
        <v>630</v>
      </c>
      <c r="Z63" s="187">
        <v>267</v>
      </c>
      <c r="AA63" s="185">
        <v>905</v>
      </c>
      <c r="AB63" s="187">
        <v>338</v>
      </c>
      <c r="AC63" s="185">
        <v>888</v>
      </c>
      <c r="AD63" s="187">
        <v>331</v>
      </c>
      <c r="AE63" s="185">
        <v>272</v>
      </c>
      <c r="AF63" s="186">
        <v>99</v>
      </c>
      <c r="AG63" s="187">
        <v>69</v>
      </c>
      <c r="AH63" s="135">
        <v>0.43650793650793651</v>
      </c>
      <c r="AI63" s="26">
        <v>0.40952380952380951</v>
      </c>
      <c r="AJ63" s="26">
        <v>-1.8784530386740331E-2</v>
      </c>
      <c r="AK63" s="26">
        <v>0.26591760299625467</v>
      </c>
      <c r="AL63" s="26">
        <v>0.23970037453183521</v>
      </c>
      <c r="AM63" s="26">
        <v>-2.0710059171597635E-2</v>
      </c>
      <c r="AN63" s="27">
        <v>1.5</v>
      </c>
      <c r="AO63" s="26">
        <v>0.5591216216216216</v>
      </c>
      <c r="AP63" s="26">
        <v>0.16722972972972974</v>
      </c>
      <c r="AQ63" s="26">
        <v>0.11655405405405406</v>
      </c>
      <c r="AR63" s="26">
        <v>1.0033444816053512E-2</v>
      </c>
      <c r="AS63" s="135">
        <v>8.4459459459459457E-2</v>
      </c>
      <c r="AT63" s="28">
        <v>7.9391891891891886E-2</v>
      </c>
      <c r="AU63" s="23">
        <v>249</v>
      </c>
      <c r="AV63" s="23">
        <v>323</v>
      </c>
      <c r="AW63" s="24">
        <v>348</v>
      </c>
      <c r="AX63" s="135">
        <v>0.2971887550200803</v>
      </c>
      <c r="AY63" s="26">
        <v>0.39759036144578314</v>
      </c>
      <c r="AZ63" s="28">
        <v>7.7399380804953566E-2</v>
      </c>
      <c r="BA63" s="22">
        <v>47</v>
      </c>
      <c r="BB63" s="24">
        <v>46</v>
      </c>
      <c r="BC63" s="22">
        <v>6</v>
      </c>
      <c r="BD63" s="24">
        <v>5</v>
      </c>
      <c r="BE63" s="22">
        <v>596</v>
      </c>
      <c r="BF63" s="23">
        <v>888</v>
      </c>
      <c r="BG63" s="26">
        <v>0.6711711711711712</v>
      </c>
      <c r="BH63" s="23">
        <v>221</v>
      </c>
      <c r="BI63" s="23">
        <v>348</v>
      </c>
      <c r="BJ63" s="28">
        <v>0.63505747126436785</v>
      </c>
    </row>
    <row r="64" spans="1:62" x14ac:dyDescent="0.25">
      <c r="A64" s="29"/>
      <c r="B64" s="30"/>
      <c r="C64" s="30"/>
      <c r="D64" s="30"/>
      <c r="E64" s="31" t="s">
        <v>82</v>
      </c>
      <c r="F64" s="188">
        <v>68</v>
      </c>
      <c r="G64" s="189">
        <v>68</v>
      </c>
      <c r="H64" s="190">
        <v>0</v>
      </c>
      <c r="I64" s="190">
        <v>68</v>
      </c>
      <c r="J64" s="191">
        <v>0</v>
      </c>
      <c r="K64" s="189">
        <v>0</v>
      </c>
      <c r="L64" s="190">
        <v>0</v>
      </c>
      <c r="M64" s="190">
        <v>0</v>
      </c>
      <c r="N64" s="190">
        <v>0</v>
      </c>
      <c r="O64" s="190">
        <v>0</v>
      </c>
      <c r="P64" s="190">
        <v>0</v>
      </c>
      <c r="Q64" s="190">
        <v>0</v>
      </c>
      <c r="R64" s="191">
        <v>0</v>
      </c>
      <c r="S64" s="188">
        <v>0</v>
      </c>
      <c r="T64" s="189"/>
      <c r="U64" s="190"/>
      <c r="V64" s="190"/>
      <c r="W64" s="190"/>
      <c r="X64" s="191"/>
      <c r="Y64" s="189">
        <v>19</v>
      </c>
      <c r="Z64" s="191">
        <v>16</v>
      </c>
      <c r="AA64" s="189">
        <v>78</v>
      </c>
      <c r="AB64" s="191">
        <v>42</v>
      </c>
      <c r="AC64" s="189">
        <v>48</v>
      </c>
      <c r="AD64" s="191">
        <v>37</v>
      </c>
      <c r="AE64" s="189">
        <v>30</v>
      </c>
      <c r="AF64" s="190">
        <v>8</v>
      </c>
      <c r="AG64" s="191">
        <v>4</v>
      </c>
      <c r="AH64" s="136">
        <v>3.1052631578947367</v>
      </c>
      <c r="AI64" s="33">
        <v>1.5263157894736843</v>
      </c>
      <c r="AJ64" s="33">
        <v>-0.38461538461538464</v>
      </c>
      <c r="AK64" s="33">
        <v>1.625</v>
      </c>
      <c r="AL64" s="33">
        <v>1.3125</v>
      </c>
      <c r="AM64" s="33">
        <v>-0.11904761904761904</v>
      </c>
      <c r="AN64" s="34">
        <v>0.70588235294117652</v>
      </c>
      <c r="AO64" s="33">
        <v>0.54411764705882348</v>
      </c>
      <c r="AP64" s="33">
        <v>0.11764705882352941</v>
      </c>
      <c r="AQ64" s="33">
        <v>5.8823529411764705E-2</v>
      </c>
      <c r="AR64" s="33">
        <v>0</v>
      </c>
      <c r="AS64" s="136">
        <v>0</v>
      </c>
      <c r="AT64" s="35">
        <v>0</v>
      </c>
      <c r="AU64" s="30">
        <v>11</v>
      </c>
      <c r="AV64" s="30">
        <v>27</v>
      </c>
      <c r="AW64" s="31">
        <v>28</v>
      </c>
      <c r="AX64" s="136">
        <v>1.4545454545454546</v>
      </c>
      <c r="AY64" s="33">
        <v>1.5454545454545454</v>
      </c>
      <c r="AZ64" s="35">
        <v>3.7037037037037035E-2</v>
      </c>
      <c r="BA64" s="29">
        <v>57</v>
      </c>
      <c r="BB64" s="31">
        <v>49</v>
      </c>
      <c r="BC64" s="29">
        <v>4</v>
      </c>
      <c r="BD64" s="31">
        <v>4.5</v>
      </c>
      <c r="BE64" s="29">
        <v>37</v>
      </c>
      <c r="BF64" s="30">
        <v>48</v>
      </c>
      <c r="BG64" s="33">
        <v>0.77083333333333337</v>
      </c>
      <c r="BH64" s="30">
        <v>20</v>
      </c>
      <c r="BI64" s="30">
        <v>28</v>
      </c>
      <c r="BJ64" s="35">
        <v>0.7142857142857143</v>
      </c>
    </row>
    <row r="65" spans="1:62" x14ac:dyDescent="0.25">
      <c r="A65" s="29"/>
      <c r="B65" s="30"/>
      <c r="C65" s="30"/>
      <c r="D65" s="30"/>
      <c r="E65" s="31" t="s">
        <v>68</v>
      </c>
      <c r="F65" s="188">
        <v>370</v>
      </c>
      <c r="G65" s="189">
        <v>345</v>
      </c>
      <c r="H65" s="190">
        <v>0</v>
      </c>
      <c r="I65" s="190">
        <v>345</v>
      </c>
      <c r="J65" s="191">
        <v>0</v>
      </c>
      <c r="K65" s="189">
        <v>0</v>
      </c>
      <c r="L65" s="190">
        <v>19</v>
      </c>
      <c r="M65" s="190">
        <v>1</v>
      </c>
      <c r="N65" s="190">
        <v>0</v>
      </c>
      <c r="O65" s="190">
        <v>0</v>
      </c>
      <c r="P65" s="190">
        <v>0</v>
      </c>
      <c r="Q65" s="190">
        <v>0</v>
      </c>
      <c r="R65" s="191">
        <v>5</v>
      </c>
      <c r="S65" s="188">
        <v>30</v>
      </c>
      <c r="T65" s="189">
        <v>2</v>
      </c>
      <c r="U65" s="190">
        <v>0</v>
      </c>
      <c r="V65" s="190">
        <v>0</v>
      </c>
      <c r="W65" s="190">
        <v>1</v>
      </c>
      <c r="X65" s="191">
        <v>1</v>
      </c>
      <c r="Y65" s="189">
        <v>320</v>
      </c>
      <c r="Z65" s="191">
        <v>157</v>
      </c>
      <c r="AA65" s="189">
        <v>374</v>
      </c>
      <c r="AB65" s="191">
        <v>162</v>
      </c>
      <c r="AC65" s="189">
        <v>436</v>
      </c>
      <c r="AD65" s="191">
        <v>167</v>
      </c>
      <c r="AE65" s="189">
        <v>184</v>
      </c>
      <c r="AF65" s="190">
        <v>77</v>
      </c>
      <c r="AG65" s="191">
        <v>33</v>
      </c>
      <c r="AH65" s="136">
        <v>0.16875000000000001</v>
      </c>
      <c r="AI65" s="33">
        <v>0.36249999999999999</v>
      </c>
      <c r="AJ65" s="33">
        <v>0.16577540106951871</v>
      </c>
      <c r="AK65" s="33">
        <v>3.1847133757961783E-2</v>
      </c>
      <c r="AL65" s="33">
        <v>6.3694267515923567E-2</v>
      </c>
      <c r="AM65" s="33">
        <v>3.0864197530864196E-2</v>
      </c>
      <c r="AN65" s="34">
        <v>1.2637681159420291</v>
      </c>
      <c r="AO65" s="33">
        <v>0.48405797101449277</v>
      </c>
      <c r="AP65" s="33">
        <v>0.22318840579710145</v>
      </c>
      <c r="AQ65" s="33">
        <v>9.5652173913043481E-2</v>
      </c>
      <c r="AR65" s="33">
        <v>1.4285714285714285E-2</v>
      </c>
      <c r="AS65" s="136">
        <v>8.6956521739130432E-2</v>
      </c>
      <c r="AT65" s="35">
        <v>8.1159420289855067E-2</v>
      </c>
      <c r="AU65" s="30">
        <v>149</v>
      </c>
      <c r="AV65" s="30">
        <v>191</v>
      </c>
      <c r="AW65" s="31">
        <v>199</v>
      </c>
      <c r="AX65" s="136">
        <v>0.28187919463087246</v>
      </c>
      <c r="AY65" s="33">
        <v>0.33557046979865773</v>
      </c>
      <c r="AZ65" s="35">
        <v>4.1884816753926704E-2</v>
      </c>
      <c r="BA65" s="29">
        <v>48</v>
      </c>
      <c r="BB65" s="31">
        <v>48</v>
      </c>
      <c r="BC65" s="29">
        <v>9</v>
      </c>
      <c r="BD65" s="31">
        <v>6</v>
      </c>
      <c r="BE65" s="29">
        <v>278</v>
      </c>
      <c r="BF65" s="30">
        <v>436</v>
      </c>
      <c r="BG65" s="33">
        <v>0.63761467889908252</v>
      </c>
      <c r="BH65" s="30">
        <v>119</v>
      </c>
      <c r="BI65" s="30">
        <v>199</v>
      </c>
      <c r="BJ65" s="35">
        <v>0.59798994974874375</v>
      </c>
    </row>
    <row r="66" spans="1:62" x14ac:dyDescent="0.25">
      <c r="A66" s="29"/>
      <c r="B66" s="30"/>
      <c r="C66" s="30"/>
      <c r="D66" s="30"/>
      <c r="E66" s="31" t="s">
        <v>97</v>
      </c>
      <c r="F66" s="188">
        <v>193</v>
      </c>
      <c r="G66" s="189">
        <v>179</v>
      </c>
      <c r="H66" s="190">
        <v>0</v>
      </c>
      <c r="I66" s="190">
        <v>179</v>
      </c>
      <c r="J66" s="191">
        <v>0</v>
      </c>
      <c r="K66" s="189">
        <v>0</v>
      </c>
      <c r="L66" s="190">
        <v>2</v>
      </c>
      <c r="M66" s="190">
        <v>6</v>
      </c>
      <c r="N66" s="190">
        <v>0</v>
      </c>
      <c r="O66" s="190">
        <v>5</v>
      </c>
      <c r="P66" s="190">
        <v>0</v>
      </c>
      <c r="Q66" s="190">
        <v>0</v>
      </c>
      <c r="R66" s="191">
        <v>1</v>
      </c>
      <c r="S66" s="188">
        <v>20</v>
      </c>
      <c r="T66" s="189">
        <v>1</v>
      </c>
      <c r="U66" s="190">
        <v>0</v>
      </c>
      <c r="V66" s="190">
        <v>0</v>
      </c>
      <c r="W66" s="190">
        <v>1</v>
      </c>
      <c r="X66" s="191">
        <v>0</v>
      </c>
      <c r="Y66" s="189">
        <v>291</v>
      </c>
      <c r="Z66" s="191">
        <v>94</v>
      </c>
      <c r="AA66" s="189">
        <v>453</v>
      </c>
      <c r="AB66" s="191">
        <v>134</v>
      </c>
      <c r="AC66" s="189">
        <v>404</v>
      </c>
      <c r="AD66" s="191">
        <v>127</v>
      </c>
      <c r="AE66" s="189">
        <v>58</v>
      </c>
      <c r="AF66" s="190">
        <v>14</v>
      </c>
      <c r="AG66" s="191">
        <v>32</v>
      </c>
      <c r="AH66" s="136">
        <v>0.55670103092783507</v>
      </c>
      <c r="AI66" s="33">
        <v>0.38831615120274915</v>
      </c>
      <c r="AJ66" s="33">
        <v>-0.10816777041942605</v>
      </c>
      <c r="AK66" s="33">
        <v>0.42553191489361702</v>
      </c>
      <c r="AL66" s="33">
        <v>0.35106382978723405</v>
      </c>
      <c r="AM66" s="33">
        <v>-5.2238805970149252E-2</v>
      </c>
      <c r="AN66" s="34">
        <v>2.2569832402234637</v>
      </c>
      <c r="AO66" s="33">
        <v>0.70949720670391059</v>
      </c>
      <c r="AP66" s="33">
        <v>7.8212290502793297E-2</v>
      </c>
      <c r="AQ66" s="33">
        <v>0.1787709497206704</v>
      </c>
      <c r="AR66" s="33">
        <v>5.5555555555555558E-3</v>
      </c>
      <c r="AS66" s="136">
        <v>0.11173184357541899</v>
      </c>
      <c r="AT66" s="35">
        <v>0.10614525139664804</v>
      </c>
      <c r="AU66" s="30">
        <v>115</v>
      </c>
      <c r="AV66" s="30">
        <v>153</v>
      </c>
      <c r="AW66" s="31">
        <v>167</v>
      </c>
      <c r="AX66" s="136">
        <v>0.33043478260869563</v>
      </c>
      <c r="AY66" s="33">
        <v>0.45217391304347826</v>
      </c>
      <c r="AZ66" s="35">
        <v>9.1503267973856203E-2</v>
      </c>
      <c r="BA66" s="29">
        <v>43</v>
      </c>
      <c r="BB66" s="31">
        <v>43</v>
      </c>
      <c r="BC66" s="29">
        <v>4</v>
      </c>
      <c r="BD66" s="31">
        <v>4</v>
      </c>
      <c r="BE66" s="29">
        <v>281</v>
      </c>
      <c r="BF66" s="30">
        <v>404</v>
      </c>
      <c r="BG66" s="33">
        <v>0.6955445544554455</v>
      </c>
      <c r="BH66" s="30">
        <v>110</v>
      </c>
      <c r="BI66" s="30">
        <v>167</v>
      </c>
      <c r="BJ66" s="35">
        <v>0.6586826347305389</v>
      </c>
    </row>
    <row r="67" spans="1:62" x14ac:dyDescent="0.25">
      <c r="A67" s="22"/>
      <c r="B67" s="23"/>
      <c r="C67" s="23"/>
      <c r="D67" s="23" t="s">
        <v>167</v>
      </c>
      <c r="E67" s="24"/>
      <c r="F67" s="184">
        <v>1021</v>
      </c>
      <c r="G67" s="185">
        <v>890</v>
      </c>
      <c r="H67" s="186">
        <v>6</v>
      </c>
      <c r="I67" s="186">
        <v>896</v>
      </c>
      <c r="J67" s="187">
        <v>0</v>
      </c>
      <c r="K67" s="185">
        <v>0</v>
      </c>
      <c r="L67" s="186">
        <v>0</v>
      </c>
      <c r="M67" s="186">
        <v>1</v>
      </c>
      <c r="N67" s="186">
        <v>1</v>
      </c>
      <c r="O67" s="186">
        <v>1</v>
      </c>
      <c r="P67" s="186">
        <v>0</v>
      </c>
      <c r="Q67" s="186">
        <v>44</v>
      </c>
      <c r="R67" s="187">
        <v>77</v>
      </c>
      <c r="S67" s="184">
        <v>71</v>
      </c>
      <c r="T67" s="185">
        <v>20</v>
      </c>
      <c r="U67" s="186">
        <v>1</v>
      </c>
      <c r="V67" s="186">
        <v>4</v>
      </c>
      <c r="W67" s="186">
        <v>0</v>
      </c>
      <c r="X67" s="187">
        <v>15</v>
      </c>
      <c r="Y67" s="185">
        <v>1962</v>
      </c>
      <c r="Z67" s="187">
        <v>604</v>
      </c>
      <c r="AA67" s="185">
        <v>1956</v>
      </c>
      <c r="AB67" s="187">
        <v>616</v>
      </c>
      <c r="AC67" s="185">
        <v>1833</v>
      </c>
      <c r="AD67" s="187">
        <v>563</v>
      </c>
      <c r="AE67" s="185">
        <v>468</v>
      </c>
      <c r="AF67" s="186">
        <v>220</v>
      </c>
      <c r="AG67" s="187">
        <v>228</v>
      </c>
      <c r="AH67" s="135">
        <v>-3.0581039755351682E-3</v>
      </c>
      <c r="AI67" s="26">
        <v>-6.5749235474006115E-2</v>
      </c>
      <c r="AJ67" s="26">
        <v>-6.2883435582822084E-2</v>
      </c>
      <c r="AK67" s="26">
        <v>1.9867549668874173E-2</v>
      </c>
      <c r="AL67" s="26">
        <v>-6.7880794701986755E-2</v>
      </c>
      <c r="AM67" s="26">
        <v>-8.603896103896104E-2</v>
      </c>
      <c r="AN67" s="27">
        <v>2.059550561797753</v>
      </c>
      <c r="AO67" s="26">
        <v>0.63258426966292136</v>
      </c>
      <c r="AP67" s="26">
        <v>0.24719101123595505</v>
      </c>
      <c r="AQ67" s="26">
        <v>0.25617977528089886</v>
      </c>
      <c r="AR67" s="26">
        <v>7.9627714581178899E-2</v>
      </c>
      <c r="AS67" s="135">
        <v>7.9775280898876408E-2</v>
      </c>
      <c r="AT67" s="28">
        <v>5.7303370786516851E-2</v>
      </c>
      <c r="AU67" s="23">
        <v>672</v>
      </c>
      <c r="AV67" s="23">
        <v>682</v>
      </c>
      <c r="AW67" s="24">
        <v>662</v>
      </c>
      <c r="AX67" s="135">
        <v>1.488095238095238E-2</v>
      </c>
      <c r="AY67" s="26">
        <v>-1.488095238095238E-2</v>
      </c>
      <c r="AZ67" s="28">
        <v>-2.932551319648094E-2</v>
      </c>
      <c r="BA67" s="22">
        <v>46</v>
      </c>
      <c r="BB67" s="24">
        <v>41</v>
      </c>
      <c r="BC67" s="22">
        <v>5</v>
      </c>
      <c r="BD67" s="24">
        <v>4</v>
      </c>
      <c r="BE67" s="22">
        <v>1049</v>
      </c>
      <c r="BF67" s="23">
        <v>1833</v>
      </c>
      <c r="BG67" s="26">
        <v>0.57228587015821053</v>
      </c>
      <c r="BH67" s="23">
        <v>380</v>
      </c>
      <c r="BI67" s="23">
        <v>662</v>
      </c>
      <c r="BJ67" s="28">
        <v>0.57401812688821752</v>
      </c>
    </row>
    <row r="68" spans="1:62" x14ac:dyDescent="0.25">
      <c r="A68" s="29"/>
      <c r="B68" s="30"/>
      <c r="C68" s="30"/>
      <c r="D68" s="30"/>
      <c r="E68" s="31" t="s">
        <v>68</v>
      </c>
      <c r="F68" s="188">
        <v>858</v>
      </c>
      <c r="G68" s="189">
        <v>742</v>
      </c>
      <c r="H68" s="190">
        <v>0</v>
      </c>
      <c r="I68" s="190">
        <v>742</v>
      </c>
      <c r="J68" s="191">
        <v>0</v>
      </c>
      <c r="K68" s="189">
        <v>0</v>
      </c>
      <c r="L68" s="190">
        <v>0</v>
      </c>
      <c r="M68" s="190">
        <v>1</v>
      </c>
      <c r="N68" s="190">
        <v>1</v>
      </c>
      <c r="O68" s="190">
        <v>0</v>
      </c>
      <c r="P68" s="190">
        <v>0</v>
      </c>
      <c r="Q68" s="190">
        <v>43</v>
      </c>
      <c r="R68" s="191">
        <v>71</v>
      </c>
      <c r="S68" s="188">
        <v>28</v>
      </c>
      <c r="T68" s="189">
        <v>8</v>
      </c>
      <c r="U68" s="190">
        <v>0</v>
      </c>
      <c r="V68" s="190">
        <v>4</v>
      </c>
      <c r="W68" s="190">
        <v>0</v>
      </c>
      <c r="X68" s="191">
        <v>4</v>
      </c>
      <c r="Y68" s="189">
        <v>1549</v>
      </c>
      <c r="Z68" s="191">
        <v>503</v>
      </c>
      <c r="AA68" s="189">
        <v>1616</v>
      </c>
      <c r="AB68" s="191">
        <v>506</v>
      </c>
      <c r="AC68" s="189">
        <v>1403</v>
      </c>
      <c r="AD68" s="191">
        <v>458</v>
      </c>
      <c r="AE68" s="189">
        <v>400</v>
      </c>
      <c r="AF68" s="190">
        <v>193</v>
      </c>
      <c r="AG68" s="191">
        <v>193</v>
      </c>
      <c r="AH68" s="136">
        <v>4.3253712072304711E-2</v>
      </c>
      <c r="AI68" s="33">
        <v>-9.4254357650096834E-2</v>
      </c>
      <c r="AJ68" s="33">
        <v>-0.13180693069306931</v>
      </c>
      <c r="AK68" s="33">
        <v>5.9642147117296221E-3</v>
      </c>
      <c r="AL68" s="33">
        <v>-8.9463220675944338E-2</v>
      </c>
      <c r="AM68" s="33">
        <v>-9.4861660079051377E-2</v>
      </c>
      <c r="AN68" s="34">
        <v>1.8908355795148248</v>
      </c>
      <c r="AO68" s="33">
        <v>0.61725067385444743</v>
      </c>
      <c r="AP68" s="33">
        <v>0.26010781671159028</v>
      </c>
      <c r="AQ68" s="33">
        <v>0.26010781671159028</v>
      </c>
      <c r="AR68" s="33">
        <v>8.7330873308733084E-2</v>
      </c>
      <c r="AS68" s="136">
        <v>3.7735849056603772E-2</v>
      </c>
      <c r="AT68" s="35">
        <v>2.6954177897574125E-2</v>
      </c>
      <c r="AU68" s="30">
        <v>581</v>
      </c>
      <c r="AV68" s="30">
        <v>598</v>
      </c>
      <c r="AW68" s="31">
        <v>563</v>
      </c>
      <c r="AX68" s="136">
        <v>2.9259896729776247E-2</v>
      </c>
      <c r="AY68" s="33">
        <v>-3.098106712564544E-2</v>
      </c>
      <c r="AZ68" s="35">
        <v>-5.8528428093645488E-2</v>
      </c>
      <c r="BA68" s="29">
        <v>44</v>
      </c>
      <c r="BB68" s="31">
        <v>40</v>
      </c>
      <c r="BC68" s="29">
        <v>5</v>
      </c>
      <c r="BD68" s="31">
        <v>4</v>
      </c>
      <c r="BE68" s="29">
        <v>786</v>
      </c>
      <c r="BF68" s="30">
        <v>1403</v>
      </c>
      <c r="BG68" s="33">
        <v>0.56022808267997148</v>
      </c>
      <c r="BH68" s="30">
        <v>319</v>
      </c>
      <c r="BI68" s="30">
        <v>563</v>
      </c>
      <c r="BJ68" s="35">
        <v>0.56660746003552398</v>
      </c>
    </row>
    <row r="69" spans="1:62" x14ac:dyDescent="0.25">
      <c r="A69" s="29"/>
      <c r="B69" s="30"/>
      <c r="C69" s="30"/>
      <c r="D69" s="30"/>
      <c r="E69" s="31" t="s">
        <v>148</v>
      </c>
      <c r="F69" s="188">
        <v>94</v>
      </c>
      <c r="G69" s="189">
        <v>82</v>
      </c>
      <c r="H69" s="190">
        <v>6</v>
      </c>
      <c r="I69" s="190">
        <v>88</v>
      </c>
      <c r="J69" s="191">
        <v>0</v>
      </c>
      <c r="K69" s="189">
        <v>0</v>
      </c>
      <c r="L69" s="190">
        <v>0</v>
      </c>
      <c r="M69" s="190">
        <v>0</v>
      </c>
      <c r="N69" s="190">
        <v>0</v>
      </c>
      <c r="O69" s="190">
        <v>0</v>
      </c>
      <c r="P69" s="190">
        <v>0</v>
      </c>
      <c r="Q69" s="190">
        <v>0</v>
      </c>
      <c r="R69" s="191">
        <v>5</v>
      </c>
      <c r="S69" s="188">
        <v>43</v>
      </c>
      <c r="T69" s="189">
        <v>12</v>
      </c>
      <c r="U69" s="190">
        <v>1</v>
      </c>
      <c r="V69" s="190">
        <v>0</v>
      </c>
      <c r="W69" s="190">
        <v>0</v>
      </c>
      <c r="X69" s="191">
        <v>11</v>
      </c>
      <c r="Y69" s="189">
        <v>314</v>
      </c>
      <c r="Z69" s="191">
        <v>70</v>
      </c>
      <c r="AA69" s="189">
        <v>268</v>
      </c>
      <c r="AB69" s="191">
        <v>74</v>
      </c>
      <c r="AC69" s="189">
        <v>332</v>
      </c>
      <c r="AD69" s="191">
        <v>68</v>
      </c>
      <c r="AE69" s="189">
        <v>34</v>
      </c>
      <c r="AF69" s="190">
        <v>16</v>
      </c>
      <c r="AG69" s="191">
        <v>28</v>
      </c>
      <c r="AH69" s="136">
        <v>-0.1464968152866242</v>
      </c>
      <c r="AI69" s="33">
        <v>5.7324840764331211E-2</v>
      </c>
      <c r="AJ69" s="33">
        <v>0.23880597014925373</v>
      </c>
      <c r="AK69" s="33">
        <v>5.7142857142857141E-2</v>
      </c>
      <c r="AL69" s="33">
        <v>-2.8571428571428571E-2</v>
      </c>
      <c r="AM69" s="33">
        <v>-8.1081081081081086E-2</v>
      </c>
      <c r="AN69" s="34">
        <v>4.0487804878048781</v>
      </c>
      <c r="AO69" s="33">
        <v>0.82926829268292679</v>
      </c>
      <c r="AP69" s="33">
        <v>0.1951219512195122</v>
      </c>
      <c r="AQ69" s="33">
        <v>0.34146341463414637</v>
      </c>
      <c r="AR69" s="33">
        <v>5.7471264367816091E-2</v>
      </c>
      <c r="AS69" s="136">
        <v>0.52439024390243905</v>
      </c>
      <c r="AT69" s="35">
        <v>0.37804878048780488</v>
      </c>
      <c r="AU69" s="30">
        <v>113</v>
      </c>
      <c r="AV69" s="30">
        <v>108</v>
      </c>
      <c r="AW69" s="31">
        <v>123</v>
      </c>
      <c r="AX69" s="136">
        <v>-4.4247787610619468E-2</v>
      </c>
      <c r="AY69" s="33">
        <v>8.8495575221238937E-2</v>
      </c>
      <c r="AZ69" s="35">
        <v>0.1388888888888889</v>
      </c>
      <c r="BA69" s="29">
        <v>55</v>
      </c>
      <c r="BB69" s="31">
        <v>50</v>
      </c>
      <c r="BC69" s="29">
        <v>8</v>
      </c>
      <c r="BD69" s="31">
        <v>7</v>
      </c>
      <c r="BE69" s="29">
        <v>203</v>
      </c>
      <c r="BF69" s="30">
        <v>332</v>
      </c>
      <c r="BG69" s="33">
        <v>0.61144578313253017</v>
      </c>
      <c r="BH69" s="30">
        <v>72</v>
      </c>
      <c r="BI69" s="30">
        <v>123</v>
      </c>
      <c r="BJ69" s="35">
        <v>0.58536585365853655</v>
      </c>
    </row>
    <row r="70" spans="1:62" x14ac:dyDescent="0.25">
      <c r="A70" s="29"/>
      <c r="B70" s="30"/>
      <c r="C70" s="30"/>
      <c r="D70" s="30"/>
      <c r="E70" s="31" t="s">
        <v>97</v>
      </c>
      <c r="F70" s="188">
        <v>69</v>
      </c>
      <c r="G70" s="189">
        <v>66</v>
      </c>
      <c r="H70" s="190">
        <v>0</v>
      </c>
      <c r="I70" s="190">
        <v>66</v>
      </c>
      <c r="J70" s="191">
        <v>0</v>
      </c>
      <c r="K70" s="189">
        <v>0</v>
      </c>
      <c r="L70" s="190">
        <v>0</v>
      </c>
      <c r="M70" s="190">
        <v>0</v>
      </c>
      <c r="N70" s="190">
        <v>0</v>
      </c>
      <c r="O70" s="190">
        <v>1</v>
      </c>
      <c r="P70" s="190">
        <v>0</v>
      </c>
      <c r="Q70" s="190">
        <v>1</v>
      </c>
      <c r="R70" s="191">
        <v>1</v>
      </c>
      <c r="S70" s="188">
        <v>0</v>
      </c>
      <c r="T70" s="189"/>
      <c r="U70" s="190"/>
      <c r="V70" s="190"/>
      <c r="W70" s="190"/>
      <c r="X70" s="191"/>
      <c r="Y70" s="189">
        <v>99</v>
      </c>
      <c r="Z70" s="191">
        <v>31</v>
      </c>
      <c r="AA70" s="189">
        <v>72</v>
      </c>
      <c r="AB70" s="191">
        <v>36</v>
      </c>
      <c r="AC70" s="189">
        <v>98</v>
      </c>
      <c r="AD70" s="191">
        <v>37</v>
      </c>
      <c r="AE70" s="189">
        <v>34</v>
      </c>
      <c r="AF70" s="190">
        <v>11</v>
      </c>
      <c r="AG70" s="191">
        <v>7</v>
      </c>
      <c r="AH70" s="136">
        <v>-0.27272727272727271</v>
      </c>
      <c r="AI70" s="33">
        <v>-1.0101010101010102E-2</v>
      </c>
      <c r="AJ70" s="33">
        <v>0.3611111111111111</v>
      </c>
      <c r="AK70" s="33">
        <v>0.16129032258064516</v>
      </c>
      <c r="AL70" s="33">
        <v>0.19354838709677419</v>
      </c>
      <c r="AM70" s="33">
        <v>2.7777777777777776E-2</v>
      </c>
      <c r="AN70" s="34">
        <v>1.4848484848484849</v>
      </c>
      <c r="AO70" s="33">
        <v>0.56060606060606055</v>
      </c>
      <c r="AP70" s="33">
        <v>0.16666666666666666</v>
      </c>
      <c r="AQ70" s="33">
        <v>0.10606060606060606</v>
      </c>
      <c r="AR70" s="33">
        <v>1.4925373134328358E-2</v>
      </c>
      <c r="AS70" s="136">
        <v>0</v>
      </c>
      <c r="AT70" s="35">
        <v>0</v>
      </c>
      <c r="AU70" s="30">
        <v>40</v>
      </c>
      <c r="AV70" s="30">
        <v>35</v>
      </c>
      <c r="AW70" s="31">
        <v>44</v>
      </c>
      <c r="AX70" s="136">
        <v>-0.125</v>
      </c>
      <c r="AY70" s="33">
        <v>0.1</v>
      </c>
      <c r="AZ70" s="35">
        <v>0.25714285714285712</v>
      </c>
      <c r="BA70" s="29">
        <v>43</v>
      </c>
      <c r="BB70" s="31">
        <v>50</v>
      </c>
      <c r="BC70" s="29">
        <v>3</v>
      </c>
      <c r="BD70" s="31">
        <v>4.5</v>
      </c>
      <c r="BE70" s="29">
        <v>60</v>
      </c>
      <c r="BF70" s="30">
        <v>98</v>
      </c>
      <c r="BG70" s="33">
        <v>0.61224489795918369</v>
      </c>
      <c r="BH70" s="30">
        <v>24</v>
      </c>
      <c r="BI70" s="30">
        <v>44</v>
      </c>
      <c r="BJ70" s="35">
        <v>0.54545454545454541</v>
      </c>
    </row>
    <row r="71" spans="1:62" x14ac:dyDescent="0.25">
      <c r="A71" s="22"/>
      <c r="B71" s="23"/>
      <c r="C71" s="23"/>
      <c r="D71" s="23" t="s">
        <v>118</v>
      </c>
      <c r="E71" s="24"/>
      <c r="F71" s="184">
        <v>777</v>
      </c>
      <c r="G71" s="185">
        <v>686</v>
      </c>
      <c r="H71" s="186">
        <v>2</v>
      </c>
      <c r="I71" s="186">
        <v>688</v>
      </c>
      <c r="J71" s="187">
        <v>0</v>
      </c>
      <c r="K71" s="185">
        <v>0</v>
      </c>
      <c r="L71" s="186">
        <v>1</v>
      </c>
      <c r="M71" s="186">
        <v>15</v>
      </c>
      <c r="N71" s="186">
        <v>0</v>
      </c>
      <c r="O71" s="186">
        <v>0</v>
      </c>
      <c r="P71" s="186">
        <v>0</v>
      </c>
      <c r="Q71" s="186">
        <v>5</v>
      </c>
      <c r="R71" s="187">
        <v>68</v>
      </c>
      <c r="S71" s="184">
        <v>74</v>
      </c>
      <c r="T71" s="185">
        <v>44</v>
      </c>
      <c r="U71" s="186">
        <v>2</v>
      </c>
      <c r="V71" s="186">
        <v>3</v>
      </c>
      <c r="W71" s="186">
        <v>12</v>
      </c>
      <c r="X71" s="187">
        <v>27</v>
      </c>
      <c r="Y71" s="185">
        <v>2032</v>
      </c>
      <c r="Z71" s="187">
        <v>573</v>
      </c>
      <c r="AA71" s="185">
        <v>2118</v>
      </c>
      <c r="AB71" s="187">
        <v>595</v>
      </c>
      <c r="AC71" s="185">
        <v>2158</v>
      </c>
      <c r="AD71" s="187">
        <v>582</v>
      </c>
      <c r="AE71" s="185">
        <v>202</v>
      </c>
      <c r="AF71" s="186">
        <v>62</v>
      </c>
      <c r="AG71" s="187">
        <v>250</v>
      </c>
      <c r="AH71" s="135">
        <v>4.2322834645669292E-2</v>
      </c>
      <c r="AI71" s="26">
        <v>6.2007874015748032E-2</v>
      </c>
      <c r="AJ71" s="26">
        <v>1.8885741265344664E-2</v>
      </c>
      <c r="AK71" s="26">
        <v>3.8394415357766144E-2</v>
      </c>
      <c r="AL71" s="26">
        <v>1.5706806282722512E-2</v>
      </c>
      <c r="AM71" s="26">
        <v>-2.1848739495798318E-2</v>
      </c>
      <c r="AN71" s="27">
        <v>3.1457725947521866</v>
      </c>
      <c r="AO71" s="26">
        <v>0.84839650145772594</v>
      </c>
      <c r="AP71" s="26">
        <v>9.0379008746355682E-2</v>
      </c>
      <c r="AQ71" s="26">
        <v>0.36443148688046645</v>
      </c>
      <c r="AR71" s="26">
        <v>9.0185676392572939E-2</v>
      </c>
      <c r="AS71" s="135">
        <v>0.10787172011661808</v>
      </c>
      <c r="AT71" s="28">
        <v>4.3731778425655975E-2</v>
      </c>
      <c r="AU71" s="23">
        <v>777</v>
      </c>
      <c r="AV71" s="23">
        <v>838</v>
      </c>
      <c r="AW71" s="24">
        <v>807</v>
      </c>
      <c r="AX71" s="135">
        <v>7.8507078507078512E-2</v>
      </c>
      <c r="AY71" s="26">
        <v>3.8610038610038609E-2</v>
      </c>
      <c r="AZ71" s="28">
        <v>-3.6992840095465392E-2</v>
      </c>
      <c r="BA71" s="22">
        <v>31</v>
      </c>
      <c r="BB71" s="24">
        <v>30</v>
      </c>
      <c r="BC71" s="22">
        <v>2</v>
      </c>
      <c r="BD71" s="24">
        <v>2</v>
      </c>
      <c r="BE71" s="22">
        <v>1263</v>
      </c>
      <c r="BF71" s="23">
        <v>2158</v>
      </c>
      <c r="BG71" s="26">
        <v>0.58526413345690453</v>
      </c>
      <c r="BH71" s="23">
        <v>498</v>
      </c>
      <c r="BI71" s="23">
        <v>807</v>
      </c>
      <c r="BJ71" s="28">
        <v>0.61710037174721188</v>
      </c>
    </row>
    <row r="72" spans="1:62" x14ac:dyDescent="0.25">
      <c r="A72" s="29"/>
      <c r="B72" s="30"/>
      <c r="C72" s="30"/>
      <c r="D72" s="30"/>
      <c r="E72" s="31" t="s">
        <v>68</v>
      </c>
      <c r="F72" s="188">
        <v>593</v>
      </c>
      <c r="G72" s="189">
        <v>516</v>
      </c>
      <c r="H72" s="190">
        <v>0</v>
      </c>
      <c r="I72" s="190">
        <v>516</v>
      </c>
      <c r="J72" s="191">
        <v>0</v>
      </c>
      <c r="K72" s="189">
        <v>0</v>
      </c>
      <c r="L72" s="190">
        <v>1</v>
      </c>
      <c r="M72" s="190">
        <v>12</v>
      </c>
      <c r="N72" s="190">
        <v>0</v>
      </c>
      <c r="O72" s="190">
        <v>0</v>
      </c>
      <c r="P72" s="190">
        <v>0</v>
      </c>
      <c r="Q72" s="190">
        <v>5</v>
      </c>
      <c r="R72" s="191">
        <v>59</v>
      </c>
      <c r="S72" s="188">
        <v>21</v>
      </c>
      <c r="T72" s="189">
        <v>23</v>
      </c>
      <c r="U72" s="190">
        <v>0</v>
      </c>
      <c r="V72" s="190">
        <v>3</v>
      </c>
      <c r="W72" s="190">
        <v>9</v>
      </c>
      <c r="X72" s="191">
        <v>11</v>
      </c>
      <c r="Y72" s="189">
        <v>1641</v>
      </c>
      <c r="Z72" s="191">
        <v>450</v>
      </c>
      <c r="AA72" s="189">
        <v>1807</v>
      </c>
      <c r="AB72" s="191">
        <v>479</v>
      </c>
      <c r="AC72" s="189">
        <v>1814</v>
      </c>
      <c r="AD72" s="191">
        <v>473</v>
      </c>
      <c r="AE72" s="189">
        <v>124</v>
      </c>
      <c r="AF72" s="190">
        <v>31</v>
      </c>
      <c r="AG72" s="191">
        <v>203</v>
      </c>
      <c r="AH72" s="136">
        <v>0.10115783059110299</v>
      </c>
      <c r="AI72" s="33">
        <v>0.10542352224253504</v>
      </c>
      <c r="AJ72" s="33">
        <v>3.87382401770891E-3</v>
      </c>
      <c r="AK72" s="33">
        <v>6.4444444444444443E-2</v>
      </c>
      <c r="AL72" s="33">
        <v>5.1111111111111114E-2</v>
      </c>
      <c r="AM72" s="33">
        <v>-1.2526096033402923E-2</v>
      </c>
      <c r="AN72" s="34">
        <v>3.5155038759689923</v>
      </c>
      <c r="AO72" s="33">
        <v>0.91666666666666663</v>
      </c>
      <c r="AP72" s="33">
        <v>6.0077519379844964E-2</v>
      </c>
      <c r="AQ72" s="33">
        <v>0.39341085271317827</v>
      </c>
      <c r="AR72" s="33">
        <v>0.10260869565217391</v>
      </c>
      <c r="AS72" s="136">
        <v>4.0697674418604654E-2</v>
      </c>
      <c r="AT72" s="35">
        <v>-3.875968992248062E-3</v>
      </c>
      <c r="AU72" s="30">
        <v>726</v>
      </c>
      <c r="AV72" s="30">
        <v>789</v>
      </c>
      <c r="AW72" s="31">
        <v>734</v>
      </c>
      <c r="AX72" s="136">
        <v>8.6776859504132234E-2</v>
      </c>
      <c r="AY72" s="33">
        <v>1.1019283746556474E-2</v>
      </c>
      <c r="AZ72" s="35">
        <v>-6.9708491761723695E-2</v>
      </c>
      <c r="BA72" s="29">
        <v>31</v>
      </c>
      <c r="BB72" s="31">
        <v>30</v>
      </c>
      <c r="BC72" s="29">
        <v>2</v>
      </c>
      <c r="BD72" s="31">
        <v>2</v>
      </c>
      <c r="BE72" s="29">
        <v>1096</v>
      </c>
      <c r="BF72" s="30">
        <v>1814</v>
      </c>
      <c r="BG72" s="33">
        <v>0.60418963616317534</v>
      </c>
      <c r="BH72" s="30">
        <v>453</v>
      </c>
      <c r="BI72" s="30">
        <v>734</v>
      </c>
      <c r="BJ72" s="35">
        <v>0.6171662125340599</v>
      </c>
    </row>
    <row r="73" spans="1:62" x14ac:dyDescent="0.25">
      <c r="A73" s="29"/>
      <c r="B73" s="30"/>
      <c r="C73" s="30"/>
      <c r="D73" s="30"/>
      <c r="E73" s="31" t="s">
        <v>148</v>
      </c>
      <c r="F73" s="188">
        <v>131</v>
      </c>
      <c r="G73" s="189">
        <v>117</v>
      </c>
      <c r="H73" s="190">
        <v>2</v>
      </c>
      <c r="I73" s="190">
        <v>119</v>
      </c>
      <c r="J73" s="191">
        <v>0</v>
      </c>
      <c r="K73" s="189">
        <v>0</v>
      </c>
      <c r="L73" s="190">
        <v>0</v>
      </c>
      <c r="M73" s="190">
        <v>3</v>
      </c>
      <c r="N73" s="190">
        <v>0</v>
      </c>
      <c r="O73" s="190">
        <v>0</v>
      </c>
      <c r="P73" s="190">
        <v>0</v>
      </c>
      <c r="Q73" s="190">
        <v>0</v>
      </c>
      <c r="R73" s="191">
        <v>9</v>
      </c>
      <c r="S73" s="188">
        <v>41</v>
      </c>
      <c r="T73" s="189">
        <v>21</v>
      </c>
      <c r="U73" s="190">
        <v>2</v>
      </c>
      <c r="V73" s="190">
        <v>0</v>
      </c>
      <c r="W73" s="190">
        <v>3</v>
      </c>
      <c r="X73" s="191">
        <v>16</v>
      </c>
      <c r="Y73" s="189">
        <v>358</v>
      </c>
      <c r="Z73" s="191">
        <v>106</v>
      </c>
      <c r="AA73" s="189">
        <v>283</v>
      </c>
      <c r="AB73" s="191">
        <v>95</v>
      </c>
      <c r="AC73" s="189">
        <v>304</v>
      </c>
      <c r="AD73" s="191">
        <v>92</v>
      </c>
      <c r="AE73" s="189">
        <v>43</v>
      </c>
      <c r="AF73" s="190">
        <v>17</v>
      </c>
      <c r="AG73" s="191">
        <v>40</v>
      </c>
      <c r="AH73" s="136">
        <v>-0.20949720670391062</v>
      </c>
      <c r="AI73" s="33">
        <v>-0.15083798882681565</v>
      </c>
      <c r="AJ73" s="33">
        <v>7.4204946996466431E-2</v>
      </c>
      <c r="AK73" s="33">
        <v>-0.10377358490566038</v>
      </c>
      <c r="AL73" s="33">
        <v>-0.13207547169811321</v>
      </c>
      <c r="AM73" s="33">
        <v>-3.1578947368421054E-2</v>
      </c>
      <c r="AN73" s="34">
        <v>2.5982905982905984</v>
      </c>
      <c r="AO73" s="33">
        <v>0.78632478632478631</v>
      </c>
      <c r="AP73" s="33">
        <v>0.14529914529914531</v>
      </c>
      <c r="AQ73" s="33">
        <v>0.34188034188034189</v>
      </c>
      <c r="AR73" s="33">
        <v>7.1428571428571425E-2</v>
      </c>
      <c r="AS73" s="136">
        <v>0.3504273504273504</v>
      </c>
      <c r="AT73" s="35">
        <v>0.17094017094017094</v>
      </c>
      <c r="AU73" s="30">
        <v>129</v>
      </c>
      <c r="AV73" s="30">
        <v>130</v>
      </c>
      <c r="AW73" s="31">
        <v>153</v>
      </c>
      <c r="AX73" s="136">
        <v>7.7519379844961239E-3</v>
      </c>
      <c r="AY73" s="33">
        <v>0.18604651162790697</v>
      </c>
      <c r="AZ73" s="35">
        <v>0.17692307692307693</v>
      </c>
      <c r="BA73" s="29">
        <v>34</v>
      </c>
      <c r="BB73" s="31">
        <v>32.5</v>
      </c>
      <c r="BC73" s="29">
        <v>3</v>
      </c>
      <c r="BD73" s="31">
        <v>3</v>
      </c>
      <c r="BE73" s="29">
        <v>139</v>
      </c>
      <c r="BF73" s="30">
        <v>304</v>
      </c>
      <c r="BG73" s="33">
        <v>0.45723684210526316</v>
      </c>
      <c r="BH73" s="30">
        <v>74</v>
      </c>
      <c r="BI73" s="30">
        <v>153</v>
      </c>
      <c r="BJ73" s="35">
        <v>0.48366013071895425</v>
      </c>
    </row>
    <row r="74" spans="1:62" x14ac:dyDescent="0.25">
      <c r="A74" s="29"/>
      <c r="B74" s="30"/>
      <c r="C74" s="30"/>
      <c r="D74" s="30"/>
      <c r="E74" s="31" t="s">
        <v>97</v>
      </c>
      <c r="F74" s="188">
        <v>41</v>
      </c>
      <c r="G74" s="189">
        <v>41</v>
      </c>
      <c r="H74" s="190">
        <v>0</v>
      </c>
      <c r="I74" s="190">
        <v>41</v>
      </c>
      <c r="J74" s="191">
        <v>0</v>
      </c>
      <c r="K74" s="189">
        <v>0</v>
      </c>
      <c r="L74" s="190">
        <v>0</v>
      </c>
      <c r="M74" s="190">
        <v>0</v>
      </c>
      <c r="N74" s="190">
        <v>0</v>
      </c>
      <c r="O74" s="190">
        <v>0</v>
      </c>
      <c r="P74" s="190">
        <v>0</v>
      </c>
      <c r="Q74" s="190">
        <v>0</v>
      </c>
      <c r="R74" s="191">
        <v>0</v>
      </c>
      <c r="S74" s="188">
        <v>0</v>
      </c>
      <c r="T74" s="189"/>
      <c r="U74" s="190"/>
      <c r="V74" s="190"/>
      <c r="W74" s="190"/>
      <c r="X74" s="191"/>
      <c r="Y74" s="189">
        <v>33</v>
      </c>
      <c r="Z74" s="191">
        <v>17</v>
      </c>
      <c r="AA74" s="189">
        <v>28</v>
      </c>
      <c r="AB74" s="191">
        <v>21</v>
      </c>
      <c r="AC74" s="189">
        <v>7</v>
      </c>
      <c r="AD74" s="191">
        <v>6</v>
      </c>
      <c r="AE74" s="189">
        <v>34</v>
      </c>
      <c r="AF74" s="190">
        <v>13</v>
      </c>
      <c r="AG74" s="191">
        <v>0</v>
      </c>
      <c r="AH74" s="136">
        <v>-0.15151515151515152</v>
      </c>
      <c r="AI74" s="33">
        <v>-0.78787878787878785</v>
      </c>
      <c r="AJ74" s="33">
        <v>-0.75</v>
      </c>
      <c r="AK74" s="33">
        <v>0.23529411764705882</v>
      </c>
      <c r="AL74" s="33">
        <v>-0.6470588235294118</v>
      </c>
      <c r="AM74" s="33">
        <v>-0.7142857142857143</v>
      </c>
      <c r="AN74" s="34">
        <v>0.17073170731707318</v>
      </c>
      <c r="AO74" s="33">
        <v>0.14634146341463414</v>
      </c>
      <c r="AP74" s="33">
        <v>0.31707317073170732</v>
      </c>
      <c r="AQ74" s="33">
        <v>0</v>
      </c>
      <c r="AR74" s="33">
        <v>0</v>
      </c>
      <c r="AS74" s="136">
        <v>0</v>
      </c>
      <c r="AT74" s="35">
        <v>0</v>
      </c>
      <c r="AU74" s="30">
        <v>20</v>
      </c>
      <c r="AV74" s="30">
        <v>15</v>
      </c>
      <c r="AW74" s="31">
        <v>7</v>
      </c>
      <c r="AX74" s="136">
        <v>-0.25</v>
      </c>
      <c r="AY74" s="33">
        <v>-0.65</v>
      </c>
      <c r="AZ74" s="35">
        <v>-0.53333333333333333</v>
      </c>
      <c r="BA74" s="29">
        <v>20</v>
      </c>
      <c r="BB74" s="31">
        <v>20</v>
      </c>
      <c r="BC74" s="29">
        <v>3</v>
      </c>
      <c r="BD74" s="31">
        <v>3</v>
      </c>
      <c r="BE74" s="29">
        <v>6</v>
      </c>
      <c r="BF74" s="30">
        <v>7</v>
      </c>
      <c r="BG74" s="33">
        <v>0.8571428571428571</v>
      </c>
      <c r="BH74" s="30">
        <v>6</v>
      </c>
      <c r="BI74" s="30">
        <v>7</v>
      </c>
      <c r="BJ74" s="35">
        <v>0.8571428571428571</v>
      </c>
    </row>
    <row r="75" spans="1:62" x14ac:dyDescent="0.25">
      <c r="A75" s="22"/>
      <c r="B75" s="23"/>
      <c r="C75" s="23"/>
      <c r="D75" s="23" t="s">
        <v>119</v>
      </c>
      <c r="E75" s="24"/>
      <c r="F75" s="184">
        <v>533</v>
      </c>
      <c r="G75" s="185">
        <v>406</v>
      </c>
      <c r="H75" s="186">
        <v>17</v>
      </c>
      <c r="I75" s="186">
        <v>423</v>
      </c>
      <c r="J75" s="187">
        <v>0</v>
      </c>
      <c r="K75" s="185">
        <v>0</v>
      </c>
      <c r="L75" s="186">
        <v>0</v>
      </c>
      <c r="M75" s="186">
        <v>16</v>
      </c>
      <c r="N75" s="186">
        <v>0</v>
      </c>
      <c r="O75" s="186">
        <v>0</v>
      </c>
      <c r="P75" s="186">
        <v>0</v>
      </c>
      <c r="Q75" s="186">
        <v>2</v>
      </c>
      <c r="R75" s="187">
        <v>28</v>
      </c>
      <c r="S75" s="184">
        <v>408</v>
      </c>
      <c r="T75" s="185">
        <v>613</v>
      </c>
      <c r="U75" s="186">
        <v>7</v>
      </c>
      <c r="V75" s="186">
        <v>2</v>
      </c>
      <c r="W75" s="186">
        <v>16</v>
      </c>
      <c r="X75" s="187">
        <v>588</v>
      </c>
      <c r="Y75" s="185">
        <v>3034</v>
      </c>
      <c r="Z75" s="187">
        <v>785</v>
      </c>
      <c r="AA75" s="185">
        <v>3252</v>
      </c>
      <c r="AB75" s="187">
        <v>785</v>
      </c>
      <c r="AC75" s="185">
        <v>3220</v>
      </c>
      <c r="AD75" s="187">
        <v>791</v>
      </c>
      <c r="AE75" s="185">
        <v>54</v>
      </c>
      <c r="AF75" s="186">
        <v>32</v>
      </c>
      <c r="AG75" s="187">
        <v>195</v>
      </c>
      <c r="AH75" s="135">
        <v>7.1852340145023078E-2</v>
      </c>
      <c r="AI75" s="26">
        <v>6.1305207646671064E-2</v>
      </c>
      <c r="AJ75" s="26">
        <v>-9.8400984009840101E-3</v>
      </c>
      <c r="AK75" s="26">
        <v>0</v>
      </c>
      <c r="AL75" s="26">
        <v>7.6433121019108281E-3</v>
      </c>
      <c r="AM75" s="26">
        <v>7.6433121019108281E-3</v>
      </c>
      <c r="AN75" s="27">
        <v>7.931034482758621</v>
      </c>
      <c r="AO75" s="26">
        <v>1.9482758620689655</v>
      </c>
      <c r="AP75" s="26">
        <v>7.8817733990147784E-2</v>
      </c>
      <c r="AQ75" s="26">
        <v>0.48029556650246308</v>
      </c>
      <c r="AR75" s="26">
        <v>6.4516129032258063E-2</v>
      </c>
      <c r="AS75" s="135">
        <v>1.0049261083743843</v>
      </c>
      <c r="AT75" s="28">
        <v>-0.50492610837438423</v>
      </c>
      <c r="AU75" s="23">
        <v>365</v>
      </c>
      <c r="AV75" s="23">
        <v>387</v>
      </c>
      <c r="AW75" s="24">
        <v>365</v>
      </c>
      <c r="AX75" s="135">
        <v>6.0273972602739728E-2</v>
      </c>
      <c r="AY75" s="26">
        <v>0</v>
      </c>
      <c r="AZ75" s="28">
        <v>-5.6847545219638244E-2</v>
      </c>
      <c r="BA75" s="22">
        <v>56</v>
      </c>
      <c r="BB75" s="24">
        <v>48</v>
      </c>
      <c r="BC75" s="22">
        <v>12</v>
      </c>
      <c r="BD75" s="24">
        <v>8</v>
      </c>
      <c r="BE75" s="22">
        <v>2254</v>
      </c>
      <c r="BF75" s="23">
        <v>3220</v>
      </c>
      <c r="BG75" s="26">
        <v>0.7</v>
      </c>
      <c r="BH75" s="23">
        <v>206</v>
      </c>
      <c r="BI75" s="23">
        <v>365</v>
      </c>
      <c r="BJ75" s="28">
        <v>0.56438356164383563</v>
      </c>
    </row>
    <row r="76" spans="1:62" x14ac:dyDescent="0.25">
      <c r="A76" s="29"/>
      <c r="B76" s="30"/>
      <c r="C76" s="30"/>
      <c r="D76" s="30"/>
      <c r="E76" s="31" t="s">
        <v>148</v>
      </c>
      <c r="F76" s="188">
        <v>533</v>
      </c>
      <c r="G76" s="189">
        <v>406</v>
      </c>
      <c r="H76" s="190">
        <v>17</v>
      </c>
      <c r="I76" s="190">
        <v>423</v>
      </c>
      <c r="J76" s="191">
        <v>0</v>
      </c>
      <c r="K76" s="189">
        <v>0</v>
      </c>
      <c r="L76" s="190">
        <v>0</v>
      </c>
      <c r="M76" s="190">
        <v>16</v>
      </c>
      <c r="N76" s="190">
        <v>0</v>
      </c>
      <c r="O76" s="190">
        <v>0</v>
      </c>
      <c r="P76" s="190">
        <v>0</v>
      </c>
      <c r="Q76" s="190">
        <v>2</v>
      </c>
      <c r="R76" s="191">
        <v>28</v>
      </c>
      <c r="S76" s="188">
        <v>408</v>
      </c>
      <c r="T76" s="189">
        <v>613</v>
      </c>
      <c r="U76" s="190">
        <v>7</v>
      </c>
      <c r="V76" s="190">
        <v>2</v>
      </c>
      <c r="W76" s="190">
        <v>16</v>
      </c>
      <c r="X76" s="191">
        <v>588</v>
      </c>
      <c r="Y76" s="189">
        <v>3034</v>
      </c>
      <c r="Z76" s="191">
        <v>785</v>
      </c>
      <c r="AA76" s="189">
        <v>3252</v>
      </c>
      <c r="AB76" s="191">
        <v>785</v>
      </c>
      <c r="AC76" s="189">
        <v>3220</v>
      </c>
      <c r="AD76" s="191">
        <v>791</v>
      </c>
      <c r="AE76" s="189">
        <v>54</v>
      </c>
      <c r="AF76" s="190">
        <v>32</v>
      </c>
      <c r="AG76" s="191">
        <v>195</v>
      </c>
      <c r="AH76" s="136">
        <v>7.1852340145023078E-2</v>
      </c>
      <c r="AI76" s="33">
        <v>6.1305207646671064E-2</v>
      </c>
      <c r="AJ76" s="33">
        <v>-9.8400984009840101E-3</v>
      </c>
      <c r="AK76" s="33">
        <v>0</v>
      </c>
      <c r="AL76" s="33">
        <v>7.6433121019108281E-3</v>
      </c>
      <c r="AM76" s="33">
        <v>7.6433121019108281E-3</v>
      </c>
      <c r="AN76" s="34">
        <v>7.931034482758621</v>
      </c>
      <c r="AO76" s="33">
        <v>1.9482758620689655</v>
      </c>
      <c r="AP76" s="33">
        <v>7.8817733990147784E-2</v>
      </c>
      <c r="AQ76" s="33">
        <v>0.48029556650246308</v>
      </c>
      <c r="AR76" s="33">
        <v>6.4516129032258063E-2</v>
      </c>
      <c r="AS76" s="136">
        <v>1.0049261083743843</v>
      </c>
      <c r="AT76" s="35">
        <v>-0.50492610837438423</v>
      </c>
      <c r="AU76" s="30">
        <v>365</v>
      </c>
      <c r="AV76" s="30">
        <v>387</v>
      </c>
      <c r="AW76" s="31">
        <v>365</v>
      </c>
      <c r="AX76" s="136">
        <v>6.0273972602739728E-2</v>
      </c>
      <c r="AY76" s="33">
        <v>0</v>
      </c>
      <c r="AZ76" s="35">
        <v>-5.6847545219638244E-2</v>
      </c>
      <c r="BA76" s="29">
        <v>56</v>
      </c>
      <c r="BB76" s="31">
        <v>48</v>
      </c>
      <c r="BC76" s="29">
        <v>12</v>
      </c>
      <c r="BD76" s="31">
        <v>8</v>
      </c>
      <c r="BE76" s="29">
        <v>2254</v>
      </c>
      <c r="BF76" s="30">
        <v>3220</v>
      </c>
      <c r="BG76" s="33">
        <v>0.7</v>
      </c>
      <c r="BH76" s="30">
        <v>206</v>
      </c>
      <c r="BI76" s="30">
        <v>365</v>
      </c>
      <c r="BJ76" s="35">
        <v>0.56438356164383563</v>
      </c>
    </row>
    <row r="77" spans="1:62" x14ac:dyDescent="0.25">
      <c r="A77" s="22"/>
      <c r="B77" s="23"/>
      <c r="C77" s="23"/>
      <c r="D77" s="23" t="s">
        <v>120</v>
      </c>
      <c r="E77" s="24"/>
      <c r="F77" s="184">
        <v>815</v>
      </c>
      <c r="G77" s="185">
        <v>702</v>
      </c>
      <c r="H77" s="186">
        <v>5</v>
      </c>
      <c r="I77" s="186">
        <v>705</v>
      </c>
      <c r="J77" s="187">
        <v>2</v>
      </c>
      <c r="K77" s="185">
        <v>0</v>
      </c>
      <c r="L77" s="186">
        <v>1</v>
      </c>
      <c r="M77" s="186">
        <v>6</v>
      </c>
      <c r="N77" s="186">
        <v>0</v>
      </c>
      <c r="O77" s="186">
        <v>0</v>
      </c>
      <c r="P77" s="186">
        <v>0</v>
      </c>
      <c r="Q77" s="186">
        <v>38</v>
      </c>
      <c r="R77" s="187">
        <v>61</v>
      </c>
      <c r="S77" s="184">
        <v>48</v>
      </c>
      <c r="T77" s="185">
        <v>90</v>
      </c>
      <c r="U77" s="186">
        <v>3</v>
      </c>
      <c r="V77" s="186">
        <v>3</v>
      </c>
      <c r="W77" s="186">
        <v>4</v>
      </c>
      <c r="X77" s="187">
        <v>80</v>
      </c>
      <c r="Y77" s="185">
        <v>1834</v>
      </c>
      <c r="Z77" s="187">
        <v>547</v>
      </c>
      <c r="AA77" s="185">
        <v>1761</v>
      </c>
      <c r="AB77" s="187">
        <v>526</v>
      </c>
      <c r="AC77" s="185">
        <v>1851</v>
      </c>
      <c r="AD77" s="187">
        <v>525</v>
      </c>
      <c r="AE77" s="185">
        <v>301</v>
      </c>
      <c r="AF77" s="186">
        <v>125</v>
      </c>
      <c r="AG77" s="187">
        <v>255</v>
      </c>
      <c r="AH77" s="135">
        <v>-3.9803707742639041E-2</v>
      </c>
      <c r="AI77" s="26">
        <v>9.2693565976008727E-3</v>
      </c>
      <c r="AJ77" s="26">
        <v>5.1107325383304938E-2</v>
      </c>
      <c r="AK77" s="26">
        <v>-3.8391224862888484E-2</v>
      </c>
      <c r="AL77" s="26">
        <v>-4.0219378427787937E-2</v>
      </c>
      <c r="AM77" s="26">
        <v>-1.9011406844106464E-3</v>
      </c>
      <c r="AN77" s="27">
        <v>2.6367521367521367</v>
      </c>
      <c r="AO77" s="26">
        <v>0.74786324786324787</v>
      </c>
      <c r="AP77" s="26">
        <v>0.17806267806267806</v>
      </c>
      <c r="AQ77" s="26">
        <v>0.36324786324786323</v>
      </c>
      <c r="AR77" s="26">
        <v>7.9947575360419396E-2</v>
      </c>
      <c r="AS77" s="135">
        <v>6.8376068376068383E-2</v>
      </c>
      <c r="AT77" s="28">
        <v>-5.9829059829059832E-2</v>
      </c>
      <c r="AU77" s="23">
        <v>636</v>
      </c>
      <c r="AV77" s="23">
        <v>669</v>
      </c>
      <c r="AW77" s="24">
        <v>690</v>
      </c>
      <c r="AX77" s="135">
        <v>5.1886792452830191E-2</v>
      </c>
      <c r="AY77" s="26">
        <v>8.4905660377358486E-2</v>
      </c>
      <c r="AZ77" s="28">
        <v>3.1390134529147982E-2</v>
      </c>
      <c r="BA77" s="22">
        <v>42</v>
      </c>
      <c r="BB77" s="24">
        <v>39</v>
      </c>
      <c r="BC77" s="22">
        <v>3</v>
      </c>
      <c r="BD77" s="24">
        <v>4</v>
      </c>
      <c r="BE77" s="22">
        <v>1100</v>
      </c>
      <c r="BF77" s="23">
        <v>1851</v>
      </c>
      <c r="BG77" s="26">
        <v>0.59427336574824419</v>
      </c>
      <c r="BH77" s="23">
        <v>406</v>
      </c>
      <c r="BI77" s="23">
        <v>690</v>
      </c>
      <c r="BJ77" s="28">
        <v>0.58840579710144925</v>
      </c>
    </row>
    <row r="78" spans="1:62" x14ac:dyDescent="0.25">
      <c r="A78" s="29"/>
      <c r="B78" s="30"/>
      <c r="C78" s="30"/>
      <c r="D78" s="30"/>
      <c r="E78" s="31" t="s">
        <v>68</v>
      </c>
      <c r="F78" s="188">
        <v>740</v>
      </c>
      <c r="G78" s="189">
        <v>636</v>
      </c>
      <c r="H78" s="190">
        <v>0</v>
      </c>
      <c r="I78" s="190">
        <v>634</v>
      </c>
      <c r="J78" s="191">
        <v>2</v>
      </c>
      <c r="K78" s="189">
        <v>0</v>
      </c>
      <c r="L78" s="190">
        <v>1</v>
      </c>
      <c r="M78" s="190">
        <v>6</v>
      </c>
      <c r="N78" s="190">
        <v>0</v>
      </c>
      <c r="O78" s="190">
        <v>0</v>
      </c>
      <c r="P78" s="190">
        <v>0</v>
      </c>
      <c r="Q78" s="190">
        <v>38</v>
      </c>
      <c r="R78" s="191">
        <v>57</v>
      </c>
      <c r="S78" s="188">
        <v>23</v>
      </c>
      <c r="T78" s="189">
        <v>81</v>
      </c>
      <c r="U78" s="190">
        <v>2</v>
      </c>
      <c r="V78" s="190">
        <v>3</v>
      </c>
      <c r="W78" s="190">
        <v>4</v>
      </c>
      <c r="X78" s="191">
        <v>72</v>
      </c>
      <c r="Y78" s="189">
        <v>1555</v>
      </c>
      <c r="Z78" s="191">
        <v>491</v>
      </c>
      <c r="AA78" s="189">
        <v>1466</v>
      </c>
      <c r="AB78" s="191">
        <v>464</v>
      </c>
      <c r="AC78" s="189">
        <v>1542</v>
      </c>
      <c r="AD78" s="191">
        <v>469</v>
      </c>
      <c r="AE78" s="189">
        <v>277</v>
      </c>
      <c r="AF78" s="190">
        <v>113</v>
      </c>
      <c r="AG78" s="191">
        <v>228</v>
      </c>
      <c r="AH78" s="136">
        <v>-5.7234726688102894E-2</v>
      </c>
      <c r="AI78" s="33">
        <v>-8.3601286173633441E-3</v>
      </c>
      <c r="AJ78" s="33">
        <v>5.1841746248294678E-2</v>
      </c>
      <c r="AK78" s="33">
        <v>-5.4989816700610997E-2</v>
      </c>
      <c r="AL78" s="33">
        <v>-4.4806517311608958E-2</v>
      </c>
      <c r="AM78" s="33">
        <v>1.0775862068965518E-2</v>
      </c>
      <c r="AN78" s="34">
        <v>2.4245283018867925</v>
      </c>
      <c r="AO78" s="33">
        <v>0.73742138364779874</v>
      </c>
      <c r="AP78" s="33">
        <v>0.17767295597484276</v>
      </c>
      <c r="AQ78" s="33">
        <v>0.35849056603773582</v>
      </c>
      <c r="AR78" s="33">
        <v>8.2251082251082255E-2</v>
      </c>
      <c r="AS78" s="136">
        <v>3.6163522012578615E-2</v>
      </c>
      <c r="AT78" s="35">
        <v>-9.1194968553459113E-2</v>
      </c>
      <c r="AU78" s="30">
        <v>572</v>
      </c>
      <c r="AV78" s="30">
        <v>572</v>
      </c>
      <c r="AW78" s="31">
        <v>606</v>
      </c>
      <c r="AX78" s="136">
        <v>0</v>
      </c>
      <c r="AY78" s="33">
        <v>5.944055944055944E-2</v>
      </c>
      <c r="AZ78" s="35">
        <v>5.944055944055944E-2</v>
      </c>
      <c r="BA78" s="29">
        <v>41</v>
      </c>
      <c r="BB78" s="31">
        <v>39</v>
      </c>
      <c r="BC78" s="29">
        <v>3</v>
      </c>
      <c r="BD78" s="31">
        <v>3</v>
      </c>
      <c r="BE78" s="29">
        <v>911</v>
      </c>
      <c r="BF78" s="30">
        <v>1542</v>
      </c>
      <c r="BG78" s="33">
        <v>0.59079118028534372</v>
      </c>
      <c r="BH78" s="30">
        <v>354</v>
      </c>
      <c r="BI78" s="30">
        <v>606</v>
      </c>
      <c r="BJ78" s="35">
        <v>0.58415841584158412</v>
      </c>
    </row>
    <row r="79" spans="1:62" x14ac:dyDescent="0.25">
      <c r="A79" s="29"/>
      <c r="B79" s="30"/>
      <c r="C79" s="30"/>
      <c r="D79" s="30"/>
      <c r="E79" s="31" t="s">
        <v>148</v>
      </c>
      <c r="F79" s="188">
        <v>56</v>
      </c>
      <c r="G79" s="189">
        <v>47</v>
      </c>
      <c r="H79" s="190">
        <v>5</v>
      </c>
      <c r="I79" s="190">
        <v>52</v>
      </c>
      <c r="J79" s="191">
        <v>0</v>
      </c>
      <c r="K79" s="189">
        <v>0</v>
      </c>
      <c r="L79" s="190">
        <v>0</v>
      </c>
      <c r="M79" s="190">
        <v>0</v>
      </c>
      <c r="N79" s="190">
        <v>0</v>
      </c>
      <c r="O79" s="190">
        <v>0</v>
      </c>
      <c r="P79" s="190">
        <v>0</v>
      </c>
      <c r="Q79" s="190">
        <v>0</v>
      </c>
      <c r="R79" s="191">
        <v>4</v>
      </c>
      <c r="S79" s="188">
        <v>24</v>
      </c>
      <c r="T79" s="189">
        <v>9</v>
      </c>
      <c r="U79" s="190">
        <v>1</v>
      </c>
      <c r="V79" s="190">
        <v>0</v>
      </c>
      <c r="W79" s="190">
        <v>0</v>
      </c>
      <c r="X79" s="191">
        <v>8</v>
      </c>
      <c r="Y79" s="189">
        <v>256</v>
      </c>
      <c r="Z79" s="191">
        <v>46</v>
      </c>
      <c r="AA79" s="189">
        <v>280</v>
      </c>
      <c r="AB79" s="191">
        <v>53</v>
      </c>
      <c r="AC79" s="189">
        <v>298</v>
      </c>
      <c r="AD79" s="191">
        <v>50</v>
      </c>
      <c r="AE79" s="189">
        <v>11</v>
      </c>
      <c r="AF79" s="190">
        <v>7</v>
      </c>
      <c r="AG79" s="191">
        <v>25</v>
      </c>
      <c r="AH79" s="136">
        <v>9.375E-2</v>
      </c>
      <c r="AI79" s="33">
        <v>0.1640625</v>
      </c>
      <c r="AJ79" s="33">
        <v>6.4285714285714279E-2</v>
      </c>
      <c r="AK79" s="33">
        <v>0.15217391304347827</v>
      </c>
      <c r="AL79" s="33">
        <v>8.6956521739130432E-2</v>
      </c>
      <c r="AM79" s="33">
        <v>-5.6603773584905662E-2</v>
      </c>
      <c r="AN79" s="34">
        <v>6.3404255319148932</v>
      </c>
      <c r="AO79" s="33">
        <v>1.0638297872340425</v>
      </c>
      <c r="AP79" s="33">
        <v>0.14893617021276595</v>
      </c>
      <c r="AQ79" s="33">
        <v>0.53191489361702127</v>
      </c>
      <c r="AR79" s="33">
        <v>7.8431372549019607E-2</v>
      </c>
      <c r="AS79" s="136">
        <v>0.51063829787234039</v>
      </c>
      <c r="AT79" s="35">
        <v>0.31914893617021278</v>
      </c>
      <c r="AU79" s="30">
        <v>115</v>
      </c>
      <c r="AV79" s="30">
        <v>134</v>
      </c>
      <c r="AW79" s="31">
        <v>131</v>
      </c>
      <c r="AX79" s="136">
        <v>0.16521739130434782</v>
      </c>
      <c r="AY79" s="33">
        <v>0.1391304347826087</v>
      </c>
      <c r="AZ79" s="35">
        <v>-2.2388059701492536E-2</v>
      </c>
      <c r="BA79" s="29">
        <v>50</v>
      </c>
      <c r="BB79" s="31">
        <v>46</v>
      </c>
      <c r="BC79" s="29">
        <v>7</v>
      </c>
      <c r="BD79" s="31">
        <v>7</v>
      </c>
      <c r="BE79" s="29">
        <v>180</v>
      </c>
      <c r="BF79" s="30">
        <v>298</v>
      </c>
      <c r="BG79" s="33">
        <v>0.60402684563758391</v>
      </c>
      <c r="BH79" s="30">
        <v>71</v>
      </c>
      <c r="BI79" s="30">
        <v>131</v>
      </c>
      <c r="BJ79" s="35">
        <v>0.5419847328244275</v>
      </c>
    </row>
    <row r="80" spans="1:62" x14ac:dyDescent="0.25">
      <c r="A80" s="29"/>
      <c r="B80" s="30"/>
      <c r="C80" s="30"/>
      <c r="D80" s="30"/>
      <c r="E80" s="31" t="s">
        <v>97</v>
      </c>
      <c r="F80" s="188">
        <v>19</v>
      </c>
      <c r="G80" s="189">
        <v>19</v>
      </c>
      <c r="H80" s="190">
        <v>0</v>
      </c>
      <c r="I80" s="190">
        <v>19</v>
      </c>
      <c r="J80" s="191">
        <v>0</v>
      </c>
      <c r="K80" s="189">
        <v>0</v>
      </c>
      <c r="L80" s="190">
        <v>0</v>
      </c>
      <c r="M80" s="190">
        <v>0</v>
      </c>
      <c r="N80" s="190">
        <v>0</v>
      </c>
      <c r="O80" s="190">
        <v>0</v>
      </c>
      <c r="P80" s="190">
        <v>0</v>
      </c>
      <c r="Q80" s="190">
        <v>0</v>
      </c>
      <c r="R80" s="191">
        <v>0</v>
      </c>
      <c r="S80" s="188">
        <v>1</v>
      </c>
      <c r="T80" s="189"/>
      <c r="U80" s="190"/>
      <c r="V80" s="190"/>
      <c r="W80" s="190"/>
      <c r="X80" s="191"/>
      <c r="Y80" s="189">
        <v>23</v>
      </c>
      <c r="Z80" s="191">
        <v>10</v>
      </c>
      <c r="AA80" s="189">
        <v>15</v>
      </c>
      <c r="AB80" s="191">
        <v>9</v>
      </c>
      <c r="AC80" s="189">
        <v>11</v>
      </c>
      <c r="AD80" s="191">
        <v>6</v>
      </c>
      <c r="AE80" s="189">
        <v>13</v>
      </c>
      <c r="AF80" s="190">
        <v>5</v>
      </c>
      <c r="AG80" s="191">
        <v>2</v>
      </c>
      <c r="AH80" s="136">
        <v>-0.34782608695652173</v>
      </c>
      <c r="AI80" s="33">
        <v>-0.52173913043478259</v>
      </c>
      <c r="AJ80" s="33">
        <v>-0.26666666666666666</v>
      </c>
      <c r="AK80" s="33">
        <v>-0.1</v>
      </c>
      <c r="AL80" s="33">
        <v>-0.4</v>
      </c>
      <c r="AM80" s="33">
        <v>-0.33333333333333331</v>
      </c>
      <c r="AN80" s="34">
        <v>0.57894736842105265</v>
      </c>
      <c r="AO80" s="33">
        <v>0.31578947368421051</v>
      </c>
      <c r="AP80" s="33">
        <v>0.26315789473684209</v>
      </c>
      <c r="AQ80" s="33">
        <v>0.10526315789473684</v>
      </c>
      <c r="AR80" s="33">
        <v>0</v>
      </c>
      <c r="AS80" s="136">
        <v>5.2631578947368418E-2</v>
      </c>
      <c r="AT80" s="35">
        <v>5.2631578947368418E-2</v>
      </c>
      <c r="AU80" s="30">
        <v>13</v>
      </c>
      <c r="AV80" s="30">
        <v>11</v>
      </c>
      <c r="AW80" s="31">
        <v>11</v>
      </c>
      <c r="AX80" s="136">
        <v>-0.15384615384615385</v>
      </c>
      <c r="AY80" s="33">
        <v>-0.15384615384615385</v>
      </c>
      <c r="AZ80" s="35">
        <v>0</v>
      </c>
      <c r="BA80" s="29">
        <v>49</v>
      </c>
      <c r="BB80" s="31">
        <v>49</v>
      </c>
      <c r="BC80" s="29">
        <v>3</v>
      </c>
      <c r="BD80" s="31">
        <v>3</v>
      </c>
      <c r="BE80" s="29">
        <v>9</v>
      </c>
      <c r="BF80" s="30">
        <v>11</v>
      </c>
      <c r="BG80" s="33">
        <v>0.81818181818181823</v>
      </c>
      <c r="BH80" s="30">
        <v>9</v>
      </c>
      <c r="BI80" s="30">
        <v>11</v>
      </c>
      <c r="BJ80" s="35">
        <v>0.81818181818181823</v>
      </c>
    </row>
    <row r="81" spans="1:62" x14ac:dyDescent="0.25">
      <c r="A81" s="22"/>
      <c r="B81" s="23"/>
      <c r="C81" s="23"/>
      <c r="D81" s="23" t="s">
        <v>121</v>
      </c>
      <c r="E81" s="24"/>
      <c r="F81" s="184">
        <v>978</v>
      </c>
      <c r="G81" s="185">
        <v>827</v>
      </c>
      <c r="H81" s="186">
        <v>23</v>
      </c>
      <c r="I81" s="186">
        <v>850</v>
      </c>
      <c r="J81" s="187">
        <v>0</v>
      </c>
      <c r="K81" s="185">
        <v>0</v>
      </c>
      <c r="L81" s="186">
        <v>2</v>
      </c>
      <c r="M81" s="186">
        <v>8</v>
      </c>
      <c r="N81" s="186">
        <v>3</v>
      </c>
      <c r="O81" s="186">
        <v>9</v>
      </c>
      <c r="P81" s="186">
        <v>0</v>
      </c>
      <c r="Q81" s="186">
        <v>12</v>
      </c>
      <c r="R81" s="187">
        <v>24</v>
      </c>
      <c r="S81" s="184">
        <v>208</v>
      </c>
      <c r="T81" s="185">
        <v>334</v>
      </c>
      <c r="U81" s="186">
        <v>0</v>
      </c>
      <c r="V81" s="186">
        <v>9</v>
      </c>
      <c r="W81" s="186">
        <v>5</v>
      </c>
      <c r="X81" s="187">
        <v>320</v>
      </c>
      <c r="Y81" s="185">
        <v>1254</v>
      </c>
      <c r="Z81" s="187">
        <v>554</v>
      </c>
      <c r="AA81" s="185">
        <v>1305</v>
      </c>
      <c r="AB81" s="187">
        <v>598</v>
      </c>
      <c r="AC81" s="185">
        <v>1233</v>
      </c>
      <c r="AD81" s="187">
        <v>556</v>
      </c>
      <c r="AE81" s="185">
        <v>464</v>
      </c>
      <c r="AF81" s="186">
        <v>209</v>
      </c>
      <c r="AG81" s="187">
        <v>111</v>
      </c>
      <c r="AH81" s="135">
        <v>4.0669856459330141E-2</v>
      </c>
      <c r="AI81" s="26">
        <v>-1.6746411483253589E-2</v>
      </c>
      <c r="AJ81" s="26">
        <v>-5.5172413793103448E-2</v>
      </c>
      <c r="AK81" s="26">
        <v>7.9422382671480149E-2</v>
      </c>
      <c r="AL81" s="26">
        <v>3.6101083032490976E-3</v>
      </c>
      <c r="AM81" s="26">
        <v>-7.0234113712374577E-2</v>
      </c>
      <c r="AN81" s="27">
        <v>1.49093107617896</v>
      </c>
      <c r="AO81" s="26">
        <v>0.67230955259975811</v>
      </c>
      <c r="AP81" s="26">
        <v>0.25272067714631197</v>
      </c>
      <c r="AQ81" s="26">
        <v>0.13422007255139057</v>
      </c>
      <c r="AR81" s="26">
        <v>2.8202115158636899E-2</v>
      </c>
      <c r="AS81" s="135">
        <v>0.25151148730350664</v>
      </c>
      <c r="AT81" s="28">
        <v>-0.15235792019347039</v>
      </c>
      <c r="AU81" s="23">
        <v>382</v>
      </c>
      <c r="AV81" s="23">
        <v>416</v>
      </c>
      <c r="AW81" s="24">
        <v>394</v>
      </c>
      <c r="AX81" s="135">
        <v>8.9005235602094238E-2</v>
      </c>
      <c r="AY81" s="26">
        <v>3.1413612565445025E-2</v>
      </c>
      <c r="AZ81" s="28">
        <v>-5.2884615384615384E-2</v>
      </c>
      <c r="BA81" s="22">
        <v>41</v>
      </c>
      <c r="BB81" s="24">
        <v>38</v>
      </c>
      <c r="BC81" s="22">
        <v>7</v>
      </c>
      <c r="BD81" s="24">
        <v>4</v>
      </c>
      <c r="BE81" s="22">
        <v>725</v>
      </c>
      <c r="BF81" s="23">
        <v>1233</v>
      </c>
      <c r="BG81" s="26">
        <v>0.58799675587996758</v>
      </c>
      <c r="BH81" s="23">
        <v>233</v>
      </c>
      <c r="BI81" s="23">
        <v>394</v>
      </c>
      <c r="BJ81" s="28">
        <v>0.59137055837563457</v>
      </c>
    </row>
    <row r="82" spans="1:62" x14ac:dyDescent="0.25">
      <c r="A82" s="29"/>
      <c r="B82" s="30"/>
      <c r="C82" s="30"/>
      <c r="D82" s="30"/>
      <c r="E82" s="31" t="s">
        <v>68</v>
      </c>
      <c r="F82" s="188">
        <v>526</v>
      </c>
      <c r="G82" s="189">
        <v>501</v>
      </c>
      <c r="H82" s="190">
        <v>0</v>
      </c>
      <c r="I82" s="190">
        <v>501</v>
      </c>
      <c r="J82" s="191">
        <v>0</v>
      </c>
      <c r="K82" s="189">
        <v>0</v>
      </c>
      <c r="L82" s="190">
        <v>2</v>
      </c>
      <c r="M82" s="190">
        <v>4</v>
      </c>
      <c r="N82" s="190">
        <v>1</v>
      </c>
      <c r="O82" s="190">
        <v>1</v>
      </c>
      <c r="P82" s="190">
        <v>0</v>
      </c>
      <c r="Q82" s="190">
        <v>8</v>
      </c>
      <c r="R82" s="191">
        <v>9</v>
      </c>
      <c r="S82" s="188">
        <v>29</v>
      </c>
      <c r="T82" s="189">
        <v>124</v>
      </c>
      <c r="U82" s="190">
        <v>0</v>
      </c>
      <c r="V82" s="190">
        <v>5</v>
      </c>
      <c r="W82" s="190">
        <v>1</v>
      </c>
      <c r="X82" s="191">
        <v>118</v>
      </c>
      <c r="Y82" s="189">
        <v>549</v>
      </c>
      <c r="Z82" s="191">
        <v>247</v>
      </c>
      <c r="AA82" s="189">
        <v>549</v>
      </c>
      <c r="AB82" s="191">
        <v>265</v>
      </c>
      <c r="AC82" s="189">
        <v>550</v>
      </c>
      <c r="AD82" s="191">
        <v>262</v>
      </c>
      <c r="AE82" s="189">
        <v>273</v>
      </c>
      <c r="AF82" s="190">
        <v>124</v>
      </c>
      <c r="AG82" s="191">
        <v>53</v>
      </c>
      <c r="AH82" s="136">
        <v>0</v>
      </c>
      <c r="AI82" s="33">
        <v>1.8214936247723133E-3</v>
      </c>
      <c r="AJ82" s="33">
        <v>1.8214936247723133E-3</v>
      </c>
      <c r="AK82" s="33">
        <v>7.28744939271255E-2</v>
      </c>
      <c r="AL82" s="33">
        <v>6.0728744939271252E-2</v>
      </c>
      <c r="AM82" s="33">
        <v>-1.1320754716981131E-2</v>
      </c>
      <c r="AN82" s="34">
        <v>1.0978043912175648</v>
      </c>
      <c r="AO82" s="33">
        <v>0.52295409181636732</v>
      </c>
      <c r="AP82" s="33">
        <v>0.24750499001996007</v>
      </c>
      <c r="AQ82" s="33">
        <v>0.10578842315369262</v>
      </c>
      <c r="AR82" s="33">
        <v>1.7647058823529412E-2</v>
      </c>
      <c r="AS82" s="136">
        <v>5.7884231536926151E-2</v>
      </c>
      <c r="AT82" s="35">
        <v>-0.18962075848303392</v>
      </c>
      <c r="AU82" s="30">
        <v>253</v>
      </c>
      <c r="AV82" s="30">
        <v>267</v>
      </c>
      <c r="AW82" s="31">
        <v>276</v>
      </c>
      <c r="AX82" s="136">
        <v>5.533596837944664E-2</v>
      </c>
      <c r="AY82" s="33">
        <v>9.0909090909090912E-2</v>
      </c>
      <c r="AZ82" s="35">
        <v>3.3707865168539325E-2</v>
      </c>
      <c r="BA82" s="29">
        <v>39</v>
      </c>
      <c r="BB82" s="31">
        <v>37</v>
      </c>
      <c r="BC82" s="29">
        <v>4</v>
      </c>
      <c r="BD82" s="31">
        <v>4</v>
      </c>
      <c r="BE82" s="29">
        <v>302</v>
      </c>
      <c r="BF82" s="30">
        <v>550</v>
      </c>
      <c r="BG82" s="33">
        <v>0.54909090909090907</v>
      </c>
      <c r="BH82" s="30">
        <v>156</v>
      </c>
      <c r="BI82" s="30">
        <v>276</v>
      </c>
      <c r="BJ82" s="35">
        <v>0.56521739130434778</v>
      </c>
    </row>
    <row r="83" spans="1:62" x14ac:dyDescent="0.25">
      <c r="A83" s="29"/>
      <c r="B83" s="30"/>
      <c r="C83" s="30"/>
      <c r="D83" s="30"/>
      <c r="E83" s="31" t="s">
        <v>148</v>
      </c>
      <c r="F83" s="188">
        <v>393</v>
      </c>
      <c r="G83" s="189">
        <v>271</v>
      </c>
      <c r="H83" s="190">
        <v>23</v>
      </c>
      <c r="I83" s="190">
        <v>294</v>
      </c>
      <c r="J83" s="191">
        <v>0</v>
      </c>
      <c r="K83" s="189">
        <v>0</v>
      </c>
      <c r="L83" s="190">
        <v>0</v>
      </c>
      <c r="M83" s="190">
        <v>4</v>
      </c>
      <c r="N83" s="190">
        <v>0</v>
      </c>
      <c r="O83" s="190">
        <v>8</v>
      </c>
      <c r="P83" s="190">
        <v>0</v>
      </c>
      <c r="Q83" s="190">
        <v>3</v>
      </c>
      <c r="R83" s="191">
        <v>14</v>
      </c>
      <c r="S83" s="188">
        <v>178</v>
      </c>
      <c r="T83" s="189">
        <v>209</v>
      </c>
      <c r="U83" s="190">
        <v>0</v>
      </c>
      <c r="V83" s="190">
        <v>3</v>
      </c>
      <c r="W83" s="190">
        <v>4</v>
      </c>
      <c r="X83" s="191">
        <v>202</v>
      </c>
      <c r="Y83" s="189">
        <v>668</v>
      </c>
      <c r="Z83" s="191">
        <v>289</v>
      </c>
      <c r="AA83" s="189">
        <v>683</v>
      </c>
      <c r="AB83" s="191">
        <v>296</v>
      </c>
      <c r="AC83" s="189">
        <v>629</v>
      </c>
      <c r="AD83" s="191">
        <v>266</v>
      </c>
      <c r="AE83" s="189">
        <v>160</v>
      </c>
      <c r="AF83" s="190">
        <v>74</v>
      </c>
      <c r="AG83" s="191">
        <v>52</v>
      </c>
      <c r="AH83" s="136">
        <v>2.2455089820359281E-2</v>
      </c>
      <c r="AI83" s="33">
        <v>-5.8383233532934134E-2</v>
      </c>
      <c r="AJ83" s="33">
        <v>-7.9062957540263545E-2</v>
      </c>
      <c r="AK83" s="33">
        <v>2.4221453287197232E-2</v>
      </c>
      <c r="AL83" s="33">
        <v>-7.9584775086505188E-2</v>
      </c>
      <c r="AM83" s="33">
        <v>-0.10135135135135136</v>
      </c>
      <c r="AN83" s="34">
        <v>2.3210332103321032</v>
      </c>
      <c r="AO83" s="33">
        <v>0.98154981549815501</v>
      </c>
      <c r="AP83" s="33">
        <v>0.27306273062730629</v>
      </c>
      <c r="AQ83" s="33">
        <v>0.1918819188191882</v>
      </c>
      <c r="AR83" s="33">
        <v>4.912280701754386E-2</v>
      </c>
      <c r="AS83" s="136">
        <v>0.65682656826568264</v>
      </c>
      <c r="AT83" s="35">
        <v>-0.11439114391143912</v>
      </c>
      <c r="AU83" s="30">
        <v>154</v>
      </c>
      <c r="AV83" s="30">
        <v>161</v>
      </c>
      <c r="AW83" s="31">
        <v>144</v>
      </c>
      <c r="AX83" s="136">
        <v>4.5454545454545456E-2</v>
      </c>
      <c r="AY83" s="33">
        <v>-6.4935064935064929E-2</v>
      </c>
      <c r="AZ83" s="35">
        <v>-0.10559006211180125</v>
      </c>
      <c r="BA83" s="29">
        <v>44</v>
      </c>
      <c r="BB83" s="31">
        <v>36</v>
      </c>
      <c r="BC83" s="29">
        <v>9</v>
      </c>
      <c r="BD83" s="31">
        <v>5</v>
      </c>
      <c r="BE83" s="29">
        <v>390</v>
      </c>
      <c r="BF83" s="30">
        <v>629</v>
      </c>
      <c r="BG83" s="33">
        <v>0.62003179650238471</v>
      </c>
      <c r="BH83" s="30">
        <v>80</v>
      </c>
      <c r="BI83" s="30">
        <v>144</v>
      </c>
      <c r="BJ83" s="35">
        <v>0.55555555555555558</v>
      </c>
    </row>
    <row r="84" spans="1:62" x14ac:dyDescent="0.25">
      <c r="A84" s="29"/>
      <c r="B84" s="30"/>
      <c r="C84" s="30"/>
      <c r="D84" s="30"/>
      <c r="E84" s="31" t="s">
        <v>97</v>
      </c>
      <c r="F84" s="188">
        <v>59</v>
      </c>
      <c r="G84" s="189">
        <v>55</v>
      </c>
      <c r="H84" s="190">
        <v>0</v>
      </c>
      <c r="I84" s="190">
        <v>55</v>
      </c>
      <c r="J84" s="191">
        <v>0</v>
      </c>
      <c r="K84" s="189">
        <v>0</v>
      </c>
      <c r="L84" s="190">
        <v>0</v>
      </c>
      <c r="M84" s="190">
        <v>0</v>
      </c>
      <c r="N84" s="190">
        <v>2</v>
      </c>
      <c r="O84" s="190">
        <v>0</v>
      </c>
      <c r="P84" s="190">
        <v>0</v>
      </c>
      <c r="Q84" s="190">
        <v>1</v>
      </c>
      <c r="R84" s="191">
        <v>1</v>
      </c>
      <c r="S84" s="188">
        <v>1</v>
      </c>
      <c r="T84" s="189">
        <v>1</v>
      </c>
      <c r="U84" s="190">
        <v>0</v>
      </c>
      <c r="V84" s="190">
        <v>1</v>
      </c>
      <c r="W84" s="190">
        <v>0</v>
      </c>
      <c r="X84" s="191">
        <v>0</v>
      </c>
      <c r="Y84" s="189">
        <v>37</v>
      </c>
      <c r="Z84" s="191">
        <v>18</v>
      </c>
      <c r="AA84" s="189">
        <v>73</v>
      </c>
      <c r="AB84" s="191">
        <v>37</v>
      </c>
      <c r="AC84" s="189">
        <v>54</v>
      </c>
      <c r="AD84" s="191">
        <v>28</v>
      </c>
      <c r="AE84" s="189">
        <v>31</v>
      </c>
      <c r="AF84" s="190">
        <v>11</v>
      </c>
      <c r="AG84" s="191">
        <v>6</v>
      </c>
      <c r="AH84" s="136">
        <v>0.97297297297297303</v>
      </c>
      <c r="AI84" s="33">
        <v>0.45945945945945948</v>
      </c>
      <c r="AJ84" s="33">
        <v>-0.26027397260273971</v>
      </c>
      <c r="AK84" s="33">
        <v>1.0555555555555556</v>
      </c>
      <c r="AL84" s="33">
        <v>0.55555555555555558</v>
      </c>
      <c r="AM84" s="33">
        <v>-0.24324324324324326</v>
      </c>
      <c r="AN84" s="34">
        <v>0.98181818181818181</v>
      </c>
      <c r="AO84" s="33">
        <v>0.50909090909090904</v>
      </c>
      <c r="AP84" s="33">
        <v>0.2</v>
      </c>
      <c r="AQ84" s="33">
        <v>0.10909090909090909</v>
      </c>
      <c r="AR84" s="33">
        <v>1.7857142857142856E-2</v>
      </c>
      <c r="AS84" s="136">
        <v>1.8181818181818181E-2</v>
      </c>
      <c r="AT84" s="35">
        <v>0</v>
      </c>
      <c r="AU84" s="30">
        <v>20</v>
      </c>
      <c r="AV84" s="30">
        <v>43</v>
      </c>
      <c r="AW84" s="31">
        <v>28</v>
      </c>
      <c r="AX84" s="136">
        <v>1.1499999999999999</v>
      </c>
      <c r="AY84" s="33">
        <v>0.4</v>
      </c>
      <c r="AZ84" s="35">
        <v>-0.34883720930232559</v>
      </c>
      <c r="BA84" s="29">
        <v>50.5</v>
      </c>
      <c r="BB84" s="31">
        <v>51.5</v>
      </c>
      <c r="BC84" s="29">
        <v>10</v>
      </c>
      <c r="BD84" s="31">
        <v>5.5</v>
      </c>
      <c r="BE84" s="29">
        <v>33</v>
      </c>
      <c r="BF84" s="30">
        <v>54</v>
      </c>
      <c r="BG84" s="33">
        <v>0.61111111111111116</v>
      </c>
      <c r="BH84" s="30">
        <v>22</v>
      </c>
      <c r="BI84" s="30">
        <v>28</v>
      </c>
      <c r="BJ84" s="35">
        <v>0.7857142857142857</v>
      </c>
    </row>
    <row r="85" spans="1:62" x14ac:dyDescent="0.25">
      <c r="A85" s="8"/>
      <c r="B85" s="9" t="s">
        <v>122</v>
      </c>
      <c r="C85" s="9"/>
      <c r="D85" s="9"/>
      <c r="E85" s="10"/>
      <c r="F85" s="176">
        <v>24333</v>
      </c>
      <c r="G85" s="177">
        <v>20728</v>
      </c>
      <c r="H85" s="178">
        <v>2127</v>
      </c>
      <c r="I85" s="178">
        <v>20732</v>
      </c>
      <c r="J85" s="179">
        <v>2123</v>
      </c>
      <c r="K85" s="177">
        <v>0</v>
      </c>
      <c r="L85" s="178">
        <v>32</v>
      </c>
      <c r="M85" s="178">
        <v>57</v>
      </c>
      <c r="N85" s="178">
        <v>8</v>
      </c>
      <c r="O85" s="178">
        <v>99</v>
      </c>
      <c r="P85" s="178">
        <v>3</v>
      </c>
      <c r="Q85" s="178">
        <v>82</v>
      </c>
      <c r="R85" s="179">
        <v>906</v>
      </c>
      <c r="S85" s="176">
        <v>2371</v>
      </c>
      <c r="T85" s="177">
        <v>5557</v>
      </c>
      <c r="U85" s="178">
        <v>20</v>
      </c>
      <c r="V85" s="178">
        <v>50</v>
      </c>
      <c r="W85" s="178">
        <v>32</v>
      </c>
      <c r="X85" s="179">
        <v>5455</v>
      </c>
      <c r="Y85" s="177">
        <v>26399</v>
      </c>
      <c r="Z85" s="179">
        <v>10804</v>
      </c>
      <c r="AA85" s="177">
        <v>25400</v>
      </c>
      <c r="AB85" s="179">
        <v>10517</v>
      </c>
      <c r="AC85" s="177">
        <v>25071</v>
      </c>
      <c r="AD85" s="179">
        <v>10431</v>
      </c>
      <c r="AE85" s="177">
        <v>12292</v>
      </c>
      <c r="AF85" s="178">
        <v>6498</v>
      </c>
      <c r="AG85" s="179">
        <v>2978</v>
      </c>
      <c r="AH85" s="131">
        <v>-3.7842342512973977E-2</v>
      </c>
      <c r="AI85" s="12">
        <v>-5.0304935793022462E-2</v>
      </c>
      <c r="AJ85" s="12">
        <v>-1.2952755905511811E-2</v>
      </c>
      <c r="AK85" s="12">
        <v>-2.6564235468345056E-2</v>
      </c>
      <c r="AL85" s="12">
        <v>-3.4524250277674938E-2</v>
      </c>
      <c r="AM85" s="12">
        <v>-8.1772368546163352E-3</v>
      </c>
      <c r="AN85" s="13">
        <v>1.2095233500578928</v>
      </c>
      <c r="AO85" s="12">
        <v>0.50323234272481665</v>
      </c>
      <c r="AP85" s="12">
        <v>0.31348900038595134</v>
      </c>
      <c r="AQ85" s="12">
        <v>0.14367039752991123</v>
      </c>
      <c r="AR85" s="12">
        <v>4.1878524544698162E-2</v>
      </c>
      <c r="AS85" s="131">
        <v>0.11438633732149749</v>
      </c>
      <c r="AT85" s="14">
        <v>-0.15370513315322271</v>
      </c>
      <c r="AU85" s="9">
        <v>3833</v>
      </c>
      <c r="AV85" s="9">
        <v>3803</v>
      </c>
      <c r="AW85" s="10">
        <v>3689</v>
      </c>
      <c r="AX85" s="131">
        <v>-7.8267675450039136E-3</v>
      </c>
      <c r="AY85" s="12">
        <v>-3.7568484216018785E-2</v>
      </c>
      <c r="AZ85" s="14">
        <v>-2.9976334472784645E-2</v>
      </c>
      <c r="BA85" s="8">
        <v>42</v>
      </c>
      <c r="BB85" s="10">
        <v>33</v>
      </c>
      <c r="BC85" s="8">
        <v>5</v>
      </c>
      <c r="BD85" s="10">
        <v>3</v>
      </c>
      <c r="BE85" s="8">
        <v>15373</v>
      </c>
      <c r="BF85" s="9">
        <v>25071</v>
      </c>
      <c r="BG85" s="12">
        <v>0.61317857285309718</v>
      </c>
      <c r="BH85" s="9">
        <v>2411</v>
      </c>
      <c r="BI85" s="9">
        <v>3689</v>
      </c>
      <c r="BJ85" s="14">
        <v>0.65356465166711841</v>
      </c>
    </row>
    <row r="86" spans="1:62" x14ac:dyDescent="0.25">
      <c r="A86" s="15"/>
      <c r="B86" s="16"/>
      <c r="C86" s="16" t="s">
        <v>168</v>
      </c>
      <c r="D86" s="16"/>
      <c r="E86" s="17"/>
      <c r="F86" s="180">
        <v>2057</v>
      </c>
      <c r="G86" s="181">
        <v>1929</v>
      </c>
      <c r="H86" s="182">
        <v>64</v>
      </c>
      <c r="I86" s="182">
        <v>31</v>
      </c>
      <c r="J86" s="183">
        <v>1962</v>
      </c>
      <c r="K86" s="181">
        <v>0</v>
      </c>
      <c r="L86" s="182">
        <v>7</v>
      </c>
      <c r="M86" s="182">
        <v>0</v>
      </c>
      <c r="N86" s="182">
        <v>0</v>
      </c>
      <c r="O86" s="182">
        <v>0</v>
      </c>
      <c r="P86" s="182">
        <v>1</v>
      </c>
      <c r="Q86" s="182">
        <v>3</v>
      </c>
      <c r="R86" s="183">
        <v>11</v>
      </c>
      <c r="S86" s="180">
        <v>61</v>
      </c>
      <c r="T86" s="181">
        <v>54</v>
      </c>
      <c r="U86" s="182">
        <v>0</v>
      </c>
      <c r="V86" s="182">
        <v>1</v>
      </c>
      <c r="W86" s="182">
        <v>0</v>
      </c>
      <c r="X86" s="183">
        <v>53</v>
      </c>
      <c r="Y86" s="181">
        <v>299</v>
      </c>
      <c r="Z86" s="183">
        <v>180</v>
      </c>
      <c r="AA86" s="181">
        <v>251</v>
      </c>
      <c r="AB86" s="183">
        <v>147</v>
      </c>
      <c r="AC86" s="181">
        <v>316</v>
      </c>
      <c r="AD86" s="183">
        <v>192</v>
      </c>
      <c r="AE86" s="181">
        <v>1792</v>
      </c>
      <c r="AF86" s="182">
        <v>1636</v>
      </c>
      <c r="AG86" s="183">
        <v>57</v>
      </c>
      <c r="AH86" s="133">
        <v>-0.16053511705685619</v>
      </c>
      <c r="AI86" s="19">
        <v>5.6856187290969896E-2</v>
      </c>
      <c r="AJ86" s="19">
        <v>0.25896414342629481</v>
      </c>
      <c r="AK86" s="19">
        <v>-0.18333333333333332</v>
      </c>
      <c r="AL86" s="19">
        <v>6.6666666666666666E-2</v>
      </c>
      <c r="AM86" s="19">
        <v>0.30612244897959184</v>
      </c>
      <c r="AN86" s="20">
        <v>0.16381544841886989</v>
      </c>
      <c r="AO86" s="19">
        <v>9.9533437013996889E-2</v>
      </c>
      <c r="AP86" s="19">
        <v>0.84810782789009853</v>
      </c>
      <c r="AQ86" s="19">
        <v>2.9548989113530325E-2</v>
      </c>
      <c r="AR86" s="19">
        <v>5.670103092783505E-3</v>
      </c>
      <c r="AS86" s="133">
        <v>3.1622602384655259E-2</v>
      </c>
      <c r="AT86" s="21">
        <v>3.6288232244686366E-3</v>
      </c>
      <c r="AU86" s="16">
        <v>118</v>
      </c>
      <c r="AV86" s="16">
        <v>96</v>
      </c>
      <c r="AW86" s="17">
        <v>94</v>
      </c>
      <c r="AX86" s="133">
        <v>-0.1864406779661017</v>
      </c>
      <c r="AY86" s="19">
        <v>-0.20338983050847459</v>
      </c>
      <c r="AZ86" s="21">
        <v>-2.0833333333333332E-2</v>
      </c>
      <c r="BA86" s="15">
        <v>36</v>
      </c>
      <c r="BB86" s="17">
        <v>37</v>
      </c>
      <c r="BC86" s="15">
        <v>8</v>
      </c>
      <c r="BD86" s="17">
        <v>3</v>
      </c>
      <c r="BE86" s="15">
        <v>153</v>
      </c>
      <c r="BF86" s="16">
        <v>316</v>
      </c>
      <c r="BG86" s="19">
        <v>0.48417721518987344</v>
      </c>
      <c r="BH86" s="16">
        <v>47</v>
      </c>
      <c r="BI86" s="16">
        <v>94</v>
      </c>
      <c r="BJ86" s="21">
        <v>0.5</v>
      </c>
    </row>
    <row r="87" spans="1:62" x14ac:dyDescent="0.25">
      <c r="A87" s="29"/>
      <c r="B87" s="30"/>
      <c r="C87" s="30"/>
      <c r="D87" s="30"/>
      <c r="E87" s="31" t="s">
        <v>68</v>
      </c>
      <c r="F87" s="188">
        <v>2036</v>
      </c>
      <c r="G87" s="189">
        <v>1918</v>
      </c>
      <c r="H87" s="190">
        <v>54</v>
      </c>
      <c r="I87" s="190">
        <v>10</v>
      </c>
      <c r="J87" s="191">
        <v>1962</v>
      </c>
      <c r="K87" s="189">
        <v>0</v>
      </c>
      <c r="L87" s="190">
        <v>7</v>
      </c>
      <c r="M87" s="190">
        <v>0</v>
      </c>
      <c r="N87" s="190">
        <v>0</v>
      </c>
      <c r="O87" s="190">
        <v>0</v>
      </c>
      <c r="P87" s="190">
        <v>1</v>
      </c>
      <c r="Q87" s="190">
        <v>3</v>
      </c>
      <c r="R87" s="191">
        <v>11</v>
      </c>
      <c r="S87" s="188">
        <v>55</v>
      </c>
      <c r="T87" s="189">
        <v>44</v>
      </c>
      <c r="U87" s="190">
        <v>0</v>
      </c>
      <c r="V87" s="190">
        <v>1</v>
      </c>
      <c r="W87" s="190">
        <v>0</v>
      </c>
      <c r="X87" s="191">
        <v>43</v>
      </c>
      <c r="Y87" s="189">
        <v>286</v>
      </c>
      <c r="Z87" s="191">
        <v>172</v>
      </c>
      <c r="AA87" s="189">
        <v>233</v>
      </c>
      <c r="AB87" s="191">
        <v>137</v>
      </c>
      <c r="AC87" s="189">
        <v>298</v>
      </c>
      <c r="AD87" s="191">
        <v>181</v>
      </c>
      <c r="AE87" s="189">
        <v>1792</v>
      </c>
      <c r="AF87" s="190">
        <v>1636</v>
      </c>
      <c r="AG87" s="191">
        <v>57</v>
      </c>
      <c r="AH87" s="136">
        <v>-0.18531468531468531</v>
      </c>
      <c r="AI87" s="33">
        <v>4.195804195804196E-2</v>
      </c>
      <c r="AJ87" s="33">
        <v>0.27896995708154504</v>
      </c>
      <c r="AK87" s="33">
        <v>-0.20348837209302326</v>
      </c>
      <c r="AL87" s="33">
        <v>5.232558139534884E-2</v>
      </c>
      <c r="AM87" s="33">
        <v>0.32116788321167883</v>
      </c>
      <c r="AN87" s="34">
        <v>0.15537017726798749</v>
      </c>
      <c r="AO87" s="33">
        <v>9.4369134515119912E-2</v>
      </c>
      <c r="AP87" s="33">
        <v>0.85297184567257556</v>
      </c>
      <c r="AQ87" s="33">
        <v>2.9718456725755994E-2</v>
      </c>
      <c r="AR87" s="33">
        <v>5.7024364955935722E-3</v>
      </c>
      <c r="AS87" s="136">
        <v>2.867570385818561E-2</v>
      </c>
      <c r="AT87" s="35">
        <v>5.7351407716371219E-3</v>
      </c>
      <c r="AU87" s="30">
        <v>116</v>
      </c>
      <c r="AV87" s="30">
        <v>94</v>
      </c>
      <c r="AW87" s="31">
        <v>92</v>
      </c>
      <c r="AX87" s="136">
        <v>-0.18965517241379309</v>
      </c>
      <c r="AY87" s="33">
        <v>-0.20689655172413793</v>
      </c>
      <c r="AZ87" s="35">
        <v>-2.1276595744680851E-2</v>
      </c>
      <c r="BA87" s="29">
        <v>33</v>
      </c>
      <c r="BB87" s="31">
        <v>37</v>
      </c>
      <c r="BC87" s="29">
        <v>8</v>
      </c>
      <c r="BD87" s="31">
        <v>3</v>
      </c>
      <c r="BE87" s="29">
        <v>139</v>
      </c>
      <c r="BF87" s="30">
        <v>298</v>
      </c>
      <c r="BG87" s="33">
        <v>0.46644295302013422</v>
      </c>
      <c r="BH87" s="30">
        <v>46</v>
      </c>
      <c r="BI87" s="30">
        <v>92</v>
      </c>
      <c r="BJ87" s="35">
        <v>0.5</v>
      </c>
    </row>
    <row r="88" spans="1:62" x14ac:dyDescent="0.25">
      <c r="A88" s="29"/>
      <c r="B88" s="30"/>
      <c r="C88" s="30"/>
      <c r="D88" s="30"/>
      <c r="E88" s="31" t="s">
        <v>148</v>
      </c>
      <c r="F88" s="188">
        <v>21</v>
      </c>
      <c r="G88" s="189">
        <v>11</v>
      </c>
      <c r="H88" s="190">
        <v>10</v>
      </c>
      <c r="I88" s="190">
        <v>21</v>
      </c>
      <c r="J88" s="191">
        <v>0</v>
      </c>
      <c r="K88" s="189">
        <v>0</v>
      </c>
      <c r="L88" s="190">
        <v>0</v>
      </c>
      <c r="M88" s="190">
        <v>0</v>
      </c>
      <c r="N88" s="190">
        <v>0</v>
      </c>
      <c r="O88" s="190">
        <v>0</v>
      </c>
      <c r="P88" s="190">
        <v>0</v>
      </c>
      <c r="Q88" s="190">
        <v>0</v>
      </c>
      <c r="R88" s="191">
        <v>0</v>
      </c>
      <c r="S88" s="188">
        <v>6</v>
      </c>
      <c r="T88" s="189">
        <v>10</v>
      </c>
      <c r="U88" s="190">
        <v>0</v>
      </c>
      <c r="V88" s="190">
        <v>0</v>
      </c>
      <c r="W88" s="190">
        <v>0</v>
      </c>
      <c r="X88" s="191">
        <v>10</v>
      </c>
      <c r="Y88" s="189">
        <v>13</v>
      </c>
      <c r="Z88" s="191">
        <v>8</v>
      </c>
      <c r="AA88" s="189">
        <v>18</v>
      </c>
      <c r="AB88" s="191">
        <v>10</v>
      </c>
      <c r="AC88" s="189">
        <v>18</v>
      </c>
      <c r="AD88" s="191">
        <v>11</v>
      </c>
      <c r="AE88" s="189">
        <v>0</v>
      </c>
      <c r="AF88" s="190">
        <v>0</v>
      </c>
      <c r="AG88" s="191">
        <v>0</v>
      </c>
      <c r="AH88" s="136">
        <v>0.38461538461538464</v>
      </c>
      <c r="AI88" s="33">
        <v>0.38461538461538464</v>
      </c>
      <c r="AJ88" s="33">
        <v>0</v>
      </c>
      <c r="AK88" s="33">
        <v>0.25</v>
      </c>
      <c r="AL88" s="33">
        <v>0.375</v>
      </c>
      <c r="AM88" s="33">
        <v>0.1</v>
      </c>
      <c r="AN88" s="34">
        <v>1.6363636363636365</v>
      </c>
      <c r="AO88" s="33">
        <v>1</v>
      </c>
      <c r="AP88" s="33">
        <v>0</v>
      </c>
      <c r="AQ88" s="33">
        <v>0</v>
      </c>
      <c r="AR88" s="33">
        <v>0</v>
      </c>
      <c r="AS88" s="136">
        <v>0.54545454545454541</v>
      </c>
      <c r="AT88" s="35">
        <v>-0.36363636363636365</v>
      </c>
      <c r="AU88" s="30">
        <v>2</v>
      </c>
      <c r="AV88" s="30">
        <v>2</v>
      </c>
      <c r="AW88" s="31">
        <v>2</v>
      </c>
      <c r="AX88" s="136">
        <v>0</v>
      </c>
      <c r="AY88" s="33">
        <v>0</v>
      </c>
      <c r="AZ88" s="35">
        <v>0</v>
      </c>
      <c r="BA88" s="29">
        <v>62</v>
      </c>
      <c r="BB88" s="31">
        <v>48.5</v>
      </c>
      <c r="BC88" s="29">
        <v>13</v>
      </c>
      <c r="BD88" s="31">
        <v>6.5</v>
      </c>
      <c r="BE88" s="29">
        <v>14</v>
      </c>
      <c r="BF88" s="30">
        <v>18</v>
      </c>
      <c r="BG88" s="33">
        <v>0.77777777777777779</v>
      </c>
      <c r="BH88" s="30">
        <v>1</v>
      </c>
      <c r="BI88" s="30">
        <v>2</v>
      </c>
      <c r="BJ88" s="35">
        <v>0.5</v>
      </c>
    </row>
    <row r="89" spans="1:62" x14ac:dyDescent="0.25">
      <c r="A89" s="15"/>
      <c r="B89" s="16"/>
      <c r="C89" s="16" t="s">
        <v>169</v>
      </c>
      <c r="D89" s="16"/>
      <c r="E89" s="17"/>
      <c r="F89" s="180">
        <v>302</v>
      </c>
      <c r="G89" s="181">
        <v>261</v>
      </c>
      <c r="H89" s="182">
        <v>0</v>
      </c>
      <c r="I89" s="182">
        <v>261</v>
      </c>
      <c r="J89" s="183">
        <v>0</v>
      </c>
      <c r="K89" s="181">
        <v>0</v>
      </c>
      <c r="L89" s="182">
        <v>0</v>
      </c>
      <c r="M89" s="182">
        <v>0</v>
      </c>
      <c r="N89" s="182">
        <v>0</v>
      </c>
      <c r="O89" s="182">
        <v>0</v>
      </c>
      <c r="P89" s="182">
        <v>0</v>
      </c>
      <c r="Q89" s="182">
        <v>0</v>
      </c>
      <c r="R89" s="183">
        <v>40</v>
      </c>
      <c r="S89" s="180">
        <v>8</v>
      </c>
      <c r="T89" s="181"/>
      <c r="U89" s="182"/>
      <c r="V89" s="182"/>
      <c r="W89" s="182"/>
      <c r="X89" s="183"/>
      <c r="Y89" s="181">
        <v>598</v>
      </c>
      <c r="Z89" s="183">
        <v>183</v>
      </c>
      <c r="AA89" s="181">
        <v>535</v>
      </c>
      <c r="AB89" s="183">
        <v>172</v>
      </c>
      <c r="AC89" s="181">
        <v>459</v>
      </c>
      <c r="AD89" s="183">
        <v>149</v>
      </c>
      <c r="AE89" s="181">
        <v>152</v>
      </c>
      <c r="AF89" s="182">
        <v>69</v>
      </c>
      <c r="AG89" s="183">
        <v>79</v>
      </c>
      <c r="AH89" s="133">
        <v>-0.10535117056856187</v>
      </c>
      <c r="AI89" s="19">
        <v>-0.23244147157190637</v>
      </c>
      <c r="AJ89" s="19">
        <v>-0.14205607476635515</v>
      </c>
      <c r="AK89" s="19">
        <v>-6.0109289617486336E-2</v>
      </c>
      <c r="AL89" s="19">
        <v>-0.18579234972677597</v>
      </c>
      <c r="AM89" s="19">
        <v>-0.13372093023255813</v>
      </c>
      <c r="AN89" s="20">
        <v>1.7586206896551724</v>
      </c>
      <c r="AO89" s="19">
        <v>0.57088122605363989</v>
      </c>
      <c r="AP89" s="19">
        <v>0.26436781609195403</v>
      </c>
      <c r="AQ89" s="19">
        <v>0.30268199233716475</v>
      </c>
      <c r="AR89" s="19">
        <v>0.13289036544850499</v>
      </c>
      <c r="AS89" s="133">
        <v>3.0651340996168581E-2</v>
      </c>
      <c r="AT89" s="21">
        <v>3.0651340996168581E-2</v>
      </c>
      <c r="AU89" s="16">
        <v>208</v>
      </c>
      <c r="AV89" s="16">
        <v>194</v>
      </c>
      <c r="AW89" s="17">
        <v>168</v>
      </c>
      <c r="AX89" s="133">
        <v>-6.7307692307692304E-2</v>
      </c>
      <c r="AY89" s="19">
        <v>-0.19230769230769232</v>
      </c>
      <c r="AZ89" s="21">
        <v>-0.13402061855670103</v>
      </c>
      <c r="BA89" s="15">
        <v>31.5</v>
      </c>
      <c r="BB89" s="17">
        <v>30</v>
      </c>
      <c r="BC89" s="15">
        <v>1</v>
      </c>
      <c r="BD89" s="17">
        <v>1</v>
      </c>
      <c r="BE89" s="15">
        <v>319</v>
      </c>
      <c r="BF89" s="16">
        <v>459</v>
      </c>
      <c r="BG89" s="19">
        <v>0.69498910675381265</v>
      </c>
      <c r="BH89" s="16">
        <v>126</v>
      </c>
      <c r="BI89" s="16">
        <v>168</v>
      </c>
      <c r="BJ89" s="21">
        <v>0.75</v>
      </c>
    </row>
    <row r="90" spans="1:62" x14ac:dyDescent="0.25">
      <c r="A90" s="29"/>
      <c r="B90" s="30"/>
      <c r="C90" s="30"/>
      <c r="D90" s="30"/>
      <c r="E90" s="31" t="s">
        <v>68</v>
      </c>
      <c r="F90" s="188">
        <v>278</v>
      </c>
      <c r="G90" s="189">
        <v>238</v>
      </c>
      <c r="H90" s="190">
        <v>0</v>
      </c>
      <c r="I90" s="190">
        <v>238</v>
      </c>
      <c r="J90" s="191">
        <v>0</v>
      </c>
      <c r="K90" s="189">
        <v>0</v>
      </c>
      <c r="L90" s="190">
        <v>0</v>
      </c>
      <c r="M90" s="190">
        <v>0</v>
      </c>
      <c r="N90" s="190">
        <v>0</v>
      </c>
      <c r="O90" s="190">
        <v>0</v>
      </c>
      <c r="P90" s="190">
        <v>0</v>
      </c>
      <c r="Q90" s="190">
        <v>0</v>
      </c>
      <c r="R90" s="191">
        <v>39</v>
      </c>
      <c r="S90" s="188">
        <v>8</v>
      </c>
      <c r="T90" s="189"/>
      <c r="U90" s="190"/>
      <c r="V90" s="190"/>
      <c r="W90" s="190"/>
      <c r="X90" s="191"/>
      <c r="Y90" s="189">
        <v>557</v>
      </c>
      <c r="Z90" s="191">
        <v>167</v>
      </c>
      <c r="AA90" s="189">
        <v>501</v>
      </c>
      <c r="AB90" s="191">
        <v>163</v>
      </c>
      <c r="AC90" s="189">
        <v>433</v>
      </c>
      <c r="AD90" s="191">
        <v>138</v>
      </c>
      <c r="AE90" s="189">
        <v>139</v>
      </c>
      <c r="AF90" s="190">
        <v>63</v>
      </c>
      <c r="AG90" s="191">
        <v>74</v>
      </c>
      <c r="AH90" s="136">
        <v>-0.10053859964093358</v>
      </c>
      <c r="AI90" s="33">
        <v>-0.22262118491921004</v>
      </c>
      <c r="AJ90" s="33">
        <v>-0.13572854291417166</v>
      </c>
      <c r="AK90" s="33">
        <v>-2.3952095808383235E-2</v>
      </c>
      <c r="AL90" s="33">
        <v>-0.17365269461077845</v>
      </c>
      <c r="AM90" s="33">
        <v>-0.15337423312883436</v>
      </c>
      <c r="AN90" s="34">
        <v>1.819327731092437</v>
      </c>
      <c r="AO90" s="33">
        <v>0.57983193277310929</v>
      </c>
      <c r="AP90" s="33">
        <v>0.26470588235294118</v>
      </c>
      <c r="AQ90" s="33">
        <v>0.31092436974789917</v>
      </c>
      <c r="AR90" s="33">
        <v>0.1407942238267148</v>
      </c>
      <c r="AS90" s="136">
        <v>3.3613445378151259E-2</v>
      </c>
      <c r="AT90" s="35">
        <v>3.3613445378151259E-2</v>
      </c>
      <c r="AU90" s="30">
        <v>203</v>
      </c>
      <c r="AV90" s="30">
        <v>180</v>
      </c>
      <c r="AW90" s="31">
        <v>159</v>
      </c>
      <c r="AX90" s="136">
        <v>-0.11330049261083744</v>
      </c>
      <c r="AY90" s="33">
        <v>-0.21674876847290642</v>
      </c>
      <c r="AZ90" s="35">
        <v>-0.11666666666666667</v>
      </c>
      <c r="BA90" s="29">
        <v>31</v>
      </c>
      <c r="BB90" s="31">
        <v>30</v>
      </c>
      <c r="BC90" s="29">
        <v>1</v>
      </c>
      <c r="BD90" s="31">
        <v>2</v>
      </c>
      <c r="BE90" s="29">
        <v>295</v>
      </c>
      <c r="BF90" s="30">
        <v>433</v>
      </c>
      <c r="BG90" s="33">
        <v>0.68129330254041576</v>
      </c>
      <c r="BH90" s="30">
        <v>118</v>
      </c>
      <c r="BI90" s="30">
        <v>159</v>
      </c>
      <c r="BJ90" s="35">
        <v>0.74213836477987416</v>
      </c>
    </row>
    <row r="91" spans="1:62" x14ac:dyDescent="0.25">
      <c r="A91" s="29"/>
      <c r="B91" s="30"/>
      <c r="C91" s="30"/>
      <c r="D91" s="30"/>
      <c r="E91" s="31" t="s">
        <v>170</v>
      </c>
      <c r="F91" s="188">
        <v>17</v>
      </c>
      <c r="G91" s="189">
        <v>16</v>
      </c>
      <c r="H91" s="190">
        <v>0</v>
      </c>
      <c r="I91" s="190">
        <v>16</v>
      </c>
      <c r="J91" s="191">
        <v>0</v>
      </c>
      <c r="K91" s="189">
        <v>0</v>
      </c>
      <c r="L91" s="190">
        <v>0</v>
      </c>
      <c r="M91" s="190">
        <v>0</v>
      </c>
      <c r="N91" s="190">
        <v>0</v>
      </c>
      <c r="O91" s="190">
        <v>0</v>
      </c>
      <c r="P91" s="190">
        <v>0</v>
      </c>
      <c r="Q91" s="190">
        <v>0</v>
      </c>
      <c r="R91" s="191">
        <v>1</v>
      </c>
      <c r="S91" s="188">
        <v>0</v>
      </c>
      <c r="T91" s="189"/>
      <c r="U91" s="190"/>
      <c r="V91" s="190"/>
      <c r="W91" s="190"/>
      <c r="X91" s="191"/>
      <c r="Y91" s="189">
        <v>35</v>
      </c>
      <c r="Z91" s="191">
        <v>12</v>
      </c>
      <c r="AA91" s="189">
        <v>33</v>
      </c>
      <c r="AB91" s="191">
        <v>8</v>
      </c>
      <c r="AC91" s="189">
        <v>23</v>
      </c>
      <c r="AD91" s="191">
        <v>8</v>
      </c>
      <c r="AE91" s="189">
        <v>9</v>
      </c>
      <c r="AF91" s="190">
        <v>4</v>
      </c>
      <c r="AG91" s="191">
        <v>5</v>
      </c>
      <c r="AH91" s="136">
        <v>-5.7142857142857141E-2</v>
      </c>
      <c r="AI91" s="33">
        <v>-0.34285714285714286</v>
      </c>
      <c r="AJ91" s="33">
        <v>-0.30303030303030304</v>
      </c>
      <c r="AK91" s="33">
        <v>-0.33333333333333331</v>
      </c>
      <c r="AL91" s="33">
        <v>-0.33333333333333331</v>
      </c>
      <c r="AM91" s="33">
        <v>0</v>
      </c>
      <c r="AN91" s="34">
        <v>1.4375</v>
      </c>
      <c r="AO91" s="33">
        <v>0.5</v>
      </c>
      <c r="AP91" s="33">
        <v>0.25</v>
      </c>
      <c r="AQ91" s="33">
        <v>0.3125</v>
      </c>
      <c r="AR91" s="33">
        <v>5.8823529411764705E-2</v>
      </c>
      <c r="AS91" s="136">
        <v>0</v>
      </c>
      <c r="AT91" s="35">
        <v>0</v>
      </c>
      <c r="AU91" s="30">
        <v>25</v>
      </c>
      <c r="AV91" s="30">
        <v>24</v>
      </c>
      <c r="AW91" s="31">
        <v>18</v>
      </c>
      <c r="AX91" s="136">
        <v>-0.04</v>
      </c>
      <c r="AY91" s="33">
        <v>-0.28000000000000003</v>
      </c>
      <c r="AZ91" s="35">
        <v>-0.25</v>
      </c>
      <c r="BA91" s="29">
        <v>33</v>
      </c>
      <c r="BB91" s="31">
        <v>33</v>
      </c>
      <c r="BC91" s="29">
        <v>1</v>
      </c>
      <c r="BD91" s="31">
        <v>1.5</v>
      </c>
      <c r="BE91" s="29">
        <v>21</v>
      </c>
      <c r="BF91" s="30">
        <v>23</v>
      </c>
      <c r="BG91" s="33">
        <v>0.91304347826086951</v>
      </c>
      <c r="BH91" s="30">
        <v>16</v>
      </c>
      <c r="BI91" s="30">
        <v>18</v>
      </c>
      <c r="BJ91" s="35">
        <v>0.88888888888888884</v>
      </c>
    </row>
    <row r="92" spans="1:62" x14ac:dyDescent="0.25">
      <c r="A92" s="15"/>
      <c r="B92" s="16"/>
      <c r="C92" s="16" t="s">
        <v>171</v>
      </c>
      <c r="D92" s="16"/>
      <c r="E92" s="17"/>
      <c r="F92" s="180">
        <v>4559</v>
      </c>
      <c r="G92" s="181">
        <v>4375</v>
      </c>
      <c r="H92" s="182">
        <v>7</v>
      </c>
      <c r="I92" s="182">
        <v>4371</v>
      </c>
      <c r="J92" s="183">
        <v>11</v>
      </c>
      <c r="K92" s="181">
        <v>0</v>
      </c>
      <c r="L92" s="182">
        <v>0</v>
      </c>
      <c r="M92" s="182">
        <v>1</v>
      </c>
      <c r="N92" s="182">
        <v>1</v>
      </c>
      <c r="O92" s="182">
        <v>48</v>
      </c>
      <c r="P92" s="182">
        <v>2</v>
      </c>
      <c r="Q92" s="182">
        <v>11</v>
      </c>
      <c r="R92" s="183">
        <v>79</v>
      </c>
      <c r="S92" s="180">
        <v>202</v>
      </c>
      <c r="T92" s="181">
        <v>829</v>
      </c>
      <c r="U92" s="182">
        <v>0</v>
      </c>
      <c r="V92" s="182">
        <v>7</v>
      </c>
      <c r="W92" s="182">
        <v>1</v>
      </c>
      <c r="X92" s="183">
        <v>821</v>
      </c>
      <c r="Y92" s="181">
        <v>3226</v>
      </c>
      <c r="Z92" s="183">
        <v>1816</v>
      </c>
      <c r="AA92" s="181">
        <v>3311</v>
      </c>
      <c r="AB92" s="183">
        <v>1870</v>
      </c>
      <c r="AC92" s="181">
        <v>3089</v>
      </c>
      <c r="AD92" s="183">
        <v>1783</v>
      </c>
      <c r="AE92" s="181">
        <v>2795</v>
      </c>
      <c r="AF92" s="182">
        <v>1364</v>
      </c>
      <c r="AG92" s="183">
        <v>303</v>
      </c>
      <c r="AH92" s="133">
        <v>2.634841909485431E-2</v>
      </c>
      <c r="AI92" s="19">
        <v>-4.2467451952882825E-2</v>
      </c>
      <c r="AJ92" s="19">
        <v>-6.7049229839927518E-2</v>
      </c>
      <c r="AK92" s="19">
        <v>2.9735682819383259E-2</v>
      </c>
      <c r="AL92" s="19">
        <v>-1.817180616740088E-2</v>
      </c>
      <c r="AM92" s="19">
        <v>-4.6524064171122995E-2</v>
      </c>
      <c r="AN92" s="20">
        <v>0.70605714285714283</v>
      </c>
      <c r="AO92" s="19">
        <v>0.40754285714285715</v>
      </c>
      <c r="AP92" s="19">
        <v>0.31177142857142859</v>
      </c>
      <c r="AQ92" s="19">
        <v>6.925714285714285E-2</v>
      </c>
      <c r="AR92" s="19">
        <v>1.7736865738661876E-2</v>
      </c>
      <c r="AS92" s="133">
        <v>4.6171428571428572E-2</v>
      </c>
      <c r="AT92" s="21">
        <v>-0.14331428571428573</v>
      </c>
      <c r="AU92" s="16">
        <v>768</v>
      </c>
      <c r="AV92" s="16">
        <v>793</v>
      </c>
      <c r="AW92" s="17">
        <v>754</v>
      </c>
      <c r="AX92" s="133">
        <v>3.2552083333333336E-2</v>
      </c>
      <c r="AY92" s="19">
        <v>-1.8229166666666668E-2</v>
      </c>
      <c r="AZ92" s="21">
        <v>-4.9180327868852458E-2</v>
      </c>
      <c r="BA92" s="15">
        <v>49</v>
      </c>
      <c r="BB92" s="17">
        <v>40</v>
      </c>
      <c r="BC92" s="15">
        <v>5</v>
      </c>
      <c r="BD92" s="17">
        <v>4</v>
      </c>
      <c r="BE92" s="15">
        <v>1691</v>
      </c>
      <c r="BF92" s="16">
        <v>3089</v>
      </c>
      <c r="BG92" s="19">
        <v>0.54742635157008745</v>
      </c>
      <c r="BH92" s="16">
        <v>447</v>
      </c>
      <c r="BI92" s="16">
        <v>754</v>
      </c>
      <c r="BJ92" s="21">
        <v>0.59283819628647216</v>
      </c>
    </row>
    <row r="93" spans="1:62" x14ac:dyDescent="0.25">
      <c r="A93" s="29"/>
      <c r="B93" s="30"/>
      <c r="C93" s="30"/>
      <c r="D93" s="30"/>
      <c r="E93" s="31" t="s">
        <v>68</v>
      </c>
      <c r="F93" s="188">
        <v>4102</v>
      </c>
      <c r="G93" s="189">
        <v>3932</v>
      </c>
      <c r="H93" s="190">
        <v>0</v>
      </c>
      <c r="I93" s="190">
        <v>3921</v>
      </c>
      <c r="J93" s="191">
        <v>11</v>
      </c>
      <c r="K93" s="189">
        <v>0</v>
      </c>
      <c r="L93" s="190">
        <v>0</v>
      </c>
      <c r="M93" s="190">
        <v>1</v>
      </c>
      <c r="N93" s="190">
        <v>1</v>
      </c>
      <c r="O93" s="190">
        <v>48</v>
      </c>
      <c r="P93" s="190">
        <v>2</v>
      </c>
      <c r="Q93" s="190">
        <v>9</v>
      </c>
      <c r="R93" s="191">
        <v>74</v>
      </c>
      <c r="S93" s="188">
        <v>164</v>
      </c>
      <c r="T93" s="189">
        <v>746</v>
      </c>
      <c r="U93" s="190">
        <v>0</v>
      </c>
      <c r="V93" s="190">
        <v>5</v>
      </c>
      <c r="W93" s="190">
        <v>1</v>
      </c>
      <c r="X93" s="191">
        <v>740</v>
      </c>
      <c r="Y93" s="189">
        <v>2677</v>
      </c>
      <c r="Z93" s="191">
        <v>1570</v>
      </c>
      <c r="AA93" s="189">
        <v>2918</v>
      </c>
      <c r="AB93" s="191">
        <v>1669</v>
      </c>
      <c r="AC93" s="189">
        <v>2671</v>
      </c>
      <c r="AD93" s="191">
        <v>1562</v>
      </c>
      <c r="AE93" s="189">
        <v>2570</v>
      </c>
      <c r="AF93" s="190">
        <v>1287</v>
      </c>
      <c r="AG93" s="191">
        <v>279</v>
      </c>
      <c r="AH93" s="136">
        <v>9.0026148673888681E-2</v>
      </c>
      <c r="AI93" s="33">
        <v>-2.2413149047441168E-3</v>
      </c>
      <c r="AJ93" s="33">
        <v>-8.4647018505825913E-2</v>
      </c>
      <c r="AK93" s="33">
        <v>6.3057324840764331E-2</v>
      </c>
      <c r="AL93" s="33">
        <v>-5.0955414012738851E-3</v>
      </c>
      <c r="AM93" s="33">
        <v>-6.4110245656081491E-2</v>
      </c>
      <c r="AN93" s="34">
        <v>0.67929806714140384</v>
      </c>
      <c r="AO93" s="33">
        <v>0.39725330620549337</v>
      </c>
      <c r="AP93" s="33">
        <v>0.32731434384537134</v>
      </c>
      <c r="AQ93" s="33">
        <v>7.0956256358087486E-2</v>
      </c>
      <c r="AR93" s="33">
        <v>1.8472291562656017E-2</v>
      </c>
      <c r="AS93" s="136">
        <v>4.170905391658189E-2</v>
      </c>
      <c r="AT93" s="35">
        <v>-0.14801627670396744</v>
      </c>
      <c r="AU93" s="30">
        <v>731</v>
      </c>
      <c r="AV93" s="30">
        <v>763</v>
      </c>
      <c r="AW93" s="31">
        <v>706</v>
      </c>
      <c r="AX93" s="136">
        <v>4.3775649794801641E-2</v>
      </c>
      <c r="AY93" s="33">
        <v>-3.4199726402188782E-2</v>
      </c>
      <c r="AZ93" s="35">
        <v>-7.4705111402359109E-2</v>
      </c>
      <c r="BA93" s="29">
        <v>47</v>
      </c>
      <c r="BB93" s="31">
        <v>40</v>
      </c>
      <c r="BC93" s="29">
        <v>6</v>
      </c>
      <c r="BD93" s="31">
        <v>4</v>
      </c>
      <c r="BE93" s="29">
        <v>1400</v>
      </c>
      <c r="BF93" s="30">
        <v>2671</v>
      </c>
      <c r="BG93" s="33">
        <v>0.52414825907899665</v>
      </c>
      <c r="BH93" s="30">
        <v>415</v>
      </c>
      <c r="BI93" s="30">
        <v>706</v>
      </c>
      <c r="BJ93" s="35">
        <v>0.58781869688385269</v>
      </c>
    </row>
    <row r="94" spans="1:62" x14ac:dyDescent="0.25">
      <c r="A94" s="29"/>
      <c r="B94" s="30"/>
      <c r="C94" s="30"/>
      <c r="D94" s="30"/>
      <c r="E94" s="31" t="s">
        <v>148</v>
      </c>
      <c r="F94" s="188">
        <v>98</v>
      </c>
      <c r="G94" s="189">
        <v>89</v>
      </c>
      <c r="H94" s="190">
        <v>7</v>
      </c>
      <c r="I94" s="190">
        <v>96</v>
      </c>
      <c r="J94" s="191">
        <v>0</v>
      </c>
      <c r="K94" s="189">
        <v>0</v>
      </c>
      <c r="L94" s="190">
        <v>0</v>
      </c>
      <c r="M94" s="190">
        <v>0</v>
      </c>
      <c r="N94" s="190">
        <v>0</v>
      </c>
      <c r="O94" s="190">
        <v>0</v>
      </c>
      <c r="P94" s="190">
        <v>0</v>
      </c>
      <c r="Q94" s="190">
        <v>0</v>
      </c>
      <c r="R94" s="191">
        <v>2</v>
      </c>
      <c r="S94" s="188">
        <v>35</v>
      </c>
      <c r="T94" s="189">
        <v>31</v>
      </c>
      <c r="U94" s="190">
        <v>0</v>
      </c>
      <c r="V94" s="190">
        <v>0</v>
      </c>
      <c r="W94" s="190">
        <v>0</v>
      </c>
      <c r="X94" s="191">
        <v>31</v>
      </c>
      <c r="Y94" s="189">
        <v>155</v>
      </c>
      <c r="Z94" s="191">
        <v>56</v>
      </c>
      <c r="AA94" s="189">
        <v>160</v>
      </c>
      <c r="AB94" s="191">
        <v>70</v>
      </c>
      <c r="AC94" s="189">
        <v>117</v>
      </c>
      <c r="AD94" s="191">
        <v>53</v>
      </c>
      <c r="AE94" s="189">
        <v>39</v>
      </c>
      <c r="AF94" s="190">
        <v>4</v>
      </c>
      <c r="AG94" s="191">
        <v>10</v>
      </c>
      <c r="AH94" s="136">
        <v>3.2258064516129031E-2</v>
      </c>
      <c r="AI94" s="33">
        <v>-0.24516129032258063</v>
      </c>
      <c r="AJ94" s="33">
        <v>-0.26874999999999999</v>
      </c>
      <c r="AK94" s="33">
        <v>0.25</v>
      </c>
      <c r="AL94" s="33">
        <v>-5.3571428571428568E-2</v>
      </c>
      <c r="AM94" s="33">
        <v>-0.24285714285714285</v>
      </c>
      <c r="AN94" s="34">
        <v>1.3146067415730338</v>
      </c>
      <c r="AO94" s="33">
        <v>0.5955056179775281</v>
      </c>
      <c r="AP94" s="33">
        <v>4.49438202247191E-2</v>
      </c>
      <c r="AQ94" s="33">
        <v>0.11235955056179775</v>
      </c>
      <c r="AR94" s="33">
        <v>2.197802197802198E-2</v>
      </c>
      <c r="AS94" s="136">
        <v>0.39325842696629215</v>
      </c>
      <c r="AT94" s="35">
        <v>4.49438202247191E-2</v>
      </c>
      <c r="AU94" s="30">
        <v>45</v>
      </c>
      <c r="AV94" s="30">
        <v>46</v>
      </c>
      <c r="AW94" s="31">
        <v>46</v>
      </c>
      <c r="AX94" s="136">
        <v>2.2222222222222223E-2</v>
      </c>
      <c r="AY94" s="33">
        <v>2.2222222222222223E-2</v>
      </c>
      <c r="AZ94" s="35">
        <v>0</v>
      </c>
      <c r="BA94" s="29">
        <v>61</v>
      </c>
      <c r="BB94" s="31">
        <v>56</v>
      </c>
      <c r="BC94" s="29">
        <v>10</v>
      </c>
      <c r="BD94" s="31">
        <v>8</v>
      </c>
      <c r="BE94" s="29">
        <v>60</v>
      </c>
      <c r="BF94" s="30">
        <v>117</v>
      </c>
      <c r="BG94" s="33">
        <v>0.51282051282051277</v>
      </c>
      <c r="BH94" s="30">
        <v>23</v>
      </c>
      <c r="BI94" s="30">
        <v>46</v>
      </c>
      <c r="BJ94" s="35">
        <v>0.5</v>
      </c>
    </row>
    <row r="95" spans="1:62" x14ac:dyDescent="0.25">
      <c r="A95" s="29"/>
      <c r="B95" s="30"/>
      <c r="C95" s="30"/>
      <c r="D95" s="30"/>
      <c r="E95" s="31" t="s">
        <v>97</v>
      </c>
      <c r="F95" s="188">
        <v>358</v>
      </c>
      <c r="G95" s="189">
        <v>353</v>
      </c>
      <c r="H95" s="190">
        <v>0</v>
      </c>
      <c r="I95" s="190">
        <v>353</v>
      </c>
      <c r="J95" s="191">
        <v>0</v>
      </c>
      <c r="K95" s="189">
        <v>0</v>
      </c>
      <c r="L95" s="190">
        <v>0</v>
      </c>
      <c r="M95" s="190">
        <v>0</v>
      </c>
      <c r="N95" s="190">
        <v>0</v>
      </c>
      <c r="O95" s="190">
        <v>0</v>
      </c>
      <c r="P95" s="190">
        <v>0</v>
      </c>
      <c r="Q95" s="190">
        <v>2</v>
      </c>
      <c r="R95" s="191">
        <v>3</v>
      </c>
      <c r="S95" s="188">
        <v>3</v>
      </c>
      <c r="T95" s="189">
        <v>52</v>
      </c>
      <c r="U95" s="190">
        <v>0</v>
      </c>
      <c r="V95" s="190">
        <v>2</v>
      </c>
      <c r="W95" s="190">
        <v>0</v>
      </c>
      <c r="X95" s="191">
        <v>50</v>
      </c>
      <c r="Y95" s="189">
        <v>394</v>
      </c>
      <c r="Z95" s="191">
        <v>190</v>
      </c>
      <c r="AA95" s="189">
        <v>233</v>
      </c>
      <c r="AB95" s="191">
        <v>131</v>
      </c>
      <c r="AC95" s="189">
        <v>301</v>
      </c>
      <c r="AD95" s="191">
        <v>168</v>
      </c>
      <c r="AE95" s="189">
        <v>185</v>
      </c>
      <c r="AF95" s="190">
        <v>72</v>
      </c>
      <c r="AG95" s="191">
        <v>14</v>
      </c>
      <c r="AH95" s="136">
        <v>-0.40862944162436549</v>
      </c>
      <c r="AI95" s="33">
        <v>-0.23604060913705585</v>
      </c>
      <c r="AJ95" s="33">
        <v>0.29184549356223177</v>
      </c>
      <c r="AK95" s="33">
        <v>-0.31052631578947371</v>
      </c>
      <c r="AL95" s="33">
        <v>-0.11578947368421053</v>
      </c>
      <c r="AM95" s="33">
        <v>0.28244274809160308</v>
      </c>
      <c r="AN95" s="34">
        <v>0.85269121813031157</v>
      </c>
      <c r="AO95" s="33">
        <v>0.47592067988668557</v>
      </c>
      <c r="AP95" s="33">
        <v>0.20396600566572237</v>
      </c>
      <c r="AQ95" s="33">
        <v>3.9660056657223795E-2</v>
      </c>
      <c r="AR95" s="33">
        <v>8.4269662921348312E-3</v>
      </c>
      <c r="AS95" s="136">
        <v>8.4985835694051E-3</v>
      </c>
      <c r="AT95" s="35">
        <v>-0.13881019830028329</v>
      </c>
      <c r="AU95" s="30">
        <v>62</v>
      </c>
      <c r="AV95" s="30">
        <v>60</v>
      </c>
      <c r="AW95" s="31">
        <v>60</v>
      </c>
      <c r="AX95" s="136">
        <v>-3.2258064516129031E-2</v>
      </c>
      <c r="AY95" s="33">
        <v>-3.2258064516129031E-2</v>
      </c>
      <c r="AZ95" s="35">
        <v>0</v>
      </c>
      <c r="BA95" s="29">
        <v>56</v>
      </c>
      <c r="BB95" s="31">
        <v>51</v>
      </c>
      <c r="BC95" s="29">
        <v>3</v>
      </c>
      <c r="BD95" s="31">
        <v>4.5</v>
      </c>
      <c r="BE95" s="29">
        <v>231</v>
      </c>
      <c r="BF95" s="30">
        <v>301</v>
      </c>
      <c r="BG95" s="33">
        <v>0.76744186046511631</v>
      </c>
      <c r="BH95" s="30">
        <v>37</v>
      </c>
      <c r="BI95" s="30">
        <v>60</v>
      </c>
      <c r="BJ95" s="35">
        <v>0.6166666666666667</v>
      </c>
    </row>
    <row r="96" spans="1:62" x14ac:dyDescent="0.25">
      <c r="A96" s="15"/>
      <c r="B96" s="16"/>
      <c r="C96" s="16" t="s">
        <v>172</v>
      </c>
      <c r="D96" s="16"/>
      <c r="E96" s="17"/>
      <c r="F96" s="180">
        <v>647</v>
      </c>
      <c r="G96" s="181">
        <v>606</v>
      </c>
      <c r="H96" s="182">
        <v>11</v>
      </c>
      <c r="I96" s="182">
        <v>617</v>
      </c>
      <c r="J96" s="183">
        <v>0</v>
      </c>
      <c r="K96" s="181">
        <v>0</v>
      </c>
      <c r="L96" s="182">
        <v>0</v>
      </c>
      <c r="M96" s="182">
        <v>1</v>
      </c>
      <c r="N96" s="182">
        <v>0</v>
      </c>
      <c r="O96" s="182">
        <v>0</v>
      </c>
      <c r="P96" s="182">
        <v>0</v>
      </c>
      <c r="Q96" s="182">
        <v>3</v>
      </c>
      <c r="R96" s="183">
        <v>26</v>
      </c>
      <c r="S96" s="180">
        <v>146</v>
      </c>
      <c r="T96" s="181">
        <v>11</v>
      </c>
      <c r="U96" s="182">
        <v>0</v>
      </c>
      <c r="V96" s="182">
        <v>0</v>
      </c>
      <c r="W96" s="182">
        <v>0</v>
      </c>
      <c r="X96" s="183">
        <v>11</v>
      </c>
      <c r="Y96" s="181">
        <v>1499</v>
      </c>
      <c r="Z96" s="183">
        <v>460</v>
      </c>
      <c r="AA96" s="181">
        <v>1605</v>
      </c>
      <c r="AB96" s="183">
        <v>462</v>
      </c>
      <c r="AC96" s="181">
        <v>1456</v>
      </c>
      <c r="AD96" s="183">
        <v>445</v>
      </c>
      <c r="AE96" s="181">
        <v>197</v>
      </c>
      <c r="AF96" s="182">
        <v>59</v>
      </c>
      <c r="AG96" s="183">
        <v>144</v>
      </c>
      <c r="AH96" s="133">
        <v>7.0713809206137429E-2</v>
      </c>
      <c r="AI96" s="19">
        <v>-2.8685790527018012E-2</v>
      </c>
      <c r="AJ96" s="19">
        <v>-9.2834890965732081E-2</v>
      </c>
      <c r="AK96" s="19">
        <v>4.3478260869565218E-3</v>
      </c>
      <c r="AL96" s="19">
        <v>-3.2608695652173912E-2</v>
      </c>
      <c r="AM96" s="19">
        <v>-3.67965367965368E-2</v>
      </c>
      <c r="AN96" s="20">
        <v>2.4026402640264028</v>
      </c>
      <c r="AO96" s="19">
        <v>0.73432343234323427</v>
      </c>
      <c r="AP96" s="19">
        <v>9.7359735973597358E-2</v>
      </c>
      <c r="AQ96" s="19">
        <v>0.23762376237623761</v>
      </c>
      <c r="AR96" s="19">
        <v>4.1139240506329111E-2</v>
      </c>
      <c r="AS96" s="133">
        <v>0.24092409240924093</v>
      </c>
      <c r="AT96" s="21">
        <v>0.22277227722772278</v>
      </c>
      <c r="AU96" s="16">
        <v>361</v>
      </c>
      <c r="AV96" s="16">
        <v>383</v>
      </c>
      <c r="AW96" s="17">
        <v>318</v>
      </c>
      <c r="AX96" s="133">
        <v>6.0941828254847646E-2</v>
      </c>
      <c r="AY96" s="19">
        <v>-0.11911357340720222</v>
      </c>
      <c r="AZ96" s="21">
        <v>-0.16971279373368145</v>
      </c>
      <c r="BA96" s="15">
        <v>43</v>
      </c>
      <c r="BB96" s="17">
        <v>41</v>
      </c>
      <c r="BC96" s="15">
        <v>5</v>
      </c>
      <c r="BD96" s="17">
        <v>4</v>
      </c>
      <c r="BE96" s="15">
        <v>766</v>
      </c>
      <c r="BF96" s="16">
        <v>1456</v>
      </c>
      <c r="BG96" s="19">
        <v>0.52609890109890112</v>
      </c>
      <c r="BH96" s="16">
        <v>191</v>
      </c>
      <c r="BI96" s="16">
        <v>318</v>
      </c>
      <c r="BJ96" s="21">
        <v>0.60062893081761004</v>
      </c>
    </row>
    <row r="97" spans="1:62" x14ac:dyDescent="0.25">
      <c r="A97" s="29"/>
      <c r="B97" s="30"/>
      <c r="C97" s="30"/>
      <c r="D97" s="30"/>
      <c r="E97" s="31" t="s">
        <v>68</v>
      </c>
      <c r="F97" s="188">
        <v>301</v>
      </c>
      <c r="G97" s="189">
        <v>282</v>
      </c>
      <c r="H97" s="190">
        <v>0</v>
      </c>
      <c r="I97" s="190">
        <v>282</v>
      </c>
      <c r="J97" s="191">
        <v>0</v>
      </c>
      <c r="K97" s="189">
        <v>0</v>
      </c>
      <c r="L97" s="190">
        <v>0</v>
      </c>
      <c r="M97" s="190">
        <v>1</v>
      </c>
      <c r="N97" s="190">
        <v>0</v>
      </c>
      <c r="O97" s="190">
        <v>0</v>
      </c>
      <c r="P97" s="190">
        <v>0</v>
      </c>
      <c r="Q97" s="190">
        <v>3</v>
      </c>
      <c r="R97" s="191">
        <v>15</v>
      </c>
      <c r="S97" s="188">
        <v>30</v>
      </c>
      <c r="T97" s="189"/>
      <c r="U97" s="190"/>
      <c r="V97" s="190"/>
      <c r="W97" s="190"/>
      <c r="X97" s="191"/>
      <c r="Y97" s="189">
        <v>781</v>
      </c>
      <c r="Z97" s="191">
        <v>263</v>
      </c>
      <c r="AA97" s="189">
        <v>908</v>
      </c>
      <c r="AB97" s="191">
        <v>271</v>
      </c>
      <c r="AC97" s="189">
        <v>820</v>
      </c>
      <c r="AD97" s="191">
        <v>243</v>
      </c>
      <c r="AE97" s="189">
        <v>58</v>
      </c>
      <c r="AF97" s="190">
        <v>12</v>
      </c>
      <c r="AG97" s="191">
        <v>82</v>
      </c>
      <c r="AH97" s="136">
        <v>0.16261203585147246</v>
      </c>
      <c r="AI97" s="33">
        <v>4.9935979513444299E-2</v>
      </c>
      <c r="AJ97" s="33">
        <v>-9.6916299559471369E-2</v>
      </c>
      <c r="AK97" s="33">
        <v>3.0418250950570342E-2</v>
      </c>
      <c r="AL97" s="33">
        <v>-7.6045627376425853E-2</v>
      </c>
      <c r="AM97" s="33">
        <v>-0.10332103321033211</v>
      </c>
      <c r="AN97" s="34">
        <v>2.9078014184397163</v>
      </c>
      <c r="AO97" s="33">
        <v>0.86170212765957444</v>
      </c>
      <c r="AP97" s="33">
        <v>4.2553191489361701E-2</v>
      </c>
      <c r="AQ97" s="33">
        <v>0.29078014184397161</v>
      </c>
      <c r="AR97" s="33">
        <v>5.0505050505050504E-2</v>
      </c>
      <c r="AS97" s="136">
        <v>0.10638297872340426</v>
      </c>
      <c r="AT97" s="35">
        <v>0.10638297872340426</v>
      </c>
      <c r="AU97" s="30">
        <v>259</v>
      </c>
      <c r="AV97" s="30">
        <v>296</v>
      </c>
      <c r="AW97" s="31">
        <v>249</v>
      </c>
      <c r="AX97" s="136">
        <v>0.14285714285714285</v>
      </c>
      <c r="AY97" s="33">
        <v>-3.8610038610038609E-2</v>
      </c>
      <c r="AZ97" s="35">
        <v>-0.15878378378378377</v>
      </c>
      <c r="BA97" s="29">
        <v>40</v>
      </c>
      <c r="BB97" s="31">
        <v>40</v>
      </c>
      <c r="BC97" s="29">
        <v>5</v>
      </c>
      <c r="BD97" s="31">
        <v>4</v>
      </c>
      <c r="BE97" s="29">
        <v>490</v>
      </c>
      <c r="BF97" s="30">
        <v>820</v>
      </c>
      <c r="BG97" s="33">
        <v>0.59756097560975607</v>
      </c>
      <c r="BH97" s="30">
        <v>152</v>
      </c>
      <c r="BI97" s="30">
        <v>249</v>
      </c>
      <c r="BJ97" s="35">
        <v>0.61044176706827313</v>
      </c>
    </row>
    <row r="98" spans="1:62" x14ac:dyDescent="0.25">
      <c r="A98" s="29"/>
      <c r="B98" s="30"/>
      <c r="C98" s="30"/>
      <c r="D98" s="30"/>
      <c r="E98" s="31" t="s">
        <v>148</v>
      </c>
      <c r="F98" s="188">
        <v>343</v>
      </c>
      <c r="G98" s="189">
        <v>321</v>
      </c>
      <c r="H98" s="190">
        <v>11</v>
      </c>
      <c r="I98" s="190">
        <v>332</v>
      </c>
      <c r="J98" s="191">
        <v>0</v>
      </c>
      <c r="K98" s="189">
        <v>0</v>
      </c>
      <c r="L98" s="190">
        <v>0</v>
      </c>
      <c r="M98" s="190">
        <v>0</v>
      </c>
      <c r="N98" s="190">
        <v>0</v>
      </c>
      <c r="O98" s="190">
        <v>0</v>
      </c>
      <c r="P98" s="190">
        <v>0</v>
      </c>
      <c r="Q98" s="190">
        <v>0</v>
      </c>
      <c r="R98" s="191">
        <v>11</v>
      </c>
      <c r="S98" s="188">
        <v>116</v>
      </c>
      <c r="T98" s="189">
        <v>11</v>
      </c>
      <c r="U98" s="190">
        <v>0</v>
      </c>
      <c r="V98" s="190">
        <v>0</v>
      </c>
      <c r="W98" s="190">
        <v>0</v>
      </c>
      <c r="X98" s="191">
        <v>11</v>
      </c>
      <c r="Y98" s="189">
        <v>718</v>
      </c>
      <c r="Z98" s="191">
        <v>197</v>
      </c>
      <c r="AA98" s="189">
        <v>697</v>
      </c>
      <c r="AB98" s="191">
        <v>191</v>
      </c>
      <c r="AC98" s="189">
        <v>629</v>
      </c>
      <c r="AD98" s="191">
        <v>200</v>
      </c>
      <c r="AE98" s="189">
        <v>138</v>
      </c>
      <c r="AF98" s="190">
        <v>46</v>
      </c>
      <c r="AG98" s="191">
        <v>62</v>
      </c>
      <c r="AH98" s="136">
        <v>-2.9247910863509748E-2</v>
      </c>
      <c r="AI98" s="33">
        <v>-0.12395543175487465</v>
      </c>
      <c r="AJ98" s="33">
        <v>-9.7560975609756101E-2</v>
      </c>
      <c r="AK98" s="33">
        <v>-3.0456852791878174E-2</v>
      </c>
      <c r="AL98" s="33">
        <v>1.5228426395939087E-2</v>
      </c>
      <c r="AM98" s="33">
        <v>4.712041884816754E-2</v>
      </c>
      <c r="AN98" s="34">
        <v>1.9595015576323989</v>
      </c>
      <c r="AO98" s="33">
        <v>0.62305295950155759</v>
      </c>
      <c r="AP98" s="33">
        <v>0.14330218068535824</v>
      </c>
      <c r="AQ98" s="33">
        <v>0.19314641744548286</v>
      </c>
      <c r="AR98" s="33">
        <v>3.313253012048193E-2</v>
      </c>
      <c r="AS98" s="136">
        <v>0.36137071651090341</v>
      </c>
      <c r="AT98" s="35">
        <v>0.32710280373831774</v>
      </c>
      <c r="AU98" s="30">
        <v>163</v>
      </c>
      <c r="AV98" s="30">
        <v>167</v>
      </c>
      <c r="AW98" s="31">
        <v>135</v>
      </c>
      <c r="AX98" s="136">
        <v>2.4539877300613498E-2</v>
      </c>
      <c r="AY98" s="33">
        <v>-0.17177914110429449</v>
      </c>
      <c r="AZ98" s="35">
        <v>-0.19161676646706588</v>
      </c>
      <c r="BA98" s="29">
        <v>45</v>
      </c>
      <c r="BB98" s="31">
        <v>42.5</v>
      </c>
      <c r="BC98" s="29">
        <v>5</v>
      </c>
      <c r="BD98" s="31">
        <v>5</v>
      </c>
      <c r="BE98" s="29">
        <v>274</v>
      </c>
      <c r="BF98" s="30">
        <v>629</v>
      </c>
      <c r="BG98" s="33">
        <v>0.43561208267090618</v>
      </c>
      <c r="BH98" s="30">
        <v>75</v>
      </c>
      <c r="BI98" s="30">
        <v>135</v>
      </c>
      <c r="BJ98" s="35">
        <v>0.55555555555555558</v>
      </c>
    </row>
    <row r="99" spans="1:62" x14ac:dyDescent="0.25">
      <c r="A99" s="15"/>
      <c r="B99" s="16"/>
      <c r="C99" s="16" t="s">
        <v>173</v>
      </c>
      <c r="D99" s="16"/>
      <c r="E99" s="17"/>
      <c r="F99" s="180">
        <v>2253</v>
      </c>
      <c r="G99" s="181">
        <v>2088</v>
      </c>
      <c r="H99" s="182">
        <v>0</v>
      </c>
      <c r="I99" s="182">
        <v>2088</v>
      </c>
      <c r="J99" s="183">
        <v>0</v>
      </c>
      <c r="K99" s="181">
        <v>0</v>
      </c>
      <c r="L99" s="182">
        <v>0</v>
      </c>
      <c r="M99" s="182">
        <v>10</v>
      </c>
      <c r="N99" s="182">
        <v>4</v>
      </c>
      <c r="O99" s="182">
        <v>3</v>
      </c>
      <c r="P99" s="182">
        <v>0</v>
      </c>
      <c r="Q99" s="182">
        <v>13</v>
      </c>
      <c r="R99" s="183">
        <v>135</v>
      </c>
      <c r="S99" s="180">
        <v>135</v>
      </c>
      <c r="T99" s="181">
        <v>108</v>
      </c>
      <c r="U99" s="182">
        <v>3</v>
      </c>
      <c r="V99" s="182">
        <v>9</v>
      </c>
      <c r="W99" s="182">
        <v>5</v>
      </c>
      <c r="X99" s="183">
        <v>91</v>
      </c>
      <c r="Y99" s="181">
        <v>3237</v>
      </c>
      <c r="Z99" s="183">
        <v>1233</v>
      </c>
      <c r="AA99" s="181">
        <v>3020</v>
      </c>
      <c r="AB99" s="183">
        <v>1145</v>
      </c>
      <c r="AC99" s="181">
        <v>2751</v>
      </c>
      <c r="AD99" s="183">
        <v>1087</v>
      </c>
      <c r="AE99" s="181">
        <v>1195</v>
      </c>
      <c r="AF99" s="182">
        <v>628</v>
      </c>
      <c r="AG99" s="183">
        <v>387</v>
      </c>
      <c r="AH99" s="133">
        <v>-6.7037380290392343E-2</v>
      </c>
      <c r="AI99" s="19">
        <v>-0.15013901760889714</v>
      </c>
      <c r="AJ99" s="19">
        <v>-8.9072847682119205E-2</v>
      </c>
      <c r="AK99" s="19">
        <v>-7.1370640713706412E-2</v>
      </c>
      <c r="AL99" s="19">
        <v>-0.11841038118410381</v>
      </c>
      <c r="AM99" s="19">
        <v>-5.0655021834061134E-2</v>
      </c>
      <c r="AN99" s="20">
        <v>1.3175287356321839</v>
      </c>
      <c r="AO99" s="19">
        <v>0.52059386973180077</v>
      </c>
      <c r="AP99" s="19">
        <v>0.3007662835249042</v>
      </c>
      <c r="AQ99" s="19">
        <v>0.18534482758620691</v>
      </c>
      <c r="AR99" s="19">
        <v>6.0728744939271252E-2</v>
      </c>
      <c r="AS99" s="133">
        <v>6.4655172413793108E-2</v>
      </c>
      <c r="AT99" s="21">
        <v>1.2931034482758621E-2</v>
      </c>
      <c r="AU99" s="16">
        <v>979</v>
      </c>
      <c r="AV99" s="16">
        <v>903</v>
      </c>
      <c r="AW99" s="17">
        <v>872</v>
      </c>
      <c r="AX99" s="133">
        <v>-7.7630234933605727E-2</v>
      </c>
      <c r="AY99" s="19">
        <v>-0.10929519918283963</v>
      </c>
      <c r="AZ99" s="21">
        <v>-3.4330011074197121E-2</v>
      </c>
      <c r="BA99" s="15">
        <v>33</v>
      </c>
      <c r="BB99" s="17">
        <v>28</v>
      </c>
      <c r="BC99" s="15">
        <v>3</v>
      </c>
      <c r="BD99" s="17">
        <v>2</v>
      </c>
      <c r="BE99" s="15">
        <v>1924</v>
      </c>
      <c r="BF99" s="16">
        <v>2751</v>
      </c>
      <c r="BG99" s="19">
        <v>0.69938204289349326</v>
      </c>
      <c r="BH99" s="16">
        <v>603</v>
      </c>
      <c r="BI99" s="16">
        <v>872</v>
      </c>
      <c r="BJ99" s="21">
        <v>0.6915137614678899</v>
      </c>
    </row>
    <row r="100" spans="1:62" x14ac:dyDescent="0.25">
      <c r="A100" s="29"/>
      <c r="B100" s="30"/>
      <c r="C100" s="30"/>
      <c r="D100" s="30"/>
      <c r="E100" s="31" t="s">
        <v>68</v>
      </c>
      <c r="F100" s="188">
        <v>1828</v>
      </c>
      <c r="G100" s="189">
        <v>1714</v>
      </c>
      <c r="H100" s="190">
        <v>0</v>
      </c>
      <c r="I100" s="190">
        <v>1714</v>
      </c>
      <c r="J100" s="191">
        <v>0</v>
      </c>
      <c r="K100" s="189">
        <v>0</v>
      </c>
      <c r="L100" s="190">
        <v>0</v>
      </c>
      <c r="M100" s="190">
        <v>5</v>
      </c>
      <c r="N100" s="190">
        <v>2</v>
      </c>
      <c r="O100" s="190">
        <v>3</v>
      </c>
      <c r="P100" s="190">
        <v>0</v>
      </c>
      <c r="Q100" s="190">
        <v>11</v>
      </c>
      <c r="R100" s="191">
        <v>93</v>
      </c>
      <c r="S100" s="188">
        <v>41</v>
      </c>
      <c r="T100" s="189">
        <v>13</v>
      </c>
      <c r="U100" s="190">
        <v>2</v>
      </c>
      <c r="V100" s="190">
        <v>8</v>
      </c>
      <c r="W100" s="190">
        <v>2</v>
      </c>
      <c r="X100" s="191">
        <v>1</v>
      </c>
      <c r="Y100" s="189">
        <v>2154</v>
      </c>
      <c r="Z100" s="191">
        <v>861</v>
      </c>
      <c r="AA100" s="189">
        <v>2062</v>
      </c>
      <c r="AB100" s="191">
        <v>828</v>
      </c>
      <c r="AC100" s="189">
        <v>1983</v>
      </c>
      <c r="AD100" s="191">
        <v>801</v>
      </c>
      <c r="AE100" s="189">
        <v>1025</v>
      </c>
      <c r="AF100" s="190">
        <v>549</v>
      </c>
      <c r="AG100" s="191">
        <v>280</v>
      </c>
      <c r="AH100" s="136">
        <v>-4.2711234911792018E-2</v>
      </c>
      <c r="AI100" s="33">
        <v>-7.9387186629526457E-2</v>
      </c>
      <c r="AJ100" s="33">
        <v>-3.831231813773036E-2</v>
      </c>
      <c r="AK100" s="33">
        <v>-3.8327526132404179E-2</v>
      </c>
      <c r="AL100" s="33">
        <v>-6.968641114982578E-2</v>
      </c>
      <c r="AM100" s="33">
        <v>-3.2608695652173912E-2</v>
      </c>
      <c r="AN100" s="34">
        <v>1.1569428238039674</v>
      </c>
      <c r="AO100" s="33">
        <v>0.46732788798133024</v>
      </c>
      <c r="AP100" s="33">
        <v>0.32030338389731622</v>
      </c>
      <c r="AQ100" s="33">
        <v>0.1633605600933489</v>
      </c>
      <c r="AR100" s="33">
        <v>5.1466519092418374E-2</v>
      </c>
      <c r="AS100" s="136">
        <v>2.3920653442240373E-2</v>
      </c>
      <c r="AT100" s="35">
        <v>1.6336056009334889E-2</v>
      </c>
      <c r="AU100" s="30">
        <v>788</v>
      </c>
      <c r="AV100" s="30">
        <v>740</v>
      </c>
      <c r="AW100" s="31">
        <v>736</v>
      </c>
      <c r="AX100" s="136">
        <v>-6.0913705583756347E-2</v>
      </c>
      <c r="AY100" s="33">
        <v>-6.5989847715736044E-2</v>
      </c>
      <c r="AZ100" s="35">
        <v>-5.4054054054054057E-3</v>
      </c>
      <c r="BA100" s="29">
        <v>31</v>
      </c>
      <c r="BB100" s="31">
        <v>27</v>
      </c>
      <c r="BC100" s="29">
        <v>3</v>
      </c>
      <c r="BD100" s="31">
        <v>2</v>
      </c>
      <c r="BE100" s="29">
        <v>1457</v>
      </c>
      <c r="BF100" s="30">
        <v>1983</v>
      </c>
      <c r="BG100" s="33">
        <v>0.73474533535047903</v>
      </c>
      <c r="BH100" s="30">
        <v>518</v>
      </c>
      <c r="BI100" s="30">
        <v>736</v>
      </c>
      <c r="BJ100" s="35">
        <v>0.70380434782608692</v>
      </c>
    </row>
    <row r="101" spans="1:62" x14ac:dyDescent="0.25">
      <c r="A101" s="29"/>
      <c r="B101" s="30"/>
      <c r="C101" s="30"/>
      <c r="D101" s="30"/>
      <c r="E101" s="31" t="s">
        <v>174</v>
      </c>
      <c r="F101" s="188">
        <v>38</v>
      </c>
      <c r="G101" s="189">
        <v>37</v>
      </c>
      <c r="H101" s="190">
        <v>0</v>
      </c>
      <c r="I101" s="190">
        <v>37</v>
      </c>
      <c r="J101" s="191">
        <v>0</v>
      </c>
      <c r="K101" s="189">
        <v>0</v>
      </c>
      <c r="L101" s="190">
        <v>0</v>
      </c>
      <c r="M101" s="190">
        <v>0</v>
      </c>
      <c r="N101" s="190">
        <v>0</v>
      </c>
      <c r="O101" s="190">
        <v>0</v>
      </c>
      <c r="P101" s="190">
        <v>0</v>
      </c>
      <c r="Q101" s="190">
        <v>0</v>
      </c>
      <c r="R101" s="191">
        <v>1</v>
      </c>
      <c r="S101" s="188">
        <v>0</v>
      </c>
      <c r="T101" s="189"/>
      <c r="U101" s="190"/>
      <c r="V101" s="190"/>
      <c r="W101" s="190"/>
      <c r="X101" s="191"/>
      <c r="Y101" s="189">
        <v>14</v>
      </c>
      <c r="Z101" s="191">
        <v>10</v>
      </c>
      <c r="AA101" s="189">
        <v>24</v>
      </c>
      <c r="AB101" s="191">
        <v>15</v>
      </c>
      <c r="AC101" s="189">
        <v>14</v>
      </c>
      <c r="AD101" s="191">
        <v>13</v>
      </c>
      <c r="AE101" s="189">
        <v>25</v>
      </c>
      <c r="AF101" s="190">
        <v>15</v>
      </c>
      <c r="AG101" s="191">
        <v>3</v>
      </c>
      <c r="AH101" s="136">
        <v>0.7142857142857143</v>
      </c>
      <c r="AI101" s="33">
        <v>0</v>
      </c>
      <c r="AJ101" s="33">
        <v>-0.41666666666666669</v>
      </c>
      <c r="AK101" s="33">
        <v>0.5</v>
      </c>
      <c r="AL101" s="33">
        <v>0.3</v>
      </c>
      <c r="AM101" s="33">
        <v>-0.13333333333333333</v>
      </c>
      <c r="AN101" s="34">
        <v>0.3783783783783784</v>
      </c>
      <c r="AO101" s="33">
        <v>0.35135135135135137</v>
      </c>
      <c r="AP101" s="33">
        <v>0.40540540540540543</v>
      </c>
      <c r="AQ101" s="33">
        <v>8.1081081081081086E-2</v>
      </c>
      <c r="AR101" s="33">
        <v>2.6315789473684209E-2</v>
      </c>
      <c r="AS101" s="136">
        <v>0</v>
      </c>
      <c r="AT101" s="35">
        <v>0</v>
      </c>
      <c r="AU101" s="30">
        <v>10</v>
      </c>
      <c r="AV101" s="30">
        <v>12</v>
      </c>
      <c r="AW101" s="31">
        <v>12</v>
      </c>
      <c r="AX101" s="136">
        <v>0.2</v>
      </c>
      <c r="AY101" s="33">
        <v>0.2</v>
      </c>
      <c r="AZ101" s="35">
        <v>0</v>
      </c>
      <c r="BA101" s="29">
        <v>44</v>
      </c>
      <c r="BB101" s="31">
        <v>41.5</v>
      </c>
      <c r="BC101" s="29">
        <v>5</v>
      </c>
      <c r="BD101" s="31">
        <v>5</v>
      </c>
      <c r="BE101" s="29">
        <v>7</v>
      </c>
      <c r="BF101" s="30">
        <v>14</v>
      </c>
      <c r="BG101" s="33">
        <v>0.5</v>
      </c>
      <c r="BH101" s="30">
        <v>7</v>
      </c>
      <c r="BI101" s="30">
        <v>12</v>
      </c>
      <c r="BJ101" s="35">
        <v>0.58333333333333337</v>
      </c>
    </row>
    <row r="102" spans="1:62" x14ac:dyDescent="0.25">
      <c r="A102" s="29"/>
      <c r="B102" s="30"/>
      <c r="C102" s="30"/>
      <c r="D102" s="30"/>
      <c r="E102" s="31" t="s">
        <v>170</v>
      </c>
      <c r="F102" s="188">
        <v>247</v>
      </c>
      <c r="G102" s="189">
        <v>204</v>
      </c>
      <c r="H102" s="190">
        <v>0</v>
      </c>
      <c r="I102" s="190">
        <v>204</v>
      </c>
      <c r="J102" s="191">
        <v>0</v>
      </c>
      <c r="K102" s="189">
        <v>0</v>
      </c>
      <c r="L102" s="190">
        <v>0</v>
      </c>
      <c r="M102" s="190">
        <v>5</v>
      </c>
      <c r="N102" s="190">
        <v>2</v>
      </c>
      <c r="O102" s="190">
        <v>0</v>
      </c>
      <c r="P102" s="190">
        <v>0</v>
      </c>
      <c r="Q102" s="190">
        <v>1</v>
      </c>
      <c r="R102" s="191">
        <v>35</v>
      </c>
      <c r="S102" s="188">
        <v>3</v>
      </c>
      <c r="T102" s="189">
        <v>5</v>
      </c>
      <c r="U102" s="190">
        <v>1</v>
      </c>
      <c r="V102" s="190">
        <v>0</v>
      </c>
      <c r="W102" s="190">
        <v>3</v>
      </c>
      <c r="X102" s="191">
        <v>1</v>
      </c>
      <c r="Y102" s="189">
        <v>582</v>
      </c>
      <c r="Z102" s="191">
        <v>173</v>
      </c>
      <c r="AA102" s="189">
        <v>538</v>
      </c>
      <c r="AB102" s="191">
        <v>154</v>
      </c>
      <c r="AC102" s="189">
        <v>428</v>
      </c>
      <c r="AD102" s="191">
        <v>138</v>
      </c>
      <c r="AE102" s="189">
        <v>109</v>
      </c>
      <c r="AF102" s="190">
        <v>52</v>
      </c>
      <c r="AG102" s="191">
        <v>70</v>
      </c>
      <c r="AH102" s="136">
        <v>-7.560137457044673E-2</v>
      </c>
      <c r="AI102" s="33">
        <v>-0.26460481099656358</v>
      </c>
      <c r="AJ102" s="33">
        <v>-0.20446096654275092</v>
      </c>
      <c r="AK102" s="33">
        <v>-0.10982658959537572</v>
      </c>
      <c r="AL102" s="33">
        <v>-0.20231213872832371</v>
      </c>
      <c r="AM102" s="33">
        <v>-0.1038961038961039</v>
      </c>
      <c r="AN102" s="34">
        <v>2.0980392156862746</v>
      </c>
      <c r="AO102" s="33">
        <v>0.67647058823529416</v>
      </c>
      <c r="AP102" s="33">
        <v>0.25490196078431371</v>
      </c>
      <c r="AQ102" s="33">
        <v>0.34313725490196079</v>
      </c>
      <c r="AR102" s="33">
        <v>0.14644351464435146</v>
      </c>
      <c r="AS102" s="136">
        <v>1.4705882352941176E-2</v>
      </c>
      <c r="AT102" s="35">
        <v>-9.8039215686274508E-3</v>
      </c>
      <c r="AU102" s="30">
        <v>309</v>
      </c>
      <c r="AV102" s="30">
        <v>261</v>
      </c>
      <c r="AW102" s="31">
        <v>226</v>
      </c>
      <c r="AX102" s="136">
        <v>-0.1553398058252427</v>
      </c>
      <c r="AY102" s="33">
        <v>-0.26860841423948217</v>
      </c>
      <c r="AZ102" s="35">
        <v>-0.13409961685823754</v>
      </c>
      <c r="BA102" s="29">
        <v>35</v>
      </c>
      <c r="BB102" s="31">
        <v>31</v>
      </c>
      <c r="BC102" s="29">
        <v>3</v>
      </c>
      <c r="BD102" s="31">
        <v>2</v>
      </c>
      <c r="BE102" s="29">
        <v>276</v>
      </c>
      <c r="BF102" s="30">
        <v>428</v>
      </c>
      <c r="BG102" s="33">
        <v>0.64485981308411211</v>
      </c>
      <c r="BH102" s="30">
        <v>155</v>
      </c>
      <c r="BI102" s="30">
        <v>226</v>
      </c>
      <c r="BJ102" s="35">
        <v>0.68584070796460173</v>
      </c>
    </row>
    <row r="103" spans="1:62" x14ac:dyDescent="0.25">
      <c r="A103" s="29"/>
      <c r="B103" s="30"/>
      <c r="C103" s="30"/>
      <c r="D103" s="30"/>
      <c r="E103" s="31" t="s">
        <v>148</v>
      </c>
      <c r="F103" s="188">
        <v>139</v>
      </c>
      <c r="G103" s="189">
        <v>132</v>
      </c>
      <c r="H103" s="190">
        <v>0</v>
      </c>
      <c r="I103" s="190">
        <v>132</v>
      </c>
      <c r="J103" s="191">
        <v>0</v>
      </c>
      <c r="K103" s="189">
        <v>0</v>
      </c>
      <c r="L103" s="190">
        <v>0</v>
      </c>
      <c r="M103" s="190">
        <v>0</v>
      </c>
      <c r="N103" s="190">
        <v>0</v>
      </c>
      <c r="O103" s="190">
        <v>0</v>
      </c>
      <c r="P103" s="190">
        <v>0</v>
      </c>
      <c r="Q103" s="190">
        <v>1</v>
      </c>
      <c r="R103" s="191">
        <v>6</v>
      </c>
      <c r="S103" s="188">
        <v>91</v>
      </c>
      <c r="T103" s="189">
        <v>90</v>
      </c>
      <c r="U103" s="190">
        <v>0</v>
      </c>
      <c r="V103" s="190">
        <v>1</v>
      </c>
      <c r="W103" s="190">
        <v>0</v>
      </c>
      <c r="X103" s="191">
        <v>89</v>
      </c>
      <c r="Y103" s="189">
        <v>487</v>
      </c>
      <c r="Z103" s="191">
        <v>189</v>
      </c>
      <c r="AA103" s="189">
        <v>396</v>
      </c>
      <c r="AB103" s="191">
        <v>148</v>
      </c>
      <c r="AC103" s="189">
        <v>326</v>
      </c>
      <c r="AD103" s="191">
        <v>135</v>
      </c>
      <c r="AE103" s="189">
        <v>35</v>
      </c>
      <c r="AF103" s="190">
        <v>11</v>
      </c>
      <c r="AG103" s="191">
        <v>34</v>
      </c>
      <c r="AH103" s="136">
        <v>-0.18685831622176591</v>
      </c>
      <c r="AI103" s="33">
        <v>-0.33059548254620125</v>
      </c>
      <c r="AJ103" s="33">
        <v>-0.17676767676767677</v>
      </c>
      <c r="AK103" s="33">
        <v>-0.21693121693121692</v>
      </c>
      <c r="AL103" s="33">
        <v>-0.2857142857142857</v>
      </c>
      <c r="AM103" s="33">
        <v>-8.7837837837837843E-2</v>
      </c>
      <c r="AN103" s="34">
        <v>2.4696969696969697</v>
      </c>
      <c r="AO103" s="33">
        <v>1.0227272727272727</v>
      </c>
      <c r="AP103" s="33">
        <v>8.3333333333333329E-2</v>
      </c>
      <c r="AQ103" s="33">
        <v>0.25757575757575757</v>
      </c>
      <c r="AR103" s="33">
        <v>4.3478260869565216E-2</v>
      </c>
      <c r="AS103" s="136">
        <v>0.68939393939393945</v>
      </c>
      <c r="AT103" s="35">
        <v>7.575757575757576E-3</v>
      </c>
      <c r="AU103" s="30">
        <v>152</v>
      </c>
      <c r="AV103" s="30">
        <v>124</v>
      </c>
      <c r="AW103" s="31">
        <v>107</v>
      </c>
      <c r="AX103" s="136">
        <v>-0.18421052631578946</v>
      </c>
      <c r="AY103" s="33">
        <v>-0.29605263157894735</v>
      </c>
      <c r="AZ103" s="35">
        <v>-0.13709677419354838</v>
      </c>
      <c r="BA103" s="29">
        <v>45</v>
      </c>
      <c r="BB103" s="31">
        <v>33</v>
      </c>
      <c r="BC103" s="29">
        <v>7</v>
      </c>
      <c r="BD103" s="31">
        <v>5</v>
      </c>
      <c r="BE103" s="29">
        <v>184</v>
      </c>
      <c r="BF103" s="30">
        <v>326</v>
      </c>
      <c r="BG103" s="33">
        <v>0.56441717791411039</v>
      </c>
      <c r="BH103" s="30">
        <v>58</v>
      </c>
      <c r="BI103" s="30">
        <v>107</v>
      </c>
      <c r="BJ103" s="35">
        <v>0.54205607476635509</v>
      </c>
    </row>
    <row r="104" spans="1:62" x14ac:dyDescent="0.25">
      <c r="A104" s="15"/>
      <c r="B104" s="16"/>
      <c r="C104" s="16" t="s">
        <v>175</v>
      </c>
      <c r="D104" s="16"/>
      <c r="E104" s="17"/>
      <c r="F104" s="180">
        <v>1152</v>
      </c>
      <c r="G104" s="181">
        <v>1099</v>
      </c>
      <c r="H104" s="182">
        <v>5</v>
      </c>
      <c r="I104" s="182">
        <v>1104</v>
      </c>
      <c r="J104" s="183">
        <v>0</v>
      </c>
      <c r="K104" s="181">
        <v>0</v>
      </c>
      <c r="L104" s="182">
        <v>0</v>
      </c>
      <c r="M104" s="182">
        <v>1</v>
      </c>
      <c r="N104" s="182">
        <v>0</v>
      </c>
      <c r="O104" s="182">
        <v>0</v>
      </c>
      <c r="P104" s="182">
        <v>0</v>
      </c>
      <c r="Q104" s="182">
        <v>0</v>
      </c>
      <c r="R104" s="183">
        <v>46</v>
      </c>
      <c r="S104" s="180">
        <v>71</v>
      </c>
      <c r="T104" s="181">
        <v>67</v>
      </c>
      <c r="U104" s="182">
        <v>2</v>
      </c>
      <c r="V104" s="182">
        <v>0</v>
      </c>
      <c r="W104" s="182">
        <v>1</v>
      </c>
      <c r="X104" s="183">
        <v>64</v>
      </c>
      <c r="Y104" s="181">
        <v>995</v>
      </c>
      <c r="Z104" s="183">
        <v>526</v>
      </c>
      <c r="AA104" s="181">
        <v>1003</v>
      </c>
      <c r="AB104" s="183">
        <v>485</v>
      </c>
      <c r="AC104" s="181">
        <v>1054</v>
      </c>
      <c r="AD104" s="183">
        <v>527</v>
      </c>
      <c r="AE104" s="181">
        <v>615</v>
      </c>
      <c r="AF104" s="182">
        <v>271</v>
      </c>
      <c r="AG104" s="183">
        <v>140</v>
      </c>
      <c r="AH104" s="133">
        <v>8.0402010050251264E-3</v>
      </c>
      <c r="AI104" s="19">
        <v>5.92964824120603E-2</v>
      </c>
      <c r="AJ104" s="19">
        <v>5.0847457627118647E-2</v>
      </c>
      <c r="AK104" s="19">
        <v>-7.7946768060836502E-2</v>
      </c>
      <c r="AL104" s="19">
        <v>1.9011406844106464E-3</v>
      </c>
      <c r="AM104" s="19">
        <v>8.6597938144329895E-2</v>
      </c>
      <c r="AN104" s="20">
        <v>0.95905368516833489</v>
      </c>
      <c r="AO104" s="19">
        <v>0.47952684258416745</v>
      </c>
      <c r="AP104" s="19">
        <v>0.24658780709736125</v>
      </c>
      <c r="AQ104" s="19">
        <v>0.12738853503184713</v>
      </c>
      <c r="AR104" s="19">
        <v>4.017467248908297E-2</v>
      </c>
      <c r="AS104" s="133">
        <v>6.4604185623293897E-2</v>
      </c>
      <c r="AT104" s="21">
        <v>3.6396724294813468E-3</v>
      </c>
      <c r="AU104" s="16">
        <v>377</v>
      </c>
      <c r="AV104" s="16">
        <v>412</v>
      </c>
      <c r="AW104" s="17">
        <v>458</v>
      </c>
      <c r="AX104" s="133">
        <v>9.2838196286472149E-2</v>
      </c>
      <c r="AY104" s="19">
        <v>0.21485411140583555</v>
      </c>
      <c r="AZ104" s="21">
        <v>0.11165048543689321</v>
      </c>
      <c r="BA104" s="15">
        <v>45</v>
      </c>
      <c r="BB104" s="17">
        <v>41</v>
      </c>
      <c r="BC104" s="15">
        <v>5</v>
      </c>
      <c r="BD104" s="17">
        <v>4</v>
      </c>
      <c r="BE104" s="15">
        <v>673</v>
      </c>
      <c r="BF104" s="16">
        <v>1054</v>
      </c>
      <c r="BG104" s="19">
        <v>0.63851992409867175</v>
      </c>
      <c r="BH104" s="16">
        <v>297</v>
      </c>
      <c r="BI104" s="16">
        <v>458</v>
      </c>
      <c r="BJ104" s="21">
        <v>0.64847161572052403</v>
      </c>
    </row>
    <row r="105" spans="1:62" x14ac:dyDescent="0.25">
      <c r="A105" s="29"/>
      <c r="B105" s="30"/>
      <c r="C105" s="30"/>
      <c r="D105" s="30"/>
      <c r="E105" s="31" t="s">
        <v>68</v>
      </c>
      <c r="F105" s="188">
        <v>1112</v>
      </c>
      <c r="G105" s="189">
        <v>1064</v>
      </c>
      <c r="H105" s="190">
        <v>0</v>
      </c>
      <c r="I105" s="190">
        <v>1064</v>
      </c>
      <c r="J105" s="191">
        <v>0</v>
      </c>
      <c r="K105" s="189">
        <v>0</v>
      </c>
      <c r="L105" s="190">
        <v>0</v>
      </c>
      <c r="M105" s="190">
        <v>1</v>
      </c>
      <c r="N105" s="190">
        <v>0</v>
      </c>
      <c r="O105" s="190">
        <v>0</v>
      </c>
      <c r="P105" s="190">
        <v>0</v>
      </c>
      <c r="Q105" s="190">
        <v>0</v>
      </c>
      <c r="R105" s="191">
        <v>46</v>
      </c>
      <c r="S105" s="188">
        <v>56</v>
      </c>
      <c r="T105" s="189">
        <v>44</v>
      </c>
      <c r="U105" s="190">
        <v>2</v>
      </c>
      <c r="V105" s="190">
        <v>0</v>
      </c>
      <c r="W105" s="190">
        <v>1</v>
      </c>
      <c r="X105" s="191">
        <v>41</v>
      </c>
      <c r="Y105" s="189">
        <v>856</v>
      </c>
      <c r="Z105" s="191">
        <v>496</v>
      </c>
      <c r="AA105" s="189">
        <v>906</v>
      </c>
      <c r="AB105" s="191">
        <v>459</v>
      </c>
      <c r="AC105" s="189">
        <v>974</v>
      </c>
      <c r="AD105" s="191">
        <v>502</v>
      </c>
      <c r="AE105" s="189">
        <v>602</v>
      </c>
      <c r="AF105" s="190">
        <v>265</v>
      </c>
      <c r="AG105" s="191">
        <v>131</v>
      </c>
      <c r="AH105" s="136">
        <v>5.8411214953271028E-2</v>
      </c>
      <c r="AI105" s="33">
        <v>0.13785046728971961</v>
      </c>
      <c r="AJ105" s="33">
        <v>7.505518763796909E-2</v>
      </c>
      <c r="AK105" s="33">
        <v>-7.459677419354839E-2</v>
      </c>
      <c r="AL105" s="33">
        <v>1.2096774193548387E-2</v>
      </c>
      <c r="AM105" s="33">
        <v>9.3681917211328972E-2</v>
      </c>
      <c r="AN105" s="34">
        <v>0.91541353383458646</v>
      </c>
      <c r="AO105" s="33">
        <v>0.4718045112781955</v>
      </c>
      <c r="AP105" s="33">
        <v>0.24906015037593984</v>
      </c>
      <c r="AQ105" s="33">
        <v>0.1231203007518797</v>
      </c>
      <c r="AR105" s="33">
        <v>4.1441441441441441E-2</v>
      </c>
      <c r="AS105" s="136">
        <v>5.2631578947368418E-2</v>
      </c>
      <c r="AT105" s="35">
        <v>1.1278195488721804E-2</v>
      </c>
      <c r="AU105" s="30">
        <v>358</v>
      </c>
      <c r="AV105" s="30">
        <v>393</v>
      </c>
      <c r="AW105" s="31">
        <v>437</v>
      </c>
      <c r="AX105" s="136">
        <v>9.7765363128491614E-2</v>
      </c>
      <c r="AY105" s="33">
        <v>0.2206703910614525</v>
      </c>
      <c r="AZ105" s="35">
        <v>0.11195928753180662</v>
      </c>
      <c r="BA105" s="29">
        <v>44</v>
      </c>
      <c r="BB105" s="31">
        <v>41</v>
      </c>
      <c r="BC105" s="29">
        <v>4.5</v>
      </c>
      <c r="BD105" s="31">
        <v>4</v>
      </c>
      <c r="BE105" s="29">
        <v>643</v>
      </c>
      <c r="BF105" s="30">
        <v>974</v>
      </c>
      <c r="BG105" s="33">
        <v>0.66016427104722797</v>
      </c>
      <c r="BH105" s="30">
        <v>287</v>
      </c>
      <c r="BI105" s="30">
        <v>437</v>
      </c>
      <c r="BJ105" s="35">
        <v>0.65675057208237986</v>
      </c>
    </row>
    <row r="106" spans="1:62" x14ac:dyDescent="0.25">
      <c r="A106" s="29"/>
      <c r="B106" s="30"/>
      <c r="C106" s="30"/>
      <c r="D106" s="30"/>
      <c r="E106" s="31" t="s">
        <v>148</v>
      </c>
      <c r="F106" s="188">
        <v>31</v>
      </c>
      <c r="G106" s="189">
        <v>26</v>
      </c>
      <c r="H106" s="190">
        <v>5</v>
      </c>
      <c r="I106" s="190">
        <v>31</v>
      </c>
      <c r="J106" s="191">
        <v>0</v>
      </c>
      <c r="K106" s="189">
        <v>0</v>
      </c>
      <c r="L106" s="190">
        <v>0</v>
      </c>
      <c r="M106" s="190">
        <v>0</v>
      </c>
      <c r="N106" s="190">
        <v>0</v>
      </c>
      <c r="O106" s="190">
        <v>0</v>
      </c>
      <c r="P106" s="190">
        <v>0</v>
      </c>
      <c r="Q106" s="190">
        <v>0</v>
      </c>
      <c r="R106" s="191">
        <v>0</v>
      </c>
      <c r="S106" s="188">
        <v>15</v>
      </c>
      <c r="T106" s="189">
        <v>21</v>
      </c>
      <c r="U106" s="190">
        <v>0</v>
      </c>
      <c r="V106" s="190">
        <v>0</v>
      </c>
      <c r="W106" s="190">
        <v>0</v>
      </c>
      <c r="X106" s="191">
        <v>21</v>
      </c>
      <c r="Y106" s="189">
        <v>130</v>
      </c>
      <c r="Z106" s="191">
        <v>25</v>
      </c>
      <c r="AA106" s="189">
        <v>95</v>
      </c>
      <c r="AB106" s="191">
        <v>24</v>
      </c>
      <c r="AC106" s="189">
        <v>80</v>
      </c>
      <c r="AD106" s="191">
        <v>25</v>
      </c>
      <c r="AE106" s="189">
        <v>4</v>
      </c>
      <c r="AF106" s="190">
        <v>2</v>
      </c>
      <c r="AG106" s="191">
        <v>9</v>
      </c>
      <c r="AH106" s="136">
        <v>-0.26923076923076922</v>
      </c>
      <c r="AI106" s="33">
        <v>-0.38461538461538464</v>
      </c>
      <c r="AJ106" s="33">
        <v>-0.15789473684210525</v>
      </c>
      <c r="AK106" s="33">
        <v>-0.04</v>
      </c>
      <c r="AL106" s="33">
        <v>0</v>
      </c>
      <c r="AM106" s="33">
        <v>4.1666666666666664E-2</v>
      </c>
      <c r="AN106" s="34">
        <v>3.0769230769230771</v>
      </c>
      <c r="AO106" s="33">
        <v>0.96153846153846156</v>
      </c>
      <c r="AP106" s="33">
        <v>7.6923076923076927E-2</v>
      </c>
      <c r="AQ106" s="33">
        <v>0.34615384615384615</v>
      </c>
      <c r="AR106" s="33">
        <v>0</v>
      </c>
      <c r="AS106" s="136">
        <v>0.57692307692307687</v>
      </c>
      <c r="AT106" s="35">
        <v>-0.23076923076923078</v>
      </c>
      <c r="AU106" s="30">
        <v>28</v>
      </c>
      <c r="AV106" s="30">
        <v>33</v>
      </c>
      <c r="AW106" s="31">
        <v>33</v>
      </c>
      <c r="AX106" s="136">
        <v>0.17857142857142858</v>
      </c>
      <c r="AY106" s="33">
        <v>0.17857142857142858</v>
      </c>
      <c r="AZ106" s="35">
        <v>0</v>
      </c>
      <c r="BA106" s="29">
        <v>58</v>
      </c>
      <c r="BB106" s="31">
        <v>45</v>
      </c>
      <c r="BC106" s="29">
        <v>12</v>
      </c>
      <c r="BD106" s="31">
        <v>10</v>
      </c>
      <c r="BE106" s="29">
        <v>30</v>
      </c>
      <c r="BF106" s="30">
        <v>80</v>
      </c>
      <c r="BG106" s="33">
        <v>0.375</v>
      </c>
      <c r="BH106" s="30">
        <v>16</v>
      </c>
      <c r="BI106" s="30">
        <v>33</v>
      </c>
      <c r="BJ106" s="35">
        <v>0.48484848484848486</v>
      </c>
    </row>
    <row r="107" spans="1:62" x14ac:dyDescent="0.25">
      <c r="A107" s="15"/>
      <c r="B107" s="16"/>
      <c r="C107" s="16" t="s">
        <v>176</v>
      </c>
      <c r="D107" s="16"/>
      <c r="E107" s="17"/>
      <c r="F107" s="180">
        <v>176</v>
      </c>
      <c r="G107" s="181">
        <v>149</v>
      </c>
      <c r="H107" s="182">
        <v>7</v>
      </c>
      <c r="I107" s="182">
        <v>156</v>
      </c>
      <c r="J107" s="183">
        <v>0</v>
      </c>
      <c r="K107" s="181">
        <v>0</v>
      </c>
      <c r="L107" s="182">
        <v>0</v>
      </c>
      <c r="M107" s="182">
        <v>1</v>
      </c>
      <c r="N107" s="182">
        <v>0</v>
      </c>
      <c r="O107" s="182">
        <v>0</v>
      </c>
      <c r="P107" s="182">
        <v>0</v>
      </c>
      <c r="Q107" s="182">
        <v>0</v>
      </c>
      <c r="R107" s="183">
        <v>19</v>
      </c>
      <c r="S107" s="180">
        <v>82</v>
      </c>
      <c r="T107" s="181">
        <v>127</v>
      </c>
      <c r="U107" s="182">
        <v>0</v>
      </c>
      <c r="V107" s="182">
        <v>0</v>
      </c>
      <c r="W107" s="182">
        <v>1</v>
      </c>
      <c r="X107" s="183">
        <v>126</v>
      </c>
      <c r="Y107" s="181">
        <v>444</v>
      </c>
      <c r="Z107" s="183">
        <v>164</v>
      </c>
      <c r="AA107" s="181">
        <v>662</v>
      </c>
      <c r="AB107" s="183">
        <v>200</v>
      </c>
      <c r="AC107" s="181">
        <v>510</v>
      </c>
      <c r="AD107" s="183">
        <v>173</v>
      </c>
      <c r="AE107" s="181">
        <v>55</v>
      </c>
      <c r="AF107" s="182">
        <v>36</v>
      </c>
      <c r="AG107" s="183">
        <v>51</v>
      </c>
      <c r="AH107" s="133">
        <v>0.49099099099099097</v>
      </c>
      <c r="AI107" s="19">
        <v>0.14864864864864866</v>
      </c>
      <c r="AJ107" s="19">
        <v>-0.22960725075528701</v>
      </c>
      <c r="AK107" s="19">
        <v>0.21951219512195122</v>
      </c>
      <c r="AL107" s="19">
        <v>5.4878048780487805E-2</v>
      </c>
      <c r="AM107" s="19">
        <v>-0.13500000000000001</v>
      </c>
      <c r="AN107" s="20">
        <v>3.4228187919463089</v>
      </c>
      <c r="AO107" s="19">
        <v>1.1610738255033557</v>
      </c>
      <c r="AP107" s="19">
        <v>0.24161073825503357</v>
      </c>
      <c r="AQ107" s="19">
        <v>0.34228187919463088</v>
      </c>
      <c r="AR107" s="19">
        <v>0.1130952380952381</v>
      </c>
      <c r="AS107" s="133">
        <v>0.55033557046979864</v>
      </c>
      <c r="AT107" s="21">
        <v>-0.30201342281879195</v>
      </c>
      <c r="AU107" s="16">
        <v>151</v>
      </c>
      <c r="AV107" s="16">
        <v>199</v>
      </c>
      <c r="AW107" s="17">
        <v>159</v>
      </c>
      <c r="AX107" s="133">
        <v>0.31788079470198677</v>
      </c>
      <c r="AY107" s="19">
        <v>5.2980132450331126E-2</v>
      </c>
      <c r="AZ107" s="21">
        <v>-0.20100502512562815</v>
      </c>
      <c r="BA107" s="15">
        <v>16</v>
      </c>
      <c r="BB107" s="17">
        <v>17</v>
      </c>
      <c r="BC107" s="15">
        <v>8</v>
      </c>
      <c r="BD107" s="17">
        <v>7</v>
      </c>
      <c r="BE107" s="15">
        <v>311</v>
      </c>
      <c r="BF107" s="16">
        <v>510</v>
      </c>
      <c r="BG107" s="19">
        <v>0.6098039215686275</v>
      </c>
      <c r="BH107" s="16">
        <v>97</v>
      </c>
      <c r="BI107" s="16">
        <v>159</v>
      </c>
      <c r="BJ107" s="21">
        <v>0.61006289308176098</v>
      </c>
    </row>
    <row r="108" spans="1:62" x14ac:dyDescent="0.25">
      <c r="A108" s="29"/>
      <c r="B108" s="30"/>
      <c r="C108" s="30"/>
      <c r="D108" s="30"/>
      <c r="E108" s="31" t="s">
        <v>148</v>
      </c>
      <c r="F108" s="188">
        <v>176</v>
      </c>
      <c r="G108" s="189">
        <v>149</v>
      </c>
      <c r="H108" s="190">
        <v>7</v>
      </c>
      <c r="I108" s="190">
        <v>156</v>
      </c>
      <c r="J108" s="191">
        <v>0</v>
      </c>
      <c r="K108" s="189">
        <v>0</v>
      </c>
      <c r="L108" s="190">
        <v>0</v>
      </c>
      <c r="M108" s="190">
        <v>1</v>
      </c>
      <c r="N108" s="190">
        <v>0</v>
      </c>
      <c r="O108" s="190">
        <v>0</v>
      </c>
      <c r="P108" s="190">
        <v>0</v>
      </c>
      <c r="Q108" s="190">
        <v>0</v>
      </c>
      <c r="R108" s="191">
        <v>19</v>
      </c>
      <c r="S108" s="188">
        <v>82</v>
      </c>
      <c r="T108" s="189">
        <v>127</v>
      </c>
      <c r="U108" s="190">
        <v>0</v>
      </c>
      <c r="V108" s="190">
        <v>0</v>
      </c>
      <c r="W108" s="190">
        <v>1</v>
      </c>
      <c r="X108" s="191">
        <v>126</v>
      </c>
      <c r="Y108" s="189">
        <v>444</v>
      </c>
      <c r="Z108" s="191">
        <v>164</v>
      </c>
      <c r="AA108" s="189">
        <v>662</v>
      </c>
      <c r="AB108" s="191">
        <v>200</v>
      </c>
      <c r="AC108" s="189">
        <v>510</v>
      </c>
      <c r="AD108" s="191">
        <v>173</v>
      </c>
      <c r="AE108" s="189">
        <v>55</v>
      </c>
      <c r="AF108" s="190">
        <v>36</v>
      </c>
      <c r="AG108" s="191">
        <v>51</v>
      </c>
      <c r="AH108" s="136">
        <v>0.49099099099099097</v>
      </c>
      <c r="AI108" s="33">
        <v>0.14864864864864866</v>
      </c>
      <c r="AJ108" s="33">
        <v>-0.22960725075528701</v>
      </c>
      <c r="AK108" s="33">
        <v>0.21951219512195122</v>
      </c>
      <c r="AL108" s="33">
        <v>5.4878048780487805E-2</v>
      </c>
      <c r="AM108" s="33">
        <v>-0.13500000000000001</v>
      </c>
      <c r="AN108" s="34">
        <v>3.4228187919463089</v>
      </c>
      <c r="AO108" s="33">
        <v>1.1610738255033557</v>
      </c>
      <c r="AP108" s="33">
        <v>0.24161073825503357</v>
      </c>
      <c r="AQ108" s="33">
        <v>0.34228187919463088</v>
      </c>
      <c r="AR108" s="33">
        <v>0.1130952380952381</v>
      </c>
      <c r="AS108" s="136">
        <v>0.55033557046979864</v>
      </c>
      <c r="AT108" s="35">
        <v>-0.30201342281879195</v>
      </c>
      <c r="AU108" s="30">
        <v>151</v>
      </c>
      <c r="AV108" s="30">
        <v>199</v>
      </c>
      <c r="AW108" s="31">
        <v>159</v>
      </c>
      <c r="AX108" s="136">
        <v>0.31788079470198677</v>
      </c>
      <c r="AY108" s="33">
        <v>5.2980132450331126E-2</v>
      </c>
      <c r="AZ108" s="35">
        <v>-0.20100502512562815</v>
      </c>
      <c r="BA108" s="29">
        <v>16</v>
      </c>
      <c r="BB108" s="31">
        <v>17</v>
      </c>
      <c r="BC108" s="29">
        <v>8</v>
      </c>
      <c r="BD108" s="31">
        <v>7</v>
      </c>
      <c r="BE108" s="29">
        <v>311</v>
      </c>
      <c r="BF108" s="30">
        <v>510</v>
      </c>
      <c r="BG108" s="33">
        <v>0.6098039215686275</v>
      </c>
      <c r="BH108" s="30">
        <v>97</v>
      </c>
      <c r="BI108" s="30">
        <v>159</v>
      </c>
      <c r="BJ108" s="35">
        <v>0.61006289308176098</v>
      </c>
    </row>
    <row r="109" spans="1:62" x14ac:dyDescent="0.25">
      <c r="A109" s="15"/>
      <c r="B109" s="16"/>
      <c r="C109" s="16" t="s">
        <v>123</v>
      </c>
      <c r="D109" s="16"/>
      <c r="E109" s="17"/>
      <c r="F109" s="180">
        <v>1248</v>
      </c>
      <c r="G109" s="181">
        <v>993</v>
      </c>
      <c r="H109" s="182">
        <v>55</v>
      </c>
      <c r="I109" s="182">
        <v>1048</v>
      </c>
      <c r="J109" s="183">
        <v>0</v>
      </c>
      <c r="K109" s="181">
        <v>0</v>
      </c>
      <c r="L109" s="182">
        <v>0</v>
      </c>
      <c r="M109" s="182">
        <v>9</v>
      </c>
      <c r="N109" s="182">
        <v>0</v>
      </c>
      <c r="O109" s="182">
        <v>0</v>
      </c>
      <c r="P109" s="182">
        <v>0</v>
      </c>
      <c r="Q109" s="182">
        <v>2</v>
      </c>
      <c r="R109" s="183">
        <v>43</v>
      </c>
      <c r="S109" s="180">
        <v>837</v>
      </c>
      <c r="T109" s="181">
        <v>1068</v>
      </c>
      <c r="U109" s="182">
        <v>7</v>
      </c>
      <c r="V109" s="182">
        <v>4</v>
      </c>
      <c r="W109" s="182">
        <v>9</v>
      </c>
      <c r="X109" s="183">
        <v>1048</v>
      </c>
      <c r="Y109" s="181">
        <v>5081</v>
      </c>
      <c r="Z109" s="183">
        <v>1433</v>
      </c>
      <c r="AA109" s="181">
        <v>4393</v>
      </c>
      <c r="AB109" s="183">
        <v>1298</v>
      </c>
      <c r="AC109" s="181">
        <v>4596</v>
      </c>
      <c r="AD109" s="183">
        <v>1330</v>
      </c>
      <c r="AE109" s="181">
        <v>234</v>
      </c>
      <c r="AF109" s="182">
        <v>156</v>
      </c>
      <c r="AG109" s="183">
        <v>347</v>
      </c>
      <c r="AH109" s="133">
        <v>-0.13540641605983075</v>
      </c>
      <c r="AI109" s="19">
        <v>-9.5453650856130681E-2</v>
      </c>
      <c r="AJ109" s="19">
        <v>4.6209879353516961E-2</v>
      </c>
      <c r="AK109" s="19">
        <v>-9.4207955338450805E-2</v>
      </c>
      <c r="AL109" s="19">
        <v>-7.1877180739706906E-2</v>
      </c>
      <c r="AM109" s="19">
        <v>2.465331278890601E-2</v>
      </c>
      <c r="AN109" s="20">
        <v>4.6283987915407856</v>
      </c>
      <c r="AO109" s="19">
        <v>1.339375629405841</v>
      </c>
      <c r="AP109" s="19">
        <v>0.15709969788519637</v>
      </c>
      <c r="AQ109" s="19">
        <v>0.34944612286002014</v>
      </c>
      <c r="AR109" s="19">
        <v>4.1505791505791506E-2</v>
      </c>
      <c r="AS109" s="133">
        <v>0.8429003021148036</v>
      </c>
      <c r="AT109" s="21">
        <v>-0.23262839879154079</v>
      </c>
      <c r="AU109" s="16">
        <v>789</v>
      </c>
      <c r="AV109" s="16">
        <v>740</v>
      </c>
      <c r="AW109" s="17">
        <v>754</v>
      </c>
      <c r="AX109" s="133">
        <v>-6.2103929024081114E-2</v>
      </c>
      <c r="AY109" s="19">
        <v>-4.4359949302915085E-2</v>
      </c>
      <c r="AZ109" s="21">
        <v>1.891891891891892E-2</v>
      </c>
      <c r="BA109" s="15">
        <v>54</v>
      </c>
      <c r="BB109" s="17">
        <v>45</v>
      </c>
      <c r="BC109" s="15">
        <v>10</v>
      </c>
      <c r="BD109" s="17">
        <v>7</v>
      </c>
      <c r="BE109" s="15">
        <v>2771</v>
      </c>
      <c r="BF109" s="16">
        <v>4596</v>
      </c>
      <c r="BG109" s="19">
        <v>0.6029155787641427</v>
      </c>
      <c r="BH109" s="16">
        <v>420</v>
      </c>
      <c r="BI109" s="16">
        <v>754</v>
      </c>
      <c r="BJ109" s="21">
        <v>0.55702917771883287</v>
      </c>
    </row>
    <row r="110" spans="1:62" x14ac:dyDescent="0.25">
      <c r="A110" s="29"/>
      <c r="B110" s="30"/>
      <c r="C110" s="30"/>
      <c r="D110" s="30"/>
      <c r="E110" s="31" t="s">
        <v>68</v>
      </c>
      <c r="F110" s="188">
        <v>58</v>
      </c>
      <c r="G110" s="189">
        <v>54</v>
      </c>
      <c r="H110" s="190">
        <v>1</v>
      </c>
      <c r="I110" s="190">
        <v>55</v>
      </c>
      <c r="J110" s="191">
        <v>0</v>
      </c>
      <c r="K110" s="189">
        <v>0</v>
      </c>
      <c r="L110" s="190">
        <v>0</v>
      </c>
      <c r="M110" s="190">
        <v>0</v>
      </c>
      <c r="N110" s="190">
        <v>0</v>
      </c>
      <c r="O110" s="190">
        <v>0</v>
      </c>
      <c r="P110" s="190">
        <v>0</v>
      </c>
      <c r="Q110" s="190">
        <v>0</v>
      </c>
      <c r="R110" s="191">
        <v>3</v>
      </c>
      <c r="S110" s="188">
        <v>4</v>
      </c>
      <c r="T110" s="189">
        <v>2</v>
      </c>
      <c r="U110" s="190">
        <v>0</v>
      </c>
      <c r="V110" s="190">
        <v>0</v>
      </c>
      <c r="W110" s="190">
        <v>0</v>
      </c>
      <c r="X110" s="191">
        <v>2</v>
      </c>
      <c r="Y110" s="189">
        <v>58</v>
      </c>
      <c r="Z110" s="191">
        <v>27</v>
      </c>
      <c r="AA110" s="189">
        <v>34</v>
      </c>
      <c r="AB110" s="191">
        <v>14</v>
      </c>
      <c r="AC110" s="189">
        <v>54</v>
      </c>
      <c r="AD110" s="191">
        <v>14</v>
      </c>
      <c r="AE110" s="189">
        <v>44</v>
      </c>
      <c r="AF110" s="190">
        <v>31</v>
      </c>
      <c r="AG110" s="191">
        <v>4</v>
      </c>
      <c r="AH110" s="136">
        <v>-0.41379310344827586</v>
      </c>
      <c r="AI110" s="33">
        <v>-6.8965517241379309E-2</v>
      </c>
      <c r="AJ110" s="33">
        <v>0.58823529411764708</v>
      </c>
      <c r="AK110" s="33">
        <v>-0.48148148148148145</v>
      </c>
      <c r="AL110" s="33">
        <v>-0.48148148148148145</v>
      </c>
      <c r="AM110" s="33">
        <v>0</v>
      </c>
      <c r="AN110" s="34">
        <v>1</v>
      </c>
      <c r="AO110" s="33">
        <v>0.25925925925925924</v>
      </c>
      <c r="AP110" s="33">
        <v>0.57407407407407407</v>
      </c>
      <c r="AQ110" s="33">
        <v>7.407407407407407E-2</v>
      </c>
      <c r="AR110" s="33">
        <v>5.2631578947368418E-2</v>
      </c>
      <c r="AS110" s="136">
        <v>7.407407407407407E-2</v>
      </c>
      <c r="AT110" s="35">
        <v>3.7037037037037035E-2</v>
      </c>
      <c r="AU110" s="30">
        <v>44</v>
      </c>
      <c r="AV110" s="30">
        <v>30</v>
      </c>
      <c r="AW110" s="31">
        <v>39</v>
      </c>
      <c r="AX110" s="136">
        <v>-0.31818181818181818</v>
      </c>
      <c r="AY110" s="33">
        <v>-0.11363636363636363</v>
      </c>
      <c r="AZ110" s="35">
        <v>0.3</v>
      </c>
      <c r="BA110" s="29">
        <v>54</v>
      </c>
      <c r="BB110" s="31">
        <v>49</v>
      </c>
      <c r="BC110" s="29">
        <v>7.5</v>
      </c>
      <c r="BD110" s="31">
        <v>8</v>
      </c>
      <c r="BE110" s="29">
        <v>18</v>
      </c>
      <c r="BF110" s="30">
        <v>54</v>
      </c>
      <c r="BG110" s="33">
        <v>0.33333333333333331</v>
      </c>
      <c r="BH110" s="30">
        <v>17</v>
      </c>
      <c r="BI110" s="30">
        <v>39</v>
      </c>
      <c r="BJ110" s="35">
        <v>0.4358974358974359</v>
      </c>
    </row>
    <row r="111" spans="1:62" x14ac:dyDescent="0.25">
      <c r="A111" s="29"/>
      <c r="B111" s="30"/>
      <c r="C111" s="30"/>
      <c r="D111" s="30"/>
      <c r="E111" s="31" t="s">
        <v>148</v>
      </c>
      <c r="F111" s="188">
        <v>1190</v>
      </c>
      <c r="G111" s="189">
        <v>939</v>
      </c>
      <c r="H111" s="190">
        <v>54</v>
      </c>
      <c r="I111" s="190">
        <v>993</v>
      </c>
      <c r="J111" s="191">
        <v>0</v>
      </c>
      <c r="K111" s="189">
        <v>0</v>
      </c>
      <c r="L111" s="190">
        <v>0</v>
      </c>
      <c r="M111" s="190">
        <v>9</v>
      </c>
      <c r="N111" s="190">
        <v>0</v>
      </c>
      <c r="O111" s="190">
        <v>0</v>
      </c>
      <c r="P111" s="190">
        <v>0</v>
      </c>
      <c r="Q111" s="190">
        <v>2</v>
      </c>
      <c r="R111" s="191">
        <v>40</v>
      </c>
      <c r="S111" s="188">
        <v>833</v>
      </c>
      <c r="T111" s="189">
        <v>1066</v>
      </c>
      <c r="U111" s="190">
        <v>7</v>
      </c>
      <c r="V111" s="190">
        <v>4</v>
      </c>
      <c r="W111" s="190">
        <v>9</v>
      </c>
      <c r="X111" s="191">
        <v>1046</v>
      </c>
      <c r="Y111" s="189">
        <v>5023</v>
      </c>
      <c r="Z111" s="191">
        <v>1406</v>
      </c>
      <c r="AA111" s="189">
        <v>4359</v>
      </c>
      <c r="AB111" s="191">
        <v>1284</v>
      </c>
      <c r="AC111" s="189">
        <v>4542</v>
      </c>
      <c r="AD111" s="191">
        <v>1316</v>
      </c>
      <c r="AE111" s="189">
        <v>190</v>
      </c>
      <c r="AF111" s="190">
        <v>125</v>
      </c>
      <c r="AG111" s="191">
        <v>343</v>
      </c>
      <c r="AH111" s="136">
        <v>-0.13219191718096754</v>
      </c>
      <c r="AI111" s="33">
        <v>-9.5759506271152692E-2</v>
      </c>
      <c r="AJ111" s="33">
        <v>4.1982105987611838E-2</v>
      </c>
      <c r="AK111" s="33">
        <v>-8.6770981507823614E-2</v>
      </c>
      <c r="AL111" s="33">
        <v>-6.4011379800853488E-2</v>
      </c>
      <c r="AM111" s="33">
        <v>2.4922118380062305E-2</v>
      </c>
      <c r="AN111" s="34">
        <v>4.8370607028753998</v>
      </c>
      <c r="AO111" s="33">
        <v>1.4014909478168265</v>
      </c>
      <c r="AP111" s="33">
        <v>0.13312034078807242</v>
      </c>
      <c r="AQ111" s="33">
        <v>0.36528221512247072</v>
      </c>
      <c r="AR111" s="33">
        <v>4.0858018386108273E-2</v>
      </c>
      <c r="AS111" s="136">
        <v>0.88711395101171464</v>
      </c>
      <c r="AT111" s="35">
        <v>-0.24813631522896698</v>
      </c>
      <c r="AU111" s="30">
        <v>762</v>
      </c>
      <c r="AV111" s="30">
        <v>728</v>
      </c>
      <c r="AW111" s="31">
        <v>739</v>
      </c>
      <c r="AX111" s="136">
        <v>-4.4619422572178477E-2</v>
      </c>
      <c r="AY111" s="33">
        <v>-3.0183727034120734E-2</v>
      </c>
      <c r="AZ111" s="35">
        <v>1.510989010989011E-2</v>
      </c>
      <c r="BA111" s="29">
        <v>54</v>
      </c>
      <c r="BB111" s="31">
        <v>45</v>
      </c>
      <c r="BC111" s="29">
        <v>10</v>
      </c>
      <c r="BD111" s="31">
        <v>7</v>
      </c>
      <c r="BE111" s="29">
        <v>2753</v>
      </c>
      <c r="BF111" s="30">
        <v>4542</v>
      </c>
      <c r="BG111" s="33">
        <v>0.60612065169528839</v>
      </c>
      <c r="BH111" s="30">
        <v>414</v>
      </c>
      <c r="BI111" s="30">
        <v>739</v>
      </c>
      <c r="BJ111" s="35">
        <v>0.56021650879566987</v>
      </c>
    </row>
    <row r="112" spans="1:62" x14ac:dyDescent="0.25">
      <c r="A112" s="15"/>
      <c r="B112" s="16"/>
      <c r="C112" s="16" t="s">
        <v>177</v>
      </c>
      <c r="D112" s="16"/>
      <c r="E112" s="17"/>
      <c r="F112" s="180">
        <v>1339</v>
      </c>
      <c r="G112" s="181">
        <v>1276</v>
      </c>
      <c r="H112" s="182">
        <v>1</v>
      </c>
      <c r="I112" s="182">
        <v>1277</v>
      </c>
      <c r="J112" s="183">
        <v>0</v>
      </c>
      <c r="K112" s="181">
        <v>0</v>
      </c>
      <c r="L112" s="182">
        <v>0</v>
      </c>
      <c r="M112" s="182">
        <v>6</v>
      </c>
      <c r="N112" s="182">
        <v>0</v>
      </c>
      <c r="O112" s="182">
        <v>0</v>
      </c>
      <c r="P112" s="182">
        <v>0</v>
      </c>
      <c r="Q112" s="182">
        <v>3</v>
      </c>
      <c r="R112" s="183">
        <v>52</v>
      </c>
      <c r="S112" s="180">
        <v>87</v>
      </c>
      <c r="T112" s="181">
        <v>78</v>
      </c>
      <c r="U112" s="182">
        <v>0</v>
      </c>
      <c r="V112" s="182">
        <v>3</v>
      </c>
      <c r="W112" s="182">
        <v>3</v>
      </c>
      <c r="X112" s="183">
        <v>72</v>
      </c>
      <c r="Y112" s="181">
        <v>1459</v>
      </c>
      <c r="Z112" s="183">
        <v>628</v>
      </c>
      <c r="AA112" s="181">
        <v>1581</v>
      </c>
      <c r="AB112" s="183">
        <v>691</v>
      </c>
      <c r="AC112" s="181">
        <v>1488</v>
      </c>
      <c r="AD112" s="183">
        <v>658</v>
      </c>
      <c r="AE112" s="181">
        <v>676</v>
      </c>
      <c r="AF112" s="182">
        <v>271</v>
      </c>
      <c r="AG112" s="183">
        <v>164</v>
      </c>
      <c r="AH112" s="133">
        <v>8.3618917066483889E-2</v>
      </c>
      <c r="AI112" s="19">
        <v>1.9876627827278958E-2</v>
      </c>
      <c r="AJ112" s="19">
        <v>-5.8823529411764705E-2</v>
      </c>
      <c r="AK112" s="19">
        <v>0.10031847133757962</v>
      </c>
      <c r="AL112" s="19">
        <v>4.7770700636942678E-2</v>
      </c>
      <c r="AM112" s="19">
        <v>-4.7756874095513747E-2</v>
      </c>
      <c r="AN112" s="20">
        <v>1.1661442006269593</v>
      </c>
      <c r="AO112" s="19">
        <v>0.51567398119122254</v>
      </c>
      <c r="AP112" s="19">
        <v>0.21238244514106583</v>
      </c>
      <c r="AQ112" s="19">
        <v>0.12852664576802508</v>
      </c>
      <c r="AR112" s="19">
        <v>3.9156626506024098E-2</v>
      </c>
      <c r="AS112" s="133">
        <v>6.8181818181818177E-2</v>
      </c>
      <c r="AT112" s="21">
        <v>7.0532915360501571E-3</v>
      </c>
      <c r="AU112" s="16">
        <v>561</v>
      </c>
      <c r="AV112" s="16">
        <v>561</v>
      </c>
      <c r="AW112" s="17">
        <v>541</v>
      </c>
      <c r="AX112" s="133">
        <v>0</v>
      </c>
      <c r="AY112" s="19">
        <v>-3.5650623885918005E-2</v>
      </c>
      <c r="AZ112" s="21">
        <v>-3.5650623885918005E-2</v>
      </c>
      <c r="BA112" s="15">
        <v>45</v>
      </c>
      <c r="BB112" s="17">
        <v>40</v>
      </c>
      <c r="BC112" s="15">
        <v>5</v>
      </c>
      <c r="BD112" s="17">
        <v>4</v>
      </c>
      <c r="BE112" s="15">
        <v>861</v>
      </c>
      <c r="BF112" s="16">
        <v>1488</v>
      </c>
      <c r="BG112" s="19">
        <v>0.5786290322580645</v>
      </c>
      <c r="BH112" s="16">
        <v>322</v>
      </c>
      <c r="BI112" s="16">
        <v>541</v>
      </c>
      <c r="BJ112" s="21">
        <v>0.59519408502772642</v>
      </c>
    </row>
    <row r="113" spans="1:62" x14ac:dyDescent="0.25">
      <c r="A113" s="29"/>
      <c r="B113" s="30"/>
      <c r="C113" s="30"/>
      <c r="D113" s="30"/>
      <c r="E113" s="31" t="s">
        <v>68</v>
      </c>
      <c r="F113" s="188">
        <v>1231</v>
      </c>
      <c r="G113" s="189">
        <v>1171</v>
      </c>
      <c r="H113" s="190">
        <v>0</v>
      </c>
      <c r="I113" s="190">
        <v>1171</v>
      </c>
      <c r="J113" s="191">
        <v>0</v>
      </c>
      <c r="K113" s="189">
        <v>0</v>
      </c>
      <c r="L113" s="190">
        <v>0</v>
      </c>
      <c r="M113" s="190">
        <v>6</v>
      </c>
      <c r="N113" s="190">
        <v>0</v>
      </c>
      <c r="O113" s="190">
        <v>0</v>
      </c>
      <c r="P113" s="190">
        <v>0</v>
      </c>
      <c r="Q113" s="190">
        <v>3</v>
      </c>
      <c r="R113" s="191">
        <v>51</v>
      </c>
      <c r="S113" s="188">
        <v>77</v>
      </c>
      <c r="T113" s="189">
        <v>20</v>
      </c>
      <c r="U113" s="190">
        <v>0</v>
      </c>
      <c r="V113" s="190">
        <v>2</v>
      </c>
      <c r="W113" s="190">
        <v>3</v>
      </c>
      <c r="X113" s="191">
        <v>15</v>
      </c>
      <c r="Y113" s="189">
        <v>1342</v>
      </c>
      <c r="Z113" s="191">
        <v>584</v>
      </c>
      <c r="AA113" s="189">
        <v>1455</v>
      </c>
      <c r="AB113" s="191">
        <v>612</v>
      </c>
      <c r="AC113" s="189">
        <v>1377</v>
      </c>
      <c r="AD113" s="191">
        <v>603</v>
      </c>
      <c r="AE113" s="189">
        <v>621</v>
      </c>
      <c r="AF113" s="190">
        <v>267</v>
      </c>
      <c r="AG113" s="191">
        <v>160</v>
      </c>
      <c r="AH113" s="136">
        <v>8.4202682563338307E-2</v>
      </c>
      <c r="AI113" s="33">
        <v>2.608047690014903E-2</v>
      </c>
      <c r="AJ113" s="33">
        <v>-5.3608247422680409E-2</v>
      </c>
      <c r="AK113" s="33">
        <v>4.7945205479452052E-2</v>
      </c>
      <c r="AL113" s="33">
        <v>3.2534246575342464E-2</v>
      </c>
      <c r="AM113" s="33">
        <v>-1.4705882352941176E-2</v>
      </c>
      <c r="AN113" s="34">
        <v>1.1759180187873612</v>
      </c>
      <c r="AO113" s="33">
        <v>0.51494449188727587</v>
      </c>
      <c r="AP113" s="33">
        <v>0.22801024765157984</v>
      </c>
      <c r="AQ113" s="33">
        <v>0.13663535439795046</v>
      </c>
      <c r="AR113" s="33">
        <v>4.1734860883797055E-2</v>
      </c>
      <c r="AS113" s="136">
        <v>6.575576430401367E-2</v>
      </c>
      <c r="AT113" s="35">
        <v>4.8676345004269858E-2</v>
      </c>
      <c r="AU113" s="30">
        <v>544</v>
      </c>
      <c r="AV113" s="30">
        <v>548</v>
      </c>
      <c r="AW113" s="31">
        <v>523</v>
      </c>
      <c r="AX113" s="136">
        <v>7.3529411764705881E-3</v>
      </c>
      <c r="AY113" s="33">
        <v>-3.860294117647059E-2</v>
      </c>
      <c r="AZ113" s="35">
        <v>-4.5620437956204379E-2</v>
      </c>
      <c r="BA113" s="29">
        <v>44</v>
      </c>
      <c r="BB113" s="31">
        <v>40</v>
      </c>
      <c r="BC113" s="29">
        <v>4</v>
      </c>
      <c r="BD113" s="31">
        <v>4</v>
      </c>
      <c r="BE113" s="29">
        <v>790</v>
      </c>
      <c r="BF113" s="30">
        <v>1377</v>
      </c>
      <c r="BG113" s="33">
        <v>0.57371096586782866</v>
      </c>
      <c r="BH113" s="30">
        <v>312</v>
      </c>
      <c r="BI113" s="30">
        <v>523</v>
      </c>
      <c r="BJ113" s="35">
        <v>0.59655831739961762</v>
      </c>
    </row>
    <row r="114" spans="1:62" x14ac:dyDescent="0.25">
      <c r="A114" s="29"/>
      <c r="B114" s="30"/>
      <c r="C114" s="30"/>
      <c r="D114" s="30"/>
      <c r="E114" s="31" t="s">
        <v>148</v>
      </c>
      <c r="F114" s="188">
        <v>62</v>
      </c>
      <c r="G114" s="189">
        <v>60</v>
      </c>
      <c r="H114" s="190">
        <v>1</v>
      </c>
      <c r="I114" s="190">
        <v>61</v>
      </c>
      <c r="J114" s="191">
        <v>0</v>
      </c>
      <c r="K114" s="189">
        <v>0</v>
      </c>
      <c r="L114" s="190">
        <v>0</v>
      </c>
      <c r="M114" s="190">
        <v>0</v>
      </c>
      <c r="N114" s="190">
        <v>0</v>
      </c>
      <c r="O114" s="190">
        <v>0</v>
      </c>
      <c r="P114" s="190">
        <v>0</v>
      </c>
      <c r="Q114" s="190">
        <v>0</v>
      </c>
      <c r="R114" s="191">
        <v>0</v>
      </c>
      <c r="S114" s="188">
        <v>9</v>
      </c>
      <c r="T114" s="189">
        <v>58</v>
      </c>
      <c r="U114" s="190">
        <v>0</v>
      </c>
      <c r="V114" s="190">
        <v>1</v>
      </c>
      <c r="W114" s="190">
        <v>0</v>
      </c>
      <c r="X114" s="191">
        <v>57</v>
      </c>
      <c r="Y114" s="189">
        <v>57</v>
      </c>
      <c r="Z114" s="191">
        <v>16</v>
      </c>
      <c r="AA114" s="189">
        <v>71</v>
      </c>
      <c r="AB114" s="191">
        <v>51</v>
      </c>
      <c r="AC114" s="189">
        <v>55</v>
      </c>
      <c r="AD114" s="191">
        <v>26</v>
      </c>
      <c r="AE114" s="189">
        <v>40</v>
      </c>
      <c r="AF114" s="190">
        <v>1</v>
      </c>
      <c r="AG114" s="191">
        <v>1</v>
      </c>
      <c r="AH114" s="136">
        <v>0.24561403508771928</v>
      </c>
      <c r="AI114" s="33">
        <v>-3.5087719298245612E-2</v>
      </c>
      <c r="AJ114" s="33">
        <v>-0.22535211267605634</v>
      </c>
      <c r="AK114" s="33">
        <v>2.1875</v>
      </c>
      <c r="AL114" s="33">
        <v>0.625</v>
      </c>
      <c r="AM114" s="33">
        <v>-0.49019607843137253</v>
      </c>
      <c r="AN114" s="34">
        <v>0.91666666666666663</v>
      </c>
      <c r="AO114" s="33">
        <v>0.43333333333333335</v>
      </c>
      <c r="AP114" s="33">
        <v>1.6666666666666666E-2</v>
      </c>
      <c r="AQ114" s="33">
        <v>1.6666666666666666E-2</v>
      </c>
      <c r="AR114" s="33">
        <v>0</v>
      </c>
      <c r="AS114" s="136">
        <v>0.15</v>
      </c>
      <c r="AT114" s="35">
        <v>-0.81666666666666665</v>
      </c>
      <c r="AU114" s="30">
        <v>17</v>
      </c>
      <c r="AV114" s="30">
        <v>17</v>
      </c>
      <c r="AW114" s="31">
        <v>21</v>
      </c>
      <c r="AX114" s="136">
        <v>0</v>
      </c>
      <c r="AY114" s="33">
        <v>0.23529411764705882</v>
      </c>
      <c r="AZ114" s="35">
        <v>0.23529411764705882</v>
      </c>
      <c r="BA114" s="29">
        <v>58</v>
      </c>
      <c r="BB114" s="31">
        <v>44</v>
      </c>
      <c r="BC114" s="29">
        <v>12</v>
      </c>
      <c r="BD114" s="31">
        <v>12</v>
      </c>
      <c r="BE114" s="29">
        <v>29</v>
      </c>
      <c r="BF114" s="30">
        <v>55</v>
      </c>
      <c r="BG114" s="33">
        <v>0.52727272727272723</v>
      </c>
      <c r="BH114" s="30">
        <v>10</v>
      </c>
      <c r="BI114" s="30">
        <v>21</v>
      </c>
      <c r="BJ114" s="35">
        <v>0.47619047619047616</v>
      </c>
    </row>
    <row r="115" spans="1:62" x14ac:dyDescent="0.25">
      <c r="A115" s="29"/>
      <c r="B115" s="30"/>
      <c r="C115" s="30"/>
      <c r="D115" s="30"/>
      <c r="E115" s="31" t="s">
        <v>97</v>
      </c>
      <c r="F115" s="188">
        <v>46</v>
      </c>
      <c r="G115" s="189">
        <v>45</v>
      </c>
      <c r="H115" s="190">
        <v>0</v>
      </c>
      <c r="I115" s="190">
        <v>45</v>
      </c>
      <c r="J115" s="191">
        <v>0</v>
      </c>
      <c r="K115" s="189">
        <v>0</v>
      </c>
      <c r="L115" s="190">
        <v>0</v>
      </c>
      <c r="M115" s="190">
        <v>0</v>
      </c>
      <c r="N115" s="190">
        <v>0</v>
      </c>
      <c r="O115" s="190">
        <v>0</v>
      </c>
      <c r="P115" s="190">
        <v>0</v>
      </c>
      <c r="Q115" s="190">
        <v>0</v>
      </c>
      <c r="R115" s="191">
        <v>1</v>
      </c>
      <c r="S115" s="188">
        <v>1</v>
      </c>
      <c r="T115" s="189"/>
      <c r="U115" s="190"/>
      <c r="V115" s="190"/>
      <c r="W115" s="190"/>
      <c r="X115" s="191"/>
      <c r="Y115" s="189">
        <v>60</v>
      </c>
      <c r="Z115" s="191">
        <v>28</v>
      </c>
      <c r="AA115" s="189">
        <v>55</v>
      </c>
      <c r="AB115" s="191">
        <v>28</v>
      </c>
      <c r="AC115" s="189">
        <v>56</v>
      </c>
      <c r="AD115" s="191">
        <v>29</v>
      </c>
      <c r="AE115" s="189">
        <v>15</v>
      </c>
      <c r="AF115" s="190">
        <v>3</v>
      </c>
      <c r="AG115" s="191">
        <v>3</v>
      </c>
      <c r="AH115" s="136">
        <v>-8.3333333333333329E-2</v>
      </c>
      <c r="AI115" s="33">
        <v>-6.6666666666666666E-2</v>
      </c>
      <c r="AJ115" s="33">
        <v>1.8181818181818181E-2</v>
      </c>
      <c r="AK115" s="33">
        <v>0</v>
      </c>
      <c r="AL115" s="33">
        <v>3.5714285714285712E-2</v>
      </c>
      <c r="AM115" s="33">
        <v>3.5714285714285712E-2</v>
      </c>
      <c r="AN115" s="34">
        <v>1.2444444444444445</v>
      </c>
      <c r="AO115" s="33">
        <v>0.64444444444444449</v>
      </c>
      <c r="AP115" s="33">
        <v>6.6666666666666666E-2</v>
      </c>
      <c r="AQ115" s="33">
        <v>6.6666666666666666E-2</v>
      </c>
      <c r="AR115" s="33">
        <v>2.1739130434782608E-2</v>
      </c>
      <c r="AS115" s="136">
        <v>2.2222222222222223E-2</v>
      </c>
      <c r="AT115" s="35">
        <v>2.2222222222222223E-2</v>
      </c>
      <c r="AU115" s="30">
        <v>20</v>
      </c>
      <c r="AV115" s="30">
        <v>23</v>
      </c>
      <c r="AW115" s="31">
        <v>21</v>
      </c>
      <c r="AX115" s="136">
        <v>0.15</v>
      </c>
      <c r="AY115" s="33">
        <v>0.05</v>
      </c>
      <c r="AZ115" s="35">
        <v>-8.6956521739130432E-2</v>
      </c>
      <c r="BA115" s="29">
        <v>56</v>
      </c>
      <c r="BB115" s="31">
        <v>52</v>
      </c>
      <c r="BC115" s="29">
        <v>1</v>
      </c>
      <c r="BD115" s="31">
        <v>4</v>
      </c>
      <c r="BE115" s="29">
        <v>42</v>
      </c>
      <c r="BF115" s="30">
        <v>56</v>
      </c>
      <c r="BG115" s="33">
        <v>0.75</v>
      </c>
      <c r="BH115" s="30">
        <v>13</v>
      </c>
      <c r="BI115" s="30">
        <v>21</v>
      </c>
      <c r="BJ115" s="35">
        <v>0.61904761904761907</v>
      </c>
    </row>
    <row r="116" spans="1:62" x14ac:dyDescent="0.25">
      <c r="A116" s="15"/>
      <c r="B116" s="16"/>
      <c r="C116" s="16" t="s">
        <v>178</v>
      </c>
      <c r="D116" s="16"/>
      <c r="E116" s="17"/>
      <c r="F116" s="180">
        <v>958</v>
      </c>
      <c r="G116" s="181">
        <v>801</v>
      </c>
      <c r="H116" s="182">
        <v>10</v>
      </c>
      <c r="I116" s="182">
        <v>810</v>
      </c>
      <c r="J116" s="183">
        <v>1</v>
      </c>
      <c r="K116" s="181">
        <v>0</v>
      </c>
      <c r="L116" s="182">
        <v>0</v>
      </c>
      <c r="M116" s="182">
        <v>7</v>
      </c>
      <c r="N116" s="182">
        <v>2</v>
      </c>
      <c r="O116" s="182">
        <v>0</v>
      </c>
      <c r="P116" s="182">
        <v>0</v>
      </c>
      <c r="Q116" s="182">
        <v>16</v>
      </c>
      <c r="R116" s="183">
        <v>110</v>
      </c>
      <c r="S116" s="180">
        <v>118</v>
      </c>
      <c r="T116" s="181">
        <v>58</v>
      </c>
      <c r="U116" s="182">
        <v>2</v>
      </c>
      <c r="V116" s="182">
        <v>11</v>
      </c>
      <c r="W116" s="182">
        <v>4</v>
      </c>
      <c r="X116" s="183">
        <v>41</v>
      </c>
      <c r="Y116" s="181">
        <v>2223</v>
      </c>
      <c r="Z116" s="183">
        <v>661</v>
      </c>
      <c r="AA116" s="181">
        <v>2076</v>
      </c>
      <c r="AB116" s="183">
        <v>678</v>
      </c>
      <c r="AC116" s="181">
        <v>1947</v>
      </c>
      <c r="AD116" s="183">
        <v>663</v>
      </c>
      <c r="AE116" s="181">
        <v>293</v>
      </c>
      <c r="AF116" s="182">
        <v>103</v>
      </c>
      <c r="AG116" s="183">
        <v>305</v>
      </c>
      <c r="AH116" s="133">
        <v>-6.6126855600539811E-2</v>
      </c>
      <c r="AI116" s="19">
        <v>-0.12415654520917679</v>
      </c>
      <c r="AJ116" s="19">
        <v>-6.2138728323699419E-2</v>
      </c>
      <c r="AK116" s="19">
        <v>2.5718608169440244E-2</v>
      </c>
      <c r="AL116" s="19">
        <v>3.0257186081694403E-3</v>
      </c>
      <c r="AM116" s="19">
        <v>-2.2123893805309734E-2</v>
      </c>
      <c r="AN116" s="20">
        <v>2.4307116104868913</v>
      </c>
      <c r="AO116" s="19">
        <v>0.82771535580524347</v>
      </c>
      <c r="AP116" s="19">
        <v>0.1285892634207241</v>
      </c>
      <c r="AQ116" s="19">
        <v>0.3807740324594257</v>
      </c>
      <c r="AR116" s="19">
        <v>0.12074643249176729</v>
      </c>
      <c r="AS116" s="133">
        <v>0.14731585518102372</v>
      </c>
      <c r="AT116" s="21">
        <v>7.4906367041198504E-2</v>
      </c>
      <c r="AU116" s="16">
        <v>713</v>
      </c>
      <c r="AV116" s="16">
        <v>716</v>
      </c>
      <c r="AW116" s="17">
        <v>667</v>
      </c>
      <c r="AX116" s="133">
        <v>4.2075736325385693E-3</v>
      </c>
      <c r="AY116" s="19">
        <v>-6.4516129032258063E-2</v>
      </c>
      <c r="AZ116" s="21">
        <v>-6.8435754189944131E-2</v>
      </c>
      <c r="BA116" s="15">
        <v>26</v>
      </c>
      <c r="BB116" s="17">
        <v>27</v>
      </c>
      <c r="BC116" s="15">
        <v>3</v>
      </c>
      <c r="BD116" s="17">
        <v>3</v>
      </c>
      <c r="BE116" s="15">
        <v>1428</v>
      </c>
      <c r="BF116" s="16">
        <v>1947</v>
      </c>
      <c r="BG116" s="19">
        <v>0.73343605546995383</v>
      </c>
      <c r="BH116" s="16">
        <v>462</v>
      </c>
      <c r="BI116" s="16">
        <v>667</v>
      </c>
      <c r="BJ116" s="21">
        <v>0.6926536731634183</v>
      </c>
    </row>
    <row r="117" spans="1:62" x14ac:dyDescent="0.25">
      <c r="A117" s="29"/>
      <c r="B117" s="30"/>
      <c r="C117" s="30"/>
      <c r="D117" s="30"/>
      <c r="E117" s="31" t="s">
        <v>68</v>
      </c>
      <c r="F117" s="188">
        <v>807</v>
      </c>
      <c r="G117" s="189">
        <v>667</v>
      </c>
      <c r="H117" s="190">
        <v>6</v>
      </c>
      <c r="I117" s="190">
        <v>672</v>
      </c>
      <c r="J117" s="191">
        <v>1</v>
      </c>
      <c r="K117" s="189">
        <v>0</v>
      </c>
      <c r="L117" s="190">
        <v>0</v>
      </c>
      <c r="M117" s="190">
        <v>7</v>
      </c>
      <c r="N117" s="190">
        <v>2</v>
      </c>
      <c r="O117" s="190">
        <v>0</v>
      </c>
      <c r="P117" s="190">
        <v>0</v>
      </c>
      <c r="Q117" s="190">
        <v>16</v>
      </c>
      <c r="R117" s="191">
        <v>106</v>
      </c>
      <c r="S117" s="188">
        <v>69</v>
      </c>
      <c r="T117" s="189">
        <v>24</v>
      </c>
      <c r="U117" s="190">
        <v>1</v>
      </c>
      <c r="V117" s="190">
        <v>11</v>
      </c>
      <c r="W117" s="190">
        <v>4</v>
      </c>
      <c r="X117" s="191">
        <v>8</v>
      </c>
      <c r="Y117" s="189">
        <v>1995</v>
      </c>
      <c r="Z117" s="191">
        <v>561</v>
      </c>
      <c r="AA117" s="189">
        <v>1886</v>
      </c>
      <c r="AB117" s="191">
        <v>579</v>
      </c>
      <c r="AC117" s="189">
        <v>1740</v>
      </c>
      <c r="AD117" s="191">
        <v>568</v>
      </c>
      <c r="AE117" s="189">
        <v>233</v>
      </c>
      <c r="AF117" s="190">
        <v>73</v>
      </c>
      <c r="AG117" s="191">
        <v>289</v>
      </c>
      <c r="AH117" s="136">
        <v>-5.463659147869674E-2</v>
      </c>
      <c r="AI117" s="33">
        <v>-0.12781954887218044</v>
      </c>
      <c r="AJ117" s="33">
        <v>-7.7412513255567333E-2</v>
      </c>
      <c r="AK117" s="33">
        <v>3.2085561497326207E-2</v>
      </c>
      <c r="AL117" s="33">
        <v>1.2477718360071301E-2</v>
      </c>
      <c r="AM117" s="33">
        <v>-1.8998272884283247E-2</v>
      </c>
      <c r="AN117" s="34">
        <v>2.6086956521739131</v>
      </c>
      <c r="AO117" s="33">
        <v>0.85157421289355317</v>
      </c>
      <c r="AP117" s="33">
        <v>0.10944527736131934</v>
      </c>
      <c r="AQ117" s="33">
        <v>0.43328335832083958</v>
      </c>
      <c r="AR117" s="33">
        <v>0.1371280724450194</v>
      </c>
      <c r="AS117" s="136">
        <v>0.10344827586206896</v>
      </c>
      <c r="AT117" s="35">
        <v>6.7466266866566718E-2</v>
      </c>
      <c r="AU117" s="30">
        <v>685</v>
      </c>
      <c r="AV117" s="30">
        <v>686</v>
      </c>
      <c r="AW117" s="31">
        <v>636</v>
      </c>
      <c r="AX117" s="136">
        <v>1.4598540145985401E-3</v>
      </c>
      <c r="AY117" s="33">
        <v>-7.153284671532846E-2</v>
      </c>
      <c r="AZ117" s="35">
        <v>-7.2886297376093298E-2</v>
      </c>
      <c r="BA117" s="29">
        <v>28</v>
      </c>
      <c r="BB117" s="31">
        <v>27</v>
      </c>
      <c r="BC117" s="29">
        <v>3</v>
      </c>
      <c r="BD117" s="31">
        <v>3</v>
      </c>
      <c r="BE117" s="29">
        <v>1281</v>
      </c>
      <c r="BF117" s="30">
        <v>1740</v>
      </c>
      <c r="BG117" s="33">
        <v>0.73620689655172411</v>
      </c>
      <c r="BH117" s="30">
        <v>438</v>
      </c>
      <c r="BI117" s="30">
        <v>636</v>
      </c>
      <c r="BJ117" s="35">
        <v>0.68867924528301883</v>
      </c>
    </row>
    <row r="118" spans="1:62" x14ac:dyDescent="0.25">
      <c r="A118" s="29"/>
      <c r="B118" s="30"/>
      <c r="C118" s="30"/>
      <c r="D118" s="30"/>
      <c r="E118" s="31" t="s">
        <v>148</v>
      </c>
      <c r="F118" s="188">
        <v>141</v>
      </c>
      <c r="G118" s="189">
        <v>125</v>
      </c>
      <c r="H118" s="190">
        <v>4</v>
      </c>
      <c r="I118" s="190">
        <v>129</v>
      </c>
      <c r="J118" s="191">
        <v>0</v>
      </c>
      <c r="K118" s="189">
        <v>0</v>
      </c>
      <c r="L118" s="190">
        <v>0</v>
      </c>
      <c r="M118" s="190">
        <v>0</v>
      </c>
      <c r="N118" s="190">
        <v>0</v>
      </c>
      <c r="O118" s="190">
        <v>0</v>
      </c>
      <c r="P118" s="190">
        <v>0</v>
      </c>
      <c r="Q118" s="190">
        <v>0</v>
      </c>
      <c r="R118" s="191">
        <v>3</v>
      </c>
      <c r="S118" s="188">
        <v>49</v>
      </c>
      <c r="T118" s="189">
        <v>34</v>
      </c>
      <c r="U118" s="190">
        <v>1</v>
      </c>
      <c r="V118" s="190">
        <v>0</v>
      </c>
      <c r="W118" s="190">
        <v>0</v>
      </c>
      <c r="X118" s="191">
        <v>33</v>
      </c>
      <c r="Y118" s="189">
        <v>218</v>
      </c>
      <c r="Z118" s="191">
        <v>95</v>
      </c>
      <c r="AA118" s="189">
        <v>187</v>
      </c>
      <c r="AB118" s="191">
        <v>96</v>
      </c>
      <c r="AC118" s="189">
        <v>202</v>
      </c>
      <c r="AD118" s="191">
        <v>91</v>
      </c>
      <c r="AE118" s="189">
        <v>54</v>
      </c>
      <c r="AF118" s="190">
        <v>29</v>
      </c>
      <c r="AG118" s="191">
        <v>15</v>
      </c>
      <c r="AH118" s="136">
        <v>-0.14220183486238533</v>
      </c>
      <c r="AI118" s="33">
        <v>-7.3394495412844041E-2</v>
      </c>
      <c r="AJ118" s="33">
        <v>8.0213903743315509E-2</v>
      </c>
      <c r="AK118" s="33">
        <v>1.0526315789473684E-2</v>
      </c>
      <c r="AL118" s="33">
        <v>-4.2105263157894736E-2</v>
      </c>
      <c r="AM118" s="33">
        <v>-5.2083333333333336E-2</v>
      </c>
      <c r="AN118" s="34">
        <v>1.6160000000000001</v>
      </c>
      <c r="AO118" s="33">
        <v>0.72799999999999998</v>
      </c>
      <c r="AP118" s="33">
        <v>0.23200000000000001</v>
      </c>
      <c r="AQ118" s="33">
        <v>0.12</v>
      </c>
      <c r="AR118" s="33">
        <v>2.34375E-2</v>
      </c>
      <c r="AS118" s="136">
        <v>0.39200000000000002</v>
      </c>
      <c r="AT118" s="35">
        <v>0.12</v>
      </c>
      <c r="AU118" s="30">
        <v>94</v>
      </c>
      <c r="AV118" s="30">
        <v>85</v>
      </c>
      <c r="AW118" s="31">
        <v>83</v>
      </c>
      <c r="AX118" s="136">
        <v>-9.5744680851063829E-2</v>
      </c>
      <c r="AY118" s="33">
        <v>-0.11702127659574468</v>
      </c>
      <c r="AZ118" s="35">
        <v>-2.3529411764705882E-2</v>
      </c>
      <c r="BA118" s="29">
        <v>18</v>
      </c>
      <c r="BB118" s="31">
        <v>19</v>
      </c>
      <c r="BC118" s="29">
        <v>5</v>
      </c>
      <c r="BD118" s="31">
        <v>5</v>
      </c>
      <c r="BE118" s="29">
        <v>143</v>
      </c>
      <c r="BF118" s="30">
        <v>202</v>
      </c>
      <c r="BG118" s="33">
        <v>0.70792079207920788</v>
      </c>
      <c r="BH118" s="30">
        <v>59</v>
      </c>
      <c r="BI118" s="30">
        <v>83</v>
      </c>
      <c r="BJ118" s="35">
        <v>0.71084337349397586</v>
      </c>
    </row>
    <row r="119" spans="1:62" x14ac:dyDescent="0.25">
      <c r="A119" s="15"/>
      <c r="B119" s="16"/>
      <c r="C119" s="16" t="s">
        <v>124</v>
      </c>
      <c r="D119" s="16"/>
      <c r="E119" s="17"/>
      <c r="F119" s="180">
        <v>2067</v>
      </c>
      <c r="G119" s="181">
        <v>1907</v>
      </c>
      <c r="H119" s="182">
        <v>37</v>
      </c>
      <c r="I119" s="182">
        <v>1944</v>
      </c>
      <c r="J119" s="183">
        <v>0</v>
      </c>
      <c r="K119" s="181">
        <v>0</v>
      </c>
      <c r="L119" s="182">
        <v>0</v>
      </c>
      <c r="M119" s="182">
        <v>11</v>
      </c>
      <c r="N119" s="182">
        <v>0</v>
      </c>
      <c r="O119" s="182">
        <v>1</v>
      </c>
      <c r="P119" s="182">
        <v>0</v>
      </c>
      <c r="Q119" s="182">
        <v>8</v>
      </c>
      <c r="R119" s="183">
        <v>61</v>
      </c>
      <c r="S119" s="180">
        <v>276</v>
      </c>
      <c r="T119" s="181">
        <v>160</v>
      </c>
      <c r="U119" s="182">
        <v>2</v>
      </c>
      <c r="V119" s="182">
        <v>6</v>
      </c>
      <c r="W119" s="182">
        <v>5</v>
      </c>
      <c r="X119" s="183">
        <v>147</v>
      </c>
      <c r="Y119" s="181">
        <v>2623</v>
      </c>
      <c r="Z119" s="183">
        <v>1106</v>
      </c>
      <c r="AA119" s="181">
        <v>2351</v>
      </c>
      <c r="AB119" s="183">
        <v>1008</v>
      </c>
      <c r="AC119" s="181">
        <v>2410</v>
      </c>
      <c r="AD119" s="183">
        <v>1035</v>
      </c>
      <c r="AE119" s="181">
        <v>1051</v>
      </c>
      <c r="AF119" s="182">
        <v>457</v>
      </c>
      <c r="AG119" s="183">
        <v>281</v>
      </c>
      <c r="AH119" s="133">
        <v>-0.10369805566145635</v>
      </c>
      <c r="AI119" s="19">
        <v>-8.1204727411361033E-2</v>
      </c>
      <c r="AJ119" s="19">
        <v>2.5095703955763504E-2</v>
      </c>
      <c r="AK119" s="19">
        <v>-8.8607594936708861E-2</v>
      </c>
      <c r="AL119" s="19">
        <v>-6.419529837251356E-2</v>
      </c>
      <c r="AM119" s="19">
        <v>2.6785714285714284E-2</v>
      </c>
      <c r="AN119" s="20">
        <v>1.263765076035658</v>
      </c>
      <c r="AO119" s="19">
        <v>0.5427372836916623</v>
      </c>
      <c r="AP119" s="19">
        <v>0.23964341898269534</v>
      </c>
      <c r="AQ119" s="19">
        <v>0.14735186156266386</v>
      </c>
      <c r="AR119" s="19">
        <v>3.0995934959349592E-2</v>
      </c>
      <c r="AS119" s="133">
        <v>0.14472994231777661</v>
      </c>
      <c r="AT119" s="21">
        <v>6.0828526481384371E-2</v>
      </c>
      <c r="AU119" s="16">
        <v>686</v>
      </c>
      <c r="AV119" s="16">
        <v>680</v>
      </c>
      <c r="AW119" s="17">
        <v>671</v>
      </c>
      <c r="AX119" s="133">
        <v>-8.7463556851311956E-3</v>
      </c>
      <c r="AY119" s="19">
        <v>-2.1865889212827987E-2</v>
      </c>
      <c r="AZ119" s="21">
        <v>-1.3235294117647059E-2</v>
      </c>
      <c r="BA119" s="15">
        <v>46</v>
      </c>
      <c r="BB119" s="17">
        <v>37</v>
      </c>
      <c r="BC119" s="15">
        <v>7</v>
      </c>
      <c r="BD119" s="17">
        <v>4</v>
      </c>
      <c r="BE119" s="15">
        <v>1522</v>
      </c>
      <c r="BF119" s="16">
        <v>2410</v>
      </c>
      <c r="BG119" s="19">
        <v>0.63153526970954355</v>
      </c>
      <c r="BH119" s="16">
        <v>421</v>
      </c>
      <c r="BI119" s="16">
        <v>671</v>
      </c>
      <c r="BJ119" s="21">
        <v>0.6274217585692996</v>
      </c>
    </row>
    <row r="120" spans="1:62" x14ac:dyDescent="0.25">
      <c r="A120" s="29"/>
      <c r="B120" s="30"/>
      <c r="C120" s="30"/>
      <c r="D120" s="30"/>
      <c r="E120" s="31" t="s">
        <v>68</v>
      </c>
      <c r="F120" s="188">
        <v>1506</v>
      </c>
      <c r="G120" s="189">
        <v>1418</v>
      </c>
      <c r="H120" s="190">
        <v>0</v>
      </c>
      <c r="I120" s="190">
        <v>1418</v>
      </c>
      <c r="J120" s="191">
        <v>0</v>
      </c>
      <c r="K120" s="189">
        <v>0</v>
      </c>
      <c r="L120" s="190">
        <v>0</v>
      </c>
      <c r="M120" s="190">
        <v>9</v>
      </c>
      <c r="N120" s="190">
        <v>0</v>
      </c>
      <c r="O120" s="190">
        <v>1</v>
      </c>
      <c r="P120" s="190">
        <v>0</v>
      </c>
      <c r="Q120" s="190">
        <v>6</v>
      </c>
      <c r="R120" s="191">
        <v>45</v>
      </c>
      <c r="S120" s="188">
        <v>67</v>
      </c>
      <c r="T120" s="189">
        <v>67</v>
      </c>
      <c r="U120" s="190">
        <v>2</v>
      </c>
      <c r="V120" s="190">
        <v>4</v>
      </c>
      <c r="W120" s="190">
        <v>4</v>
      </c>
      <c r="X120" s="191">
        <v>57</v>
      </c>
      <c r="Y120" s="189">
        <v>1247</v>
      </c>
      <c r="Z120" s="191">
        <v>676</v>
      </c>
      <c r="AA120" s="189">
        <v>1164</v>
      </c>
      <c r="AB120" s="191">
        <v>616</v>
      </c>
      <c r="AC120" s="189">
        <v>1279</v>
      </c>
      <c r="AD120" s="191">
        <v>639</v>
      </c>
      <c r="AE120" s="189">
        <v>863</v>
      </c>
      <c r="AF120" s="190">
        <v>377</v>
      </c>
      <c r="AG120" s="191">
        <v>177</v>
      </c>
      <c r="AH120" s="136">
        <v>-6.6559743384121892E-2</v>
      </c>
      <c r="AI120" s="33">
        <v>2.566158781074579E-2</v>
      </c>
      <c r="AJ120" s="33">
        <v>9.8797250859106525E-2</v>
      </c>
      <c r="AK120" s="33">
        <v>-8.8757396449704137E-2</v>
      </c>
      <c r="AL120" s="33">
        <v>-5.473372781065089E-2</v>
      </c>
      <c r="AM120" s="33">
        <v>3.7337662337662336E-2</v>
      </c>
      <c r="AN120" s="34">
        <v>0.90197461212976027</v>
      </c>
      <c r="AO120" s="33">
        <v>0.45063469675599438</v>
      </c>
      <c r="AP120" s="33">
        <v>0.26586741889985893</v>
      </c>
      <c r="AQ120" s="33">
        <v>0.12482369534555712</v>
      </c>
      <c r="AR120" s="33">
        <v>3.0758714969241284E-2</v>
      </c>
      <c r="AS120" s="136">
        <v>4.7249647390691117E-2</v>
      </c>
      <c r="AT120" s="35">
        <v>0</v>
      </c>
      <c r="AU120" s="30">
        <v>472</v>
      </c>
      <c r="AV120" s="30">
        <v>481</v>
      </c>
      <c r="AW120" s="31">
        <v>469</v>
      </c>
      <c r="AX120" s="136">
        <v>1.9067796610169493E-2</v>
      </c>
      <c r="AY120" s="33">
        <v>-6.3559322033898309E-3</v>
      </c>
      <c r="AZ120" s="35">
        <v>-2.4948024948024949E-2</v>
      </c>
      <c r="BA120" s="29">
        <v>38</v>
      </c>
      <c r="BB120" s="31">
        <v>34</v>
      </c>
      <c r="BC120" s="29">
        <v>4</v>
      </c>
      <c r="BD120" s="31">
        <v>3</v>
      </c>
      <c r="BE120" s="29">
        <v>863</v>
      </c>
      <c r="BF120" s="30">
        <v>1279</v>
      </c>
      <c r="BG120" s="33">
        <v>0.67474589523064898</v>
      </c>
      <c r="BH120" s="30">
        <v>302</v>
      </c>
      <c r="BI120" s="30">
        <v>469</v>
      </c>
      <c r="BJ120" s="35">
        <v>0.64392324093816633</v>
      </c>
    </row>
    <row r="121" spans="1:62" x14ac:dyDescent="0.25">
      <c r="A121" s="29"/>
      <c r="B121" s="30"/>
      <c r="C121" s="30"/>
      <c r="D121" s="30"/>
      <c r="E121" s="31" t="s">
        <v>148</v>
      </c>
      <c r="F121" s="188">
        <v>396</v>
      </c>
      <c r="G121" s="189">
        <v>333</v>
      </c>
      <c r="H121" s="190">
        <v>37</v>
      </c>
      <c r="I121" s="190">
        <v>370</v>
      </c>
      <c r="J121" s="191">
        <v>0</v>
      </c>
      <c r="K121" s="189">
        <v>0</v>
      </c>
      <c r="L121" s="190">
        <v>0</v>
      </c>
      <c r="M121" s="190">
        <v>1</v>
      </c>
      <c r="N121" s="190">
        <v>0</v>
      </c>
      <c r="O121" s="190">
        <v>0</v>
      </c>
      <c r="P121" s="190">
        <v>0</v>
      </c>
      <c r="Q121" s="190">
        <v>1</v>
      </c>
      <c r="R121" s="191">
        <v>15</v>
      </c>
      <c r="S121" s="188">
        <v>204</v>
      </c>
      <c r="T121" s="189">
        <v>86</v>
      </c>
      <c r="U121" s="190">
        <v>0</v>
      </c>
      <c r="V121" s="190">
        <v>1</v>
      </c>
      <c r="W121" s="190">
        <v>1</v>
      </c>
      <c r="X121" s="191">
        <v>84</v>
      </c>
      <c r="Y121" s="189">
        <v>1231</v>
      </c>
      <c r="Z121" s="191">
        <v>360</v>
      </c>
      <c r="AA121" s="189">
        <v>1081</v>
      </c>
      <c r="AB121" s="191">
        <v>323</v>
      </c>
      <c r="AC121" s="189">
        <v>1017</v>
      </c>
      <c r="AD121" s="191">
        <v>331</v>
      </c>
      <c r="AE121" s="189">
        <v>89</v>
      </c>
      <c r="AF121" s="190">
        <v>44</v>
      </c>
      <c r="AG121" s="191">
        <v>88</v>
      </c>
      <c r="AH121" s="136">
        <v>-0.12185215272136475</v>
      </c>
      <c r="AI121" s="33">
        <v>-0.17384240454914704</v>
      </c>
      <c r="AJ121" s="33">
        <v>-5.920444033302498E-2</v>
      </c>
      <c r="AK121" s="33">
        <v>-0.10277777777777777</v>
      </c>
      <c r="AL121" s="33">
        <v>-8.0555555555555561E-2</v>
      </c>
      <c r="AM121" s="33">
        <v>2.4767801857585141E-2</v>
      </c>
      <c r="AN121" s="34">
        <v>3.0540540540540539</v>
      </c>
      <c r="AO121" s="33">
        <v>0.99399399399399402</v>
      </c>
      <c r="AP121" s="33">
        <v>0.13213213213213212</v>
      </c>
      <c r="AQ121" s="33">
        <v>0.26426426426426425</v>
      </c>
      <c r="AR121" s="33">
        <v>4.3103448275862072E-2</v>
      </c>
      <c r="AS121" s="136">
        <v>0.61261261261261257</v>
      </c>
      <c r="AT121" s="35">
        <v>0.35435435435435436</v>
      </c>
      <c r="AU121" s="30">
        <v>264</v>
      </c>
      <c r="AV121" s="30">
        <v>239</v>
      </c>
      <c r="AW121" s="31">
        <v>231</v>
      </c>
      <c r="AX121" s="136">
        <v>-9.4696969696969696E-2</v>
      </c>
      <c r="AY121" s="33">
        <v>-0.125</v>
      </c>
      <c r="AZ121" s="35">
        <v>-3.3472803347280332E-2</v>
      </c>
      <c r="BA121" s="29">
        <v>56</v>
      </c>
      <c r="BB121" s="31">
        <v>45</v>
      </c>
      <c r="BC121" s="29">
        <v>13</v>
      </c>
      <c r="BD121" s="31">
        <v>7</v>
      </c>
      <c r="BE121" s="29">
        <v>585</v>
      </c>
      <c r="BF121" s="30">
        <v>1017</v>
      </c>
      <c r="BG121" s="33">
        <v>0.5752212389380531</v>
      </c>
      <c r="BH121" s="30">
        <v>130</v>
      </c>
      <c r="BI121" s="30">
        <v>231</v>
      </c>
      <c r="BJ121" s="35">
        <v>0.56277056277056281</v>
      </c>
    </row>
    <row r="122" spans="1:62" x14ac:dyDescent="0.25">
      <c r="A122" s="29"/>
      <c r="B122" s="30"/>
      <c r="C122" s="30"/>
      <c r="D122" s="30"/>
      <c r="E122" s="31" t="s">
        <v>97</v>
      </c>
      <c r="F122" s="188">
        <v>165</v>
      </c>
      <c r="G122" s="189">
        <v>156</v>
      </c>
      <c r="H122" s="190">
        <v>0</v>
      </c>
      <c r="I122" s="190">
        <v>156</v>
      </c>
      <c r="J122" s="191">
        <v>0</v>
      </c>
      <c r="K122" s="189">
        <v>0</v>
      </c>
      <c r="L122" s="190">
        <v>0</v>
      </c>
      <c r="M122" s="190">
        <v>1</v>
      </c>
      <c r="N122" s="190">
        <v>0</v>
      </c>
      <c r="O122" s="190">
        <v>0</v>
      </c>
      <c r="P122" s="190">
        <v>0</v>
      </c>
      <c r="Q122" s="190">
        <v>1</v>
      </c>
      <c r="R122" s="191">
        <v>1</v>
      </c>
      <c r="S122" s="188">
        <v>5</v>
      </c>
      <c r="T122" s="189">
        <v>7</v>
      </c>
      <c r="U122" s="190">
        <v>0</v>
      </c>
      <c r="V122" s="190">
        <v>1</v>
      </c>
      <c r="W122" s="190">
        <v>0</v>
      </c>
      <c r="X122" s="191">
        <v>6</v>
      </c>
      <c r="Y122" s="189">
        <v>145</v>
      </c>
      <c r="Z122" s="191">
        <v>70</v>
      </c>
      <c r="AA122" s="189">
        <v>106</v>
      </c>
      <c r="AB122" s="191">
        <v>69</v>
      </c>
      <c r="AC122" s="189">
        <v>114</v>
      </c>
      <c r="AD122" s="191">
        <v>65</v>
      </c>
      <c r="AE122" s="189">
        <v>99</v>
      </c>
      <c r="AF122" s="190">
        <v>36</v>
      </c>
      <c r="AG122" s="191">
        <v>16</v>
      </c>
      <c r="AH122" s="136">
        <v>-0.26896551724137929</v>
      </c>
      <c r="AI122" s="33">
        <v>-0.21379310344827587</v>
      </c>
      <c r="AJ122" s="33">
        <v>7.5471698113207544E-2</v>
      </c>
      <c r="AK122" s="33">
        <v>-1.4285714285714285E-2</v>
      </c>
      <c r="AL122" s="33">
        <v>-7.1428571428571425E-2</v>
      </c>
      <c r="AM122" s="33">
        <v>-5.7971014492753624E-2</v>
      </c>
      <c r="AN122" s="34">
        <v>0.73076923076923073</v>
      </c>
      <c r="AO122" s="33">
        <v>0.41666666666666669</v>
      </c>
      <c r="AP122" s="33">
        <v>0.23076923076923078</v>
      </c>
      <c r="AQ122" s="33">
        <v>0.10256410256410256</v>
      </c>
      <c r="AR122" s="33">
        <v>6.369426751592357E-3</v>
      </c>
      <c r="AS122" s="136">
        <v>3.2051282051282048E-2</v>
      </c>
      <c r="AT122" s="35">
        <v>-1.282051282051282E-2</v>
      </c>
      <c r="AU122" s="30">
        <v>49</v>
      </c>
      <c r="AV122" s="30">
        <v>51</v>
      </c>
      <c r="AW122" s="31">
        <v>45</v>
      </c>
      <c r="AX122" s="136">
        <v>4.0816326530612242E-2</v>
      </c>
      <c r="AY122" s="33">
        <v>-8.1632653061224483E-2</v>
      </c>
      <c r="AZ122" s="35">
        <v>-0.11764705882352941</v>
      </c>
      <c r="BA122" s="29">
        <v>46</v>
      </c>
      <c r="BB122" s="31">
        <v>44</v>
      </c>
      <c r="BC122" s="29">
        <v>4</v>
      </c>
      <c r="BD122" s="31">
        <v>3</v>
      </c>
      <c r="BE122" s="29">
        <v>74</v>
      </c>
      <c r="BF122" s="30">
        <v>114</v>
      </c>
      <c r="BG122" s="33">
        <v>0.64912280701754388</v>
      </c>
      <c r="BH122" s="30">
        <v>31</v>
      </c>
      <c r="BI122" s="30">
        <v>45</v>
      </c>
      <c r="BJ122" s="35">
        <v>0.68888888888888888</v>
      </c>
    </row>
    <row r="123" spans="1:62" x14ac:dyDescent="0.25">
      <c r="A123" s="15"/>
      <c r="B123" s="16"/>
      <c r="C123" s="16" t="s">
        <v>179</v>
      </c>
      <c r="D123" s="16"/>
      <c r="E123" s="17"/>
      <c r="F123" s="180">
        <v>5564</v>
      </c>
      <c r="G123" s="181">
        <v>5234</v>
      </c>
      <c r="H123" s="182">
        <v>9</v>
      </c>
      <c r="I123" s="182">
        <v>5220</v>
      </c>
      <c r="J123" s="183">
        <v>23</v>
      </c>
      <c r="K123" s="181">
        <v>0</v>
      </c>
      <c r="L123" s="182">
        <v>2</v>
      </c>
      <c r="M123" s="182">
        <v>10</v>
      </c>
      <c r="N123" s="182">
        <v>1</v>
      </c>
      <c r="O123" s="182">
        <v>2</v>
      </c>
      <c r="P123" s="182">
        <v>0</v>
      </c>
      <c r="Q123" s="182">
        <v>17</v>
      </c>
      <c r="R123" s="183">
        <v>282</v>
      </c>
      <c r="S123" s="180">
        <v>292</v>
      </c>
      <c r="T123" s="181">
        <v>2959</v>
      </c>
      <c r="U123" s="182">
        <v>4</v>
      </c>
      <c r="V123" s="182">
        <v>9</v>
      </c>
      <c r="W123" s="182">
        <v>3</v>
      </c>
      <c r="X123" s="183">
        <v>2943</v>
      </c>
      <c r="Y123" s="181">
        <v>4650</v>
      </c>
      <c r="Z123" s="183">
        <v>2365</v>
      </c>
      <c r="AA123" s="181">
        <v>4608</v>
      </c>
      <c r="AB123" s="183">
        <v>2358</v>
      </c>
      <c r="AC123" s="181">
        <v>4991</v>
      </c>
      <c r="AD123" s="183">
        <v>2385</v>
      </c>
      <c r="AE123" s="181">
        <v>3171</v>
      </c>
      <c r="AF123" s="182">
        <v>1384</v>
      </c>
      <c r="AG123" s="183">
        <v>718</v>
      </c>
      <c r="AH123" s="133">
        <v>-9.0322580645161299E-3</v>
      </c>
      <c r="AI123" s="19">
        <v>7.3333333333333334E-2</v>
      </c>
      <c r="AJ123" s="19">
        <v>8.3116319444444448E-2</v>
      </c>
      <c r="AK123" s="19">
        <v>-2.959830866807611E-3</v>
      </c>
      <c r="AL123" s="19">
        <v>8.4566596194503175E-3</v>
      </c>
      <c r="AM123" s="19">
        <v>1.1450381679389313E-2</v>
      </c>
      <c r="AN123" s="20">
        <v>0.95357279327474209</v>
      </c>
      <c r="AO123" s="19">
        <v>0.45567443637753152</v>
      </c>
      <c r="AP123" s="19">
        <v>0.26442491402369123</v>
      </c>
      <c r="AQ123" s="19">
        <v>0.13717997707298432</v>
      </c>
      <c r="AR123" s="19">
        <v>5.1124002900652644E-2</v>
      </c>
      <c r="AS123" s="133">
        <v>5.5789071455865494E-2</v>
      </c>
      <c r="AT123" s="21">
        <v>-0.50955292319449752</v>
      </c>
      <c r="AU123" s="16">
        <v>1388</v>
      </c>
      <c r="AV123" s="16">
        <v>1371</v>
      </c>
      <c r="AW123" s="17">
        <v>1392</v>
      </c>
      <c r="AX123" s="133">
        <v>-1.2247838616714697E-2</v>
      </c>
      <c r="AY123" s="19">
        <v>2.881844380403458E-3</v>
      </c>
      <c r="AZ123" s="21">
        <v>1.5317286652078774E-2</v>
      </c>
      <c r="BA123" s="15">
        <v>38</v>
      </c>
      <c r="BB123" s="17">
        <v>35</v>
      </c>
      <c r="BC123" s="15">
        <v>4</v>
      </c>
      <c r="BD123" s="17">
        <v>3</v>
      </c>
      <c r="BE123" s="15">
        <v>2951</v>
      </c>
      <c r="BF123" s="16">
        <v>4991</v>
      </c>
      <c r="BG123" s="19">
        <v>0.59126427569625328</v>
      </c>
      <c r="BH123" s="16">
        <v>868</v>
      </c>
      <c r="BI123" s="16">
        <v>1392</v>
      </c>
      <c r="BJ123" s="21">
        <v>0.62356321839080464</v>
      </c>
    </row>
    <row r="124" spans="1:62" x14ac:dyDescent="0.25">
      <c r="A124" s="29"/>
      <c r="B124" s="30"/>
      <c r="C124" s="30"/>
      <c r="D124" s="30"/>
      <c r="E124" s="31" t="s">
        <v>68</v>
      </c>
      <c r="F124" s="188">
        <v>5158</v>
      </c>
      <c r="G124" s="189">
        <v>4843</v>
      </c>
      <c r="H124" s="190">
        <v>0</v>
      </c>
      <c r="I124" s="190">
        <v>4820</v>
      </c>
      <c r="J124" s="191">
        <v>23</v>
      </c>
      <c r="K124" s="189">
        <v>0</v>
      </c>
      <c r="L124" s="190">
        <v>0</v>
      </c>
      <c r="M124" s="190">
        <v>9</v>
      </c>
      <c r="N124" s="190">
        <v>1</v>
      </c>
      <c r="O124" s="190">
        <v>2</v>
      </c>
      <c r="P124" s="190">
        <v>0</v>
      </c>
      <c r="Q124" s="190">
        <v>17</v>
      </c>
      <c r="R124" s="191">
        <v>279</v>
      </c>
      <c r="S124" s="188">
        <v>266</v>
      </c>
      <c r="T124" s="189">
        <v>2821</v>
      </c>
      <c r="U124" s="190">
        <v>2</v>
      </c>
      <c r="V124" s="190">
        <v>9</v>
      </c>
      <c r="W124" s="190">
        <v>2</v>
      </c>
      <c r="X124" s="191">
        <v>2808</v>
      </c>
      <c r="Y124" s="189">
        <v>4329</v>
      </c>
      <c r="Z124" s="191">
        <v>2227</v>
      </c>
      <c r="AA124" s="189">
        <v>4329</v>
      </c>
      <c r="AB124" s="191">
        <v>2201</v>
      </c>
      <c r="AC124" s="189">
        <v>4676</v>
      </c>
      <c r="AD124" s="191">
        <v>2221</v>
      </c>
      <c r="AE124" s="189">
        <v>2940</v>
      </c>
      <c r="AF124" s="190">
        <v>1269</v>
      </c>
      <c r="AG124" s="191">
        <v>705</v>
      </c>
      <c r="AH124" s="136">
        <v>0</v>
      </c>
      <c r="AI124" s="33">
        <v>8.015708015708016E-2</v>
      </c>
      <c r="AJ124" s="33">
        <v>8.015708015708016E-2</v>
      </c>
      <c r="AK124" s="33">
        <v>-1.1674898967220475E-2</v>
      </c>
      <c r="AL124" s="33">
        <v>-2.6942074539739562E-3</v>
      </c>
      <c r="AM124" s="33">
        <v>9.0867787369377558E-3</v>
      </c>
      <c r="AN124" s="34">
        <v>0.96551724137931039</v>
      </c>
      <c r="AO124" s="33">
        <v>0.45860004129671689</v>
      </c>
      <c r="AP124" s="33">
        <v>0.26202766880033035</v>
      </c>
      <c r="AQ124" s="33">
        <v>0.14557092711129466</v>
      </c>
      <c r="AR124" s="33">
        <v>5.4470909800859037E-2</v>
      </c>
      <c r="AS124" s="136">
        <v>5.4924633491637412E-2</v>
      </c>
      <c r="AT124" s="35">
        <v>-0.52756555853809617</v>
      </c>
      <c r="AU124" s="30">
        <v>1335</v>
      </c>
      <c r="AV124" s="30">
        <v>1321</v>
      </c>
      <c r="AW124" s="31">
        <v>1345</v>
      </c>
      <c r="AX124" s="136">
        <v>-1.0486891385767791E-2</v>
      </c>
      <c r="AY124" s="33">
        <v>7.4906367041198503E-3</v>
      </c>
      <c r="AZ124" s="35">
        <v>1.8168054504163512E-2</v>
      </c>
      <c r="BA124" s="29">
        <v>37</v>
      </c>
      <c r="BB124" s="31">
        <v>35</v>
      </c>
      <c r="BC124" s="29">
        <v>4</v>
      </c>
      <c r="BD124" s="31">
        <v>3</v>
      </c>
      <c r="BE124" s="29">
        <v>2770</v>
      </c>
      <c r="BF124" s="30">
        <v>4676</v>
      </c>
      <c r="BG124" s="33">
        <v>0.59238665526090672</v>
      </c>
      <c r="BH124" s="30">
        <v>842</v>
      </c>
      <c r="BI124" s="30">
        <v>1345</v>
      </c>
      <c r="BJ124" s="35">
        <v>0.62602230483271371</v>
      </c>
    </row>
    <row r="125" spans="1:62" x14ac:dyDescent="0.25">
      <c r="A125" s="29"/>
      <c r="B125" s="30"/>
      <c r="C125" s="30"/>
      <c r="D125" s="30"/>
      <c r="E125" s="31" t="s">
        <v>148</v>
      </c>
      <c r="F125" s="188">
        <v>59</v>
      </c>
      <c r="G125" s="189">
        <v>47</v>
      </c>
      <c r="H125" s="190">
        <v>9</v>
      </c>
      <c r="I125" s="190">
        <v>56</v>
      </c>
      <c r="J125" s="191">
        <v>0</v>
      </c>
      <c r="K125" s="189">
        <v>0</v>
      </c>
      <c r="L125" s="190">
        <v>0</v>
      </c>
      <c r="M125" s="190">
        <v>1</v>
      </c>
      <c r="N125" s="190">
        <v>0</v>
      </c>
      <c r="O125" s="190">
        <v>0</v>
      </c>
      <c r="P125" s="190">
        <v>0</v>
      </c>
      <c r="Q125" s="190">
        <v>0</v>
      </c>
      <c r="R125" s="191">
        <v>2</v>
      </c>
      <c r="S125" s="188">
        <v>17</v>
      </c>
      <c r="T125" s="189">
        <v>26</v>
      </c>
      <c r="U125" s="190">
        <v>2</v>
      </c>
      <c r="V125" s="190">
        <v>0</v>
      </c>
      <c r="W125" s="190">
        <v>1</v>
      </c>
      <c r="X125" s="191">
        <v>23</v>
      </c>
      <c r="Y125" s="189">
        <v>105</v>
      </c>
      <c r="Z125" s="191">
        <v>30</v>
      </c>
      <c r="AA125" s="189">
        <v>83</v>
      </c>
      <c r="AB125" s="191">
        <v>31</v>
      </c>
      <c r="AC125" s="189">
        <v>76</v>
      </c>
      <c r="AD125" s="191">
        <v>27</v>
      </c>
      <c r="AE125" s="189">
        <v>24</v>
      </c>
      <c r="AF125" s="190">
        <v>17</v>
      </c>
      <c r="AG125" s="191">
        <v>5</v>
      </c>
      <c r="AH125" s="136">
        <v>-0.20952380952380953</v>
      </c>
      <c r="AI125" s="33">
        <v>-0.27619047619047621</v>
      </c>
      <c r="AJ125" s="33">
        <v>-8.4337349397590355E-2</v>
      </c>
      <c r="AK125" s="33">
        <v>3.3333333333333333E-2</v>
      </c>
      <c r="AL125" s="33">
        <v>-0.1</v>
      </c>
      <c r="AM125" s="33">
        <v>-0.12903225806451613</v>
      </c>
      <c r="AN125" s="34">
        <v>1.6170212765957446</v>
      </c>
      <c r="AO125" s="33">
        <v>0.57446808510638303</v>
      </c>
      <c r="AP125" s="33">
        <v>0.36170212765957449</v>
      </c>
      <c r="AQ125" s="33">
        <v>0.10638297872340426</v>
      </c>
      <c r="AR125" s="33">
        <v>4.0816326530612242E-2</v>
      </c>
      <c r="AS125" s="136">
        <v>0.36170212765957449</v>
      </c>
      <c r="AT125" s="35">
        <v>-0.19148936170212766</v>
      </c>
      <c r="AU125" s="30">
        <v>37</v>
      </c>
      <c r="AV125" s="30">
        <v>42</v>
      </c>
      <c r="AW125" s="31">
        <v>48</v>
      </c>
      <c r="AX125" s="136">
        <v>0.13513513513513514</v>
      </c>
      <c r="AY125" s="33">
        <v>0.29729729729729731</v>
      </c>
      <c r="AZ125" s="35">
        <v>0.14285714285714285</v>
      </c>
      <c r="BA125" s="29">
        <v>41</v>
      </c>
      <c r="BB125" s="31">
        <v>37</v>
      </c>
      <c r="BC125" s="29">
        <v>9.5</v>
      </c>
      <c r="BD125" s="31">
        <v>7.5</v>
      </c>
      <c r="BE125" s="29">
        <v>28</v>
      </c>
      <c r="BF125" s="30">
        <v>76</v>
      </c>
      <c r="BG125" s="33">
        <v>0.36842105263157893</v>
      </c>
      <c r="BH125" s="30">
        <v>23</v>
      </c>
      <c r="BI125" s="30">
        <v>48</v>
      </c>
      <c r="BJ125" s="35">
        <v>0.47916666666666669</v>
      </c>
    </row>
    <row r="126" spans="1:62" x14ac:dyDescent="0.25">
      <c r="A126" s="29"/>
      <c r="B126" s="30"/>
      <c r="C126" s="30"/>
      <c r="D126" s="30"/>
      <c r="E126" s="31" t="s">
        <v>97</v>
      </c>
      <c r="F126" s="188">
        <v>346</v>
      </c>
      <c r="G126" s="189">
        <v>343</v>
      </c>
      <c r="H126" s="190">
        <v>0</v>
      </c>
      <c r="I126" s="190">
        <v>343</v>
      </c>
      <c r="J126" s="191">
        <v>0</v>
      </c>
      <c r="K126" s="189">
        <v>0</v>
      </c>
      <c r="L126" s="190">
        <v>2</v>
      </c>
      <c r="M126" s="190">
        <v>0</v>
      </c>
      <c r="N126" s="190">
        <v>0</v>
      </c>
      <c r="O126" s="190">
        <v>0</v>
      </c>
      <c r="P126" s="190">
        <v>0</v>
      </c>
      <c r="Q126" s="190">
        <v>0</v>
      </c>
      <c r="R126" s="191">
        <v>1</v>
      </c>
      <c r="S126" s="188">
        <v>9</v>
      </c>
      <c r="T126" s="189">
        <v>112</v>
      </c>
      <c r="U126" s="190">
        <v>0</v>
      </c>
      <c r="V126" s="190">
        <v>0</v>
      </c>
      <c r="W126" s="190">
        <v>0</v>
      </c>
      <c r="X126" s="191">
        <v>112</v>
      </c>
      <c r="Y126" s="189">
        <v>216</v>
      </c>
      <c r="Z126" s="191">
        <v>108</v>
      </c>
      <c r="AA126" s="189">
        <v>195</v>
      </c>
      <c r="AB126" s="191">
        <v>125</v>
      </c>
      <c r="AC126" s="189">
        <v>239</v>
      </c>
      <c r="AD126" s="191">
        <v>137</v>
      </c>
      <c r="AE126" s="189">
        <v>206</v>
      </c>
      <c r="AF126" s="190">
        <v>98</v>
      </c>
      <c r="AG126" s="191">
        <v>8</v>
      </c>
      <c r="AH126" s="136">
        <v>-9.7222222222222224E-2</v>
      </c>
      <c r="AI126" s="33">
        <v>0.10648148148148148</v>
      </c>
      <c r="AJ126" s="33">
        <v>0.22564102564102564</v>
      </c>
      <c r="AK126" s="33">
        <v>0.15740740740740741</v>
      </c>
      <c r="AL126" s="33">
        <v>0.26851851851851855</v>
      </c>
      <c r="AM126" s="33">
        <v>9.6000000000000002E-2</v>
      </c>
      <c r="AN126" s="34">
        <v>0.69679300291545188</v>
      </c>
      <c r="AO126" s="33">
        <v>0.39941690962099125</v>
      </c>
      <c r="AP126" s="33">
        <v>0.2857142857142857</v>
      </c>
      <c r="AQ126" s="33">
        <v>2.3323615160349854E-2</v>
      </c>
      <c r="AR126" s="33">
        <v>2.9069767441860465E-3</v>
      </c>
      <c r="AS126" s="136">
        <v>2.6239067055393587E-2</v>
      </c>
      <c r="AT126" s="35">
        <v>-0.30029154518950435</v>
      </c>
      <c r="AU126" s="30">
        <v>90</v>
      </c>
      <c r="AV126" s="30">
        <v>77</v>
      </c>
      <c r="AW126" s="31">
        <v>61</v>
      </c>
      <c r="AX126" s="136">
        <v>-0.14444444444444443</v>
      </c>
      <c r="AY126" s="33">
        <v>-0.32222222222222224</v>
      </c>
      <c r="AZ126" s="35">
        <v>-0.20779220779220781</v>
      </c>
      <c r="BA126" s="29">
        <v>45</v>
      </c>
      <c r="BB126" s="31">
        <v>49</v>
      </c>
      <c r="BC126" s="29">
        <v>1</v>
      </c>
      <c r="BD126" s="31">
        <v>5</v>
      </c>
      <c r="BE126" s="29">
        <v>153</v>
      </c>
      <c r="BF126" s="30">
        <v>239</v>
      </c>
      <c r="BG126" s="33">
        <v>0.64016736401673635</v>
      </c>
      <c r="BH126" s="30">
        <v>36</v>
      </c>
      <c r="BI126" s="30">
        <v>61</v>
      </c>
      <c r="BJ126" s="35">
        <v>0.5901639344262295</v>
      </c>
    </row>
    <row r="127" spans="1:62" x14ac:dyDescent="0.25">
      <c r="A127" s="15"/>
      <c r="B127" s="16"/>
      <c r="C127" s="16" t="s">
        <v>180</v>
      </c>
      <c r="D127" s="16"/>
      <c r="E127" s="17"/>
      <c r="F127" s="180">
        <v>1885</v>
      </c>
      <c r="G127" s="181">
        <v>5</v>
      </c>
      <c r="H127" s="182">
        <v>1800</v>
      </c>
      <c r="I127" s="182">
        <v>1805</v>
      </c>
      <c r="J127" s="183">
        <v>0</v>
      </c>
      <c r="K127" s="181">
        <v>0</v>
      </c>
      <c r="L127" s="182">
        <v>23</v>
      </c>
      <c r="M127" s="182">
        <v>0</v>
      </c>
      <c r="N127" s="182">
        <v>0</v>
      </c>
      <c r="O127" s="182">
        <v>45</v>
      </c>
      <c r="P127" s="182">
        <v>0</v>
      </c>
      <c r="Q127" s="182">
        <v>6</v>
      </c>
      <c r="R127" s="183">
        <v>2</v>
      </c>
      <c r="S127" s="180">
        <v>56</v>
      </c>
      <c r="T127" s="181">
        <v>38</v>
      </c>
      <c r="U127" s="182">
        <v>0</v>
      </c>
      <c r="V127" s="182">
        <v>0</v>
      </c>
      <c r="W127" s="182">
        <v>0</v>
      </c>
      <c r="X127" s="183">
        <v>38</v>
      </c>
      <c r="Y127" s="181">
        <v>65</v>
      </c>
      <c r="Z127" s="183">
        <v>49</v>
      </c>
      <c r="AA127" s="181">
        <v>3</v>
      </c>
      <c r="AB127" s="183">
        <v>2</v>
      </c>
      <c r="AC127" s="181">
        <v>4</v>
      </c>
      <c r="AD127" s="183">
        <v>4</v>
      </c>
      <c r="AE127" s="181">
        <v>61</v>
      </c>
      <c r="AF127" s="182">
        <v>60</v>
      </c>
      <c r="AG127" s="183">
        <v>2</v>
      </c>
      <c r="AH127" s="133">
        <v>-0.9538461538461539</v>
      </c>
      <c r="AI127" s="19">
        <v>-0.93846153846153846</v>
      </c>
      <c r="AJ127" s="19">
        <v>0.33333333333333331</v>
      </c>
      <c r="AK127" s="19">
        <v>-0.95918367346938771</v>
      </c>
      <c r="AL127" s="19">
        <v>-0.91836734693877553</v>
      </c>
      <c r="AM127" s="19">
        <v>1</v>
      </c>
      <c r="AN127" s="20">
        <v>0.8</v>
      </c>
      <c r="AO127" s="19">
        <v>0.8</v>
      </c>
      <c r="AP127" s="19">
        <v>12</v>
      </c>
      <c r="AQ127" s="19">
        <v>0.4</v>
      </c>
      <c r="AR127" s="19">
        <v>0.2857142857142857</v>
      </c>
      <c r="AS127" s="133">
        <v>11.2</v>
      </c>
      <c r="AT127" s="21">
        <v>3.6</v>
      </c>
      <c r="AU127" s="16">
        <v>56</v>
      </c>
      <c r="AV127" s="16">
        <v>3</v>
      </c>
      <c r="AW127" s="17">
        <v>4</v>
      </c>
      <c r="AX127" s="133">
        <v>-0.9464285714285714</v>
      </c>
      <c r="AY127" s="19">
        <v>-0.9285714285714286</v>
      </c>
      <c r="AZ127" s="21">
        <v>0.33333333333333331</v>
      </c>
      <c r="BA127" s="15">
        <v>31.5</v>
      </c>
      <c r="BB127" s="17">
        <v>31.5</v>
      </c>
      <c r="BC127" s="15">
        <v>2</v>
      </c>
      <c r="BD127" s="17">
        <v>2</v>
      </c>
      <c r="BE127" s="15">
        <v>3</v>
      </c>
      <c r="BF127" s="16">
        <v>4</v>
      </c>
      <c r="BG127" s="19">
        <v>0.75</v>
      </c>
      <c r="BH127" s="16">
        <v>3</v>
      </c>
      <c r="BI127" s="16">
        <v>4</v>
      </c>
      <c r="BJ127" s="21">
        <v>0.75</v>
      </c>
    </row>
    <row r="128" spans="1:62" x14ac:dyDescent="0.25">
      <c r="A128" s="29"/>
      <c r="B128" s="30"/>
      <c r="C128" s="30"/>
      <c r="D128" s="30"/>
      <c r="E128" s="31" t="s">
        <v>68</v>
      </c>
      <c r="F128" s="188">
        <v>1879</v>
      </c>
      <c r="G128" s="189">
        <v>5</v>
      </c>
      <c r="H128" s="190">
        <v>1794</v>
      </c>
      <c r="I128" s="190">
        <v>1799</v>
      </c>
      <c r="J128" s="191">
        <v>0</v>
      </c>
      <c r="K128" s="189">
        <v>0</v>
      </c>
      <c r="L128" s="190">
        <v>23</v>
      </c>
      <c r="M128" s="190">
        <v>0</v>
      </c>
      <c r="N128" s="190">
        <v>0</v>
      </c>
      <c r="O128" s="190">
        <v>45</v>
      </c>
      <c r="P128" s="190">
        <v>0</v>
      </c>
      <c r="Q128" s="190">
        <v>6</v>
      </c>
      <c r="R128" s="191">
        <v>2</v>
      </c>
      <c r="S128" s="188">
        <v>56</v>
      </c>
      <c r="T128" s="189">
        <v>38</v>
      </c>
      <c r="U128" s="190">
        <v>0</v>
      </c>
      <c r="V128" s="190">
        <v>0</v>
      </c>
      <c r="W128" s="190">
        <v>0</v>
      </c>
      <c r="X128" s="191">
        <v>38</v>
      </c>
      <c r="Y128" s="189">
        <v>65</v>
      </c>
      <c r="Z128" s="191">
        <v>49</v>
      </c>
      <c r="AA128" s="189">
        <v>3</v>
      </c>
      <c r="AB128" s="191">
        <v>2</v>
      </c>
      <c r="AC128" s="189">
        <v>3</v>
      </c>
      <c r="AD128" s="191">
        <v>3</v>
      </c>
      <c r="AE128" s="189">
        <v>61</v>
      </c>
      <c r="AF128" s="190">
        <v>60</v>
      </c>
      <c r="AG128" s="191">
        <v>2</v>
      </c>
      <c r="AH128" s="136">
        <v>-0.9538461538461539</v>
      </c>
      <c r="AI128" s="33">
        <v>-0.9538461538461539</v>
      </c>
      <c r="AJ128" s="33">
        <v>0</v>
      </c>
      <c r="AK128" s="33">
        <v>-0.95918367346938771</v>
      </c>
      <c r="AL128" s="33">
        <v>-0.93877551020408168</v>
      </c>
      <c r="AM128" s="33">
        <v>0.5</v>
      </c>
      <c r="AN128" s="34">
        <v>0.6</v>
      </c>
      <c r="AO128" s="33">
        <v>0.6</v>
      </c>
      <c r="AP128" s="33">
        <v>12</v>
      </c>
      <c r="AQ128" s="33">
        <v>0.4</v>
      </c>
      <c r="AR128" s="33">
        <v>0.2857142857142857</v>
      </c>
      <c r="AS128" s="136">
        <v>11.2</v>
      </c>
      <c r="AT128" s="35">
        <v>3.6</v>
      </c>
      <c r="AU128" s="30">
        <v>56</v>
      </c>
      <c r="AV128" s="30">
        <v>3</v>
      </c>
      <c r="AW128" s="31">
        <v>3</v>
      </c>
      <c r="AX128" s="136">
        <v>-0.9464285714285714</v>
      </c>
      <c r="AY128" s="33">
        <v>-0.9464285714285714</v>
      </c>
      <c r="AZ128" s="35">
        <v>0</v>
      </c>
      <c r="BA128" s="29">
        <v>21</v>
      </c>
      <c r="BB128" s="31">
        <v>21</v>
      </c>
      <c r="BC128" s="29">
        <v>1</v>
      </c>
      <c r="BD128" s="31">
        <v>1</v>
      </c>
      <c r="BE128" s="29">
        <v>2</v>
      </c>
      <c r="BF128" s="30">
        <v>3</v>
      </c>
      <c r="BG128" s="33">
        <v>0.66666666666666663</v>
      </c>
      <c r="BH128" s="30">
        <v>2</v>
      </c>
      <c r="BI128" s="30">
        <v>3</v>
      </c>
      <c r="BJ128" s="35">
        <v>0.66666666666666663</v>
      </c>
    </row>
    <row r="129" spans="1:62" x14ac:dyDescent="0.25">
      <c r="A129" s="8"/>
      <c r="B129" s="9" t="s">
        <v>182</v>
      </c>
      <c r="C129" s="9"/>
      <c r="D129" s="9"/>
      <c r="E129" s="10"/>
      <c r="F129" s="176">
        <v>27857</v>
      </c>
      <c r="G129" s="177">
        <v>27675</v>
      </c>
      <c r="H129" s="178">
        <v>3</v>
      </c>
      <c r="I129" s="178">
        <v>11</v>
      </c>
      <c r="J129" s="179">
        <v>27667</v>
      </c>
      <c r="K129" s="177">
        <v>0</v>
      </c>
      <c r="L129" s="178">
        <v>0</v>
      </c>
      <c r="M129" s="178">
        <v>11</v>
      </c>
      <c r="N129" s="178">
        <v>36</v>
      </c>
      <c r="O129" s="178">
        <v>78</v>
      </c>
      <c r="P129" s="178">
        <v>0</v>
      </c>
      <c r="Q129" s="178">
        <v>13</v>
      </c>
      <c r="R129" s="179">
        <v>41</v>
      </c>
      <c r="S129" s="176">
        <v>3</v>
      </c>
      <c r="T129" s="177">
        <v>16</v>
      </c>
      <c r="U129" s="178">
        <v>1</v>
      </c>
      <c r="V129" s="178">
        <v>11</v>
      </c>
      <c r="W129" s="178">
        <v>2</v>
      </c>
      <c r="X129" s="179">
        <v>2</v>
      </c>
      <c r="Y129" s="177">
        <v>879</v>
      </c>
      <c r="Z129" s="179">
        <v>726</v>
      </c>
      <c r="AA129" s="177">
        <v>910</v>
      </c>
      <c r="AB129" s="179">
        <v>715</v>
      </c>
      <c r="AC129" s="177">
        <v>848</v>
      </c>
      <c r="AD129" s="179">
        <v>667</v>
      </c>
      <c r="AE129" s="177">
        <v>27180</v>
      </c>
      <c r="AF129" s="178">
        <v>26005</v>
      </c>
      <c r="AG129" s="179">
        <v>102</v>
      </c>
      <c r="AH129" s="131">
        <v>3.5267349260523322E-2</v>
      </c>
      <c r="AI129" s="12">
        <v>-3.5267349260523322E-2</v>
      </c>
      <c r="AJ129" s="12">
        <v>-6.8131868131868126E-2</v>
      </c>
      <c r="AK129" s="12">
        <v>-1.5151515151515152E-2</v>
      </c>
      <c r="AL129" s="12">
        <v>-8.1267217630853997E-2</v>
      </c>
      <c r="AM129" s="12">
        <v>-6.7132867132867133E-2</v>
      </c>
      <c r="AN129" s="13">
        <v>3.0641373080397469E-2</v>
      </c>
      <c r="AO129" s="12">
        <v>2.4101174345076783E-2</v>
      </c>
      <c r="AP129" s="12">
        <v>0.93965672990063231</v>
      </c>
      <c r="AQ129" s="12">
        <v>3.6856368563685637E-3</v>
      </c>
      <c r="AR129" s="12">
        <v>1.4792899408284023E-3</v>
      </c>
      <c r="AS129" s="131">
        <v>1.0840108401084011E-4</v>
      </c>
      <c r="AT129" s="14">
        <v>-4.6973803071364049E-4</v>
      </c>
      <c r="AU129" s="9">
        <v>455</v>
      </c>
      <c r="AV129" s="9">
        <v>461</v>
      </c>
      <c r="AW129" s="10">
        <v>419</v>
      </c>
      <c r="AX129" s="131">
        <v>1.3186813186813187E-2</v>
      </c>
      <c r="AY129" s="12">
        <v>-7.9120879120879117E-2</v>
      </c>
      <c r="AZ129" s="14">
        <v>-9.1106290672451198E-2</v>
      </c>
      <c r="BA129" s="8">
        <v>42</v>
      </c>
      <c r="BB129" s="10">
        <v>37</v>
      </c>
      <c r="BC129" s="8">
        <v>7</v>
      </c>
      <c r="BD129" s="10">
        <v>4</v>
      </c>
      <c r="BE129" s="8">
        <v>449</v>
      </c>
      <c r="BF129" s="9">
        <v>848</v>
      </c>
      <c r="BG129" s="12">
        <v>0.52948113207547165</v>
      </c>
      <c r="BH129" s="9">
        <v>247</v>
      </c>
      <c r="BI129" s="9">
        <v>419</v>
      </c>
      <c r="BJ129" s="14">
        <v>0.58949880668257759</v>
      </c>
    </row>
    <row r="130" spans="1:62" x14ac:dyDescent="0.25">
      <c r="A130" s="29"/>
      <c r="B130" s="30"/>
      <c r="C130" s="30"/>
      <c r="D130" s="30"/>
      <c r="E130" s="31" t="s">
        <v>68</v>
      </c>
      <c r="F130" s="188">
        <v>27857</v>
      </c>
      <c r="G130" s="189">
        <v>27675</v>
      </c>
      <c r="H130" s="190">
        <v>3</v>
      </c>
      <c r="I130" s="190">
        <v>11</v>
      </c>
      <c r="J130" s="191">
        <v>27667</v>
      </c>
      <c r="K130" s="189">
        <v>0</v>
      </c>
      <c r="L130" s="190">
        <v>0</v>
      </c>
      <c r="M130" s="190">
        <v>11</v>
      </c>
      <c r="N130" s="190">
        <v>36</v>
      </c>
      <c r="O130" s="190">
        <v>78</v>
      </c>
      <c r="P130" s="190">
        <v>0</v>
      </c>
      <c r="Q130" s="190">
        <v>13</v>
      </c>
      <c r="R130" s="191">
        <v>41</v>
      </c>
      <c r="S130" s="188">
        <v>3</v>
      </c>
      <c r="T130" s="189">
        <v>16</v>
      </c>
      <c r="U130" s="190">
        <v>1</v>
      </c>
      <c r="V130" s="190">
        <v>11</v>
      </c>
      <c r="W130" s="190">
        <v>2</v>
      </c>
      <c r="X130" s="191">
        <v>2</v>
      </c>
      <c r="Y130" s="189">
        <v>879</v>
      </c>
      <c r="Z130" s="191">
        <v>726</v>
      </c>
      <c r="AA130" s="189">
        <v>910</v>
      </c>
      <c r="AB130" s="191">
        <v>715</v>
      </c>
      <c r="AC130" s="189">
        <v>848</v>
      </c>
      <c r="AD130" s="191">
        <v>667</v>
      </c>
      <c r="AE130" s="189">
        <v>27180</v>
      </c>
      <c r="AF130" s="190">
        <v>26005</v>
      </c>
      <c r="AG130" s="191">
        <v>102</v>
      </c>
      <c r="AH130" s="136">
        <v>3.5267349260523322E-2</v>
      </c>
      <c r="AI130" s="33">
        <v>-3.5267349260523322E-2</v>
      </c>
      <c r="AJ130" s="33">
        <v>-6.8131868131868126E-2</v>
      </c>
      <c r="AK130" s="33">
        <v>-1.5151515151515152E-2</v>
      </c>
      <c r="AL130" s="33">
        <v>-8.1267217630853997E-2</v>
      </c>
      <c r="AM130" s="33">
        <v>-6.7132867132867133E-2</v>
      </c>
      <c r="AN130" s="34">
        <v>3.0641373080397469E-2</v>
      </c>
      <c r="AO130" s="33">
        <v>2.4101174345076783E-2</v>
      </c>
      <c r="AP130" s="33">
        <v>0.93965672990063231</v>
      </c>
      <c r="AQ130" s="33">
        <v>3.6856368563685637E-3</v>
      </c>
      <c r="AR130" s="33">
        <v>1.4792899408284023E-3</v>
      </c>
      <c r="AS130" s="136">
        <v>1.0840108401084011E-4</v>
      </c>
      <c r="AT130" s="35">
        <v>-4.6973803071364049E-4</v>
      </c>
      <c r="AU130" s="30">
        <v>455</v>
      </c>
      <c r="AV130" s="30">
        <v>461</v>
      </c>
      <c r="AW130" s="31">
        <v>419</v>
      </c>
      <c r="AX130" s="136">
        <v>1.3186813186813187E-2</v>
      </c>
      <c r="AY130" s="33">
        <v>-7.9120879120879117E-2</v>
      </c>
      <c r="AZ130" s="35">
        <v>-9.1106290672451198E-2</v>
      </c>
      <c r="BA130" s="29">
        <v>42</v>
      </c>
      <c r="BB130" s="31">
        <v>37</v>
      </c>
      <c r="BC130" s="29">
        <v>7</v>
      </c>
      <c r="BD130" s="31">
        <v>4</v>
      </c>
      <c r="BE130" s="29">
        <v>449</v>
      </c>
      <c r="BF130" s="30">
        <v>848</v>
      </c>
      <c r="BG130" s="33">
        <v>0.52948113207547165</v>
      </c>
      <c r="BH130" s="30">
        <v>247</v>
      </c>
      <c r="BI130" s="30">
        <v>419</v>
      </c>
      <c r="BJ130" s="35">
        <v>0.58949880668257759</v>
      </c>
    </row>
    <row r="131" spans="1:62" x14ac:dyDescent="0.25">
      <c r="A131" s="8"/>
      <c r="B131" s="9" t="s">
        <v>125</v>
      </c>
      <c r="C131" s="9"/>
      <c r="D131" s="9"/>
      <c r="E131" s="10"/>
      <c r="F131" s="176">
        <v>34802</v>
      </c>
      <c r="G131" s="177">
        <v>31993</v>
      </c>
      <c r="H131" s="178">
        <v>19</v>
      </c>
      <c r="I131" s="178">
        <v>32002</v>
      </c>
      <c r="J131" s="179">
        <v>10</v>
      </c>
      <c r="K131" s="177">
        <v>77</v>
      </c>
      <c r="L131" s="178">
        <v>234</v>
      </c>
      <c r="M131" s="178">
        <v>997</v>
      </c>
      <c r="N131" s="178">
        <v>66</v>
      </c>
      <c r="O131" s="178">
        <v>167</v>
      </c>
      <c r="P131" s="178">
        <v>0</v>
      </c>
      <c r="Q131" s="178">
        <v>257</v>
      </c>
      <c r="R131" s="179">
        <v>709</v>
      </c>
      <c r="S131" s="176">
        <v>2147</v>
      </c>
      <c r="T131" s="177">
        <v>4747</v>
      </c>
      <c r="U131" s="178">
        <v>16</v>
      </c>
      <c r="V131" s="178">
        <v>232</v>
      </c>
      <c r="W131" s="178">
        <v>878</v>
      </c>
      <c r="X131" s="179">
        <v>3621</v>
      </c>
      <c r="Y131" s="177">
        <v>53587</v>
      </c>
      <c r="Z131" s="179">
        <v>19811</v>
      </c>
      <c r="AA131" s="177">
        <v>55602</v>
      </c>
      <c r="AB131" s="179">
        <v>19123</v>
      </c>
      <c r="AC131" s="177">
        <v>54819</v>
      </c>
      <c r="AD131" s="179">
        <v>19110</v>
      </c>
      <c r="AE131" s="177">
        <v>16040</v>
      </c>
      <c r="AF131" s="178">
        <v>6255</v>
      </c>
      <c r="AG131" s="179">
        <v>4526</v>
      </c>
      <c r="AH131" s="131">
        <v>3.760240356802956E-2</v>
      </c>
      <c r="AI131" s="12">
        <v>2.2990650717524774E-2</v>
      </c>
      <c r="AJ131" s="12">
        <v>-1.4082227258012302E-2</v>
      </c>
      <c r="AK131" s="12">
        <v>-3.4728181313411738E-2</v>
      </c>
      <c r="AL131" s="12">
        <v>-3.5384382413810513E-2</v>
      </c>
      <c r="AM131" s="12">
        <v>-6.7980965329707678E-4</v>
      </c>
      <c r="AN131" s="13">
        <v>1.7134685712499609</v>
      </c>
      <c r="AO131" s="12">
        <v>0.5973181633482324</v>
      </c>
      <c r="AP131" s="12">
        <v>0.19551151814459414</v>
      </c>
      <c r="AQ131" s="12">
        <v>0.1414684462226112</v>
      </c>
      <c r="AR131" s="12">
        <v>2.1680631154057856E-2</v>
      </c>
      <c r="AS131" s="131">
        <v>6.7108429969055736E-2</v>
      </c>
      <c r="AT131" s="14">
        <v>-8.1267777326290119E-2</v>
      </c>
      <c r="AU131" s="9">
        <v>4395</v>
      </c>
      <c r="AV131" s="9">
        <v>4494</v>
      </c>
      <c r="AW131" s="10">
        <v>4389</v>
      </c>
      <c r="AX131" s="131">
        <v>2.2525597269624574E-2</v>
      </c>
      <c r="AY131" s="12">
        <v>-1.3651877133105802E-3</v>
      </c>
      <c r="AZ131" s="14">
        <v>-2.336448598130841E-2</v>
      </c>
      <c r="BA131" s="8">
        <v>56</v>
      </c>
      <c r="BB131" s="10">
        <v>37</v>
      </c>
      <c r="BC131" s="8">
        <v>7</v>
      </c>
      <c r="BD131" s="10">
        <v>3</v>
      </c>
      <c r="BE131" s="8">
        <v>31304</v>
      </c>
      <c r="BF131" s="9">
        <v>54819</v>
      </c>
      <c r="BG131" s="12">
        <v>0.57104288659041569</v>
      </c>
      <c r="BH131" s="9">
        <v>2686</v>
      </c>
      <c r="BI131" s="9">
        <v>4389</v>
      </c>
      <c r="BJ131" s="14">
        <v>0.61198450672134885</v>
      </c>
    </row>
    <row r="132" spans="1:62" x14ac:dyDescent="0.25">
      <c r="A132" s="15"/>
      <c r="B132" s="16"/>
      <c r="C132" s="16" t="s">
        <v>183</v>
      </c>
      <c r="D132" s="16"/>
      <c r="E132" s="17"/>
      <c r="F132" s="180">
        <v>1448</v>
      </c>
      <c r="G132" s="181">
        <v>1427</v>
      </c>
      <c r="H132" s="182">
        <v>0</v>
      </c>
      <c r="I132" s="182">
        <v>1427</v>
      </c>
      <c r="J132" s="183">
        <v>0</v>
      </c>
      <c r="K132" s="181">
        <v>0</v>
      </c>
      <c r="L132" s="182">
        <v>1</v>
      </c>
      <c r="M132" s="182">
        <v>4</v>
      </c>
      <c r="N132" s="182">
        <v>1</v>
      </c>
      <c r="O132" s="182">
        <v>1</v>
      </c>
      <c r="P132" s="182">
        <v>0</v>
      </c>
      <c r="Q132" s="182">
        <v>1</v>
      </c>
      <c r="R132" s="183">
        <v>13</v>
      </c>
      <c r="S132" s="180">
        <v>18</v>
      </c>
      <c r="T132" s="181">
        <v>47</v>
      </c>
      <c r="U132" s="182">
        <v>0</v>
      </c>
      <c r="V132" s="182">
        <v>1</v>
      </c>
      <c r="W132" s="182">
        <v>3</v>
      </c>
      <c r="X132" s="183">
        <v>43</v>
      </c>
      <c r="Y132" s="181">
        <v>825</v>
      </c>
      <c r="Z132" s="183">
        <v>484</v>
      </c>
      <c r="AA132" s="181">
        <v>947</v>
      </c>
      <c r="AB132" s="183">
        <v>506</v>
      </c>
      <c r="AC132" s="181">
        <v>832</v>
      </c>
      <c r="AD132" s="183">
        <v>445</v>
      </c>
      <c r="AE132" s="181">
        <v>998</v>
      </c>
      <c r="AF132" s="182">
        <v>548</v>
      </c>
      <c r="AG132" s="183">
        <v>83</v>
      </c>
      <c r="AH132" s="133">
        <v>0.14787878787878789</v>
      </c>
      <c r="AI132" s="19">
        <v>8.4848484848484857E-3</v>
      </c>
      <c r="AJ132" s="19">
        <v>-0.12143611404435058</v>
      </c>
      <c r="AK132" s="19">
        <v>4.5454545454545456E-2</v>
      </c>
      <c r="AL132" s="19">
        <v>-8.057851239669421E-2</v>
      </c>
      <c r="AM132" s="19">
        <v>-0.12055335968379446</v>
      </c>
      <c r="AN132" s="20">
        <v>0.58304134548002806</v>
      </c>
      <c r="AO132" s="19">
        <v>0.31184302733006308</v>
      </c>
      <c r="AP132" s="19">
        <v>0.38402242466713382</v>
      </c>
      <c r="AQ132" s="19">
        <v>5.8163980378416261E-2</v>
      </c>
      <c r="AR132" s="19">
        <v>9.0277777777777769E-3</v>
      </c>
      <c r="AS132" s="133">
        <v>1.2613875262789068E-2</v>
      </c>
      <c r="AT132" s="21">
        <v>-2.0322354590049056E-2</v>
      </c>
      <c r="AU132" s="16">
        <v>417</v>
      </c>
      <c r="AV132" s="16">
        <v>478</v>
      </c>
      <c r="AW132" s="17">
        <v>469</v>
      </c>
      <c r="AX132" s="133">
        <v>0.14628297362110312</v>
      </c>
      <c r="AY132" s="19">
        <v>0.12470023980815348</v>
      </c>
      <c r="AZ132" s="21">
        <v>-1.8828451882845189E-2</v>
      </c>
      <c r="BA132" s="15">
        <v>47</v>
      </c>
      <c r="BB132" s="17">
        <v>42</v>
      </c>
      <c r="BC132" s="15">
        <v>5</v>
      </c>
      <c r="BD132" s="17">
        <v>4</v>
      </c>
      <c r="BE132" s="15">
        <v>483</v>
      </c>
      <c r="BF132" s="16">
        <v>832</v>
      </c>
      <c r="BG132" s="19">
        <v>0.58052884615384615</v>
      </c>
      <c r="BH132" s="16">
        <v>265</v>
      </c>
      <c r="BI132" s="16">
        <v>469</v>
      </c>
      <c r="BJ132" s="21">
        <v>0.56503198294243073</v>
      </c>
    </row>
    <row r="133" spans="1:62" x14ac:dyDescent="0.25">
      <c r="A133" s="22"/>
      <c r="B133" s="23"/>
      <c r="C133" s="23"/>
      <c r="D133" s="23" t="s">
        <v>184</v>
      </c>
      <c r="E133" s="24"/>
      <c r="F133" s="184">
        <v>182</v>
      </c>
      <c r="G133" s="185">
        <v>178</v>
      </c>
      <c r="H133" s="186">
        <v>0</v>
      </c>
      <c r="I133" s="186">
        <v>178</v>
      </c>
      <c r="J133" s="187">
        <v>0</v>
      </c>
      <c r="K133" s="185">
        <v>0</v>
      </c>
      <c r="L133" s="186">
        <v>0</v>
      </c>
      <c r="M133" s="186">
        <v>1</v>
      </c>
      <c r="N133" s="186">
        <v>0</v>
      </c>
      <c r="O133" s="186">
        <v>0</v>
      </c>
      <c r="P133" s="186">
        <v>0</v>
      </c>
      <c r="Q133" s="186">
        <v>1</v>
      </c>
      <c r="R133" s="187">
        <v>2</v>
      </c>
      <c r="S133" s="184">
        <v>2</v>
      </c>
      <c r="T133" s="185">
        <v>45</v>
      </c>
      <c r="U133" s="186">
        <v>0</v>
      </c>
      <c r="V133" s="186">
        <v>1</v>
      </c>
      <c r="W133" s="186">
        <v>1</v>
      </c>
      <c r="X133" s="187">
        <v>43</v>
      </c>
      <c r="Y133" s="185">
        <v>218</v>
      </c>
      <c r="Z133" s="187">
        <v>119</v>
      </c>
      <c r="AA133" s="185">
        <v>205</v>
      </c>
      <c r="AB133" s="187">
        <v>113</v>
      </c>
      <c r="AC133" s="185">
        <v>197</v>
      </c>
      <c r="AD133" s="187">
        <v>93</v>
      </c>
      <c r="AE133" s="185">
        <v>89</v>
      </c>
      <c r="AF133" s="186">
        <v>12</v>
      </c>
      <c r="AG133" s="187">
        <v>30</v>
      </c>
      <c r="AH133" s="135">
        <v>-5.9633027522935783E-2</v>
      </c>
      <c r="AI133" s="26">
        <v>-9.6330275229357804E-2</v>
      </c>
      <c r="AJ133" s="26">
        <v>-3.9024390243902439E-2</v>
      </c>
      <c r="AK133" s="26">
        <v>-5.0420168067226892E-2</v>
      </c>
      <c r="AL133" s="26">
        <v>-0.21848739495798319</v>
      </c>
      <c r="AM133" s="26">
        <v>-0.17699115044247787</v>
      </c>
      <c r="AN133" s="27">
        <v>1.1067415730337078</v>
      </c>
      <c r="AO133" s="26">
        <v>0.52247191011235961</v>
      </c>
      <c r="AP133" s="26">
        <v>6.741573033707865E-2</v>
      </c>
      <c r="AQ133" s="26">
        <v>0.16853932584269662</v>
      </c>
      <c r="AR133" s="26">
        <v>1.1111111111111112E-2</v>
      </c>
      <c r="AS133" s="135">
        <v>1.1235955056179775E-2</v>
      </c>
      <c r="AT133" s="28">
        <v>-0.24157303370786518</v>
      </c>
      <c r="AU133" s="23">
        <v>112</v>
      </c>
      <c r="AV133" s="23">
        <v>124</v>
      </c>
      <c r="AW133" s="24">
        <v>122</v>
      </c>
      <c r="AX133" s="135">
        <v>0.10714285714285714</v>
      </c>
      <c r="AY133" s="26">
        <v>8.9285714285714288E-2</v>
      </c>
      <c r="AZ133" s="28">
        <v>-1.6129032258064516E-2</v>
      </c>
      <c r="BA133" s="22">
        <v>30.5</v>
      </c>
      <c r="BB133" s="24">
        <v>34.5</v>
      </c>
      <c r="BC133" s="22">
        <v>3</v>
      </c>
      <c r="BD133" s="24">
        <v>3</v>
      </c>
      <c r="BE133" s="22">
        <v>98</v>
      </c>
      <c r="BF133" s="23">
        <v>197</v>
      </c>
      <c r="BG133" s="26">
        <v>0.49746192893401014</v>
      </c>
      <c r="BH133" s="23">
        <v>64</v>
      </c>
      <c r="BI133" s="23">
        <v>122</v>
      </c>
      <c r="BJ133" s="28">
        <v>0.52459016393442626</v>
      </c>
    </row>
    <row r="134" spans="1:62" x14ac:dyDescent="0.25">
      <c r="A134" s="29"/>
      <c r="B134" s="30"/>
      <c r="C134" s="30"/>
      <c r="D134" s="30"/>
      <c r="E134" s="31" t="s">
        <v>68</v>
      </c>
      <c r="F134" s="188">
        <v>180</v>
      </c>
      <c r="G134" s="189">
        <v>176</v>
      </c>
      <c r="H134" s="190">
        <v>0</v>
      </c>
      <c r="I134" s="190">
        <v>176</v>
      </c>
      <c r="J134" s="191">
        <v>0</v>
      </c>
      <c r="K134" s="189">
        <v>0</v>
      </c>
      <c r="L134" s="190">
        <v>0</v>
      </c>
      <c r="M134" s="190">
        <v>1</v>
      </c>
      <c r="N134" s="190">
        <v>0</v>
      </c>
      <c r="O134" s="190">
        <v>0</v>
      </c>
      <c r="P134" s="190">
        <v>0</v>
      </c>
      <c r="Q134" s="190">
        <v>1</v>
      </c>
      <c r="R134" s="191">
        <v>2</v>
      </c>
      <c r="S134" s="188">
        <v>2</v>
      </c>
      <c r="T134" s="189">
        <v>45</v>
      </c>
      <c r="U134" s="190">
        <v>0</v>
      </c>
      <c r="V134" s="190">
        <v>1</v>
      </c>
      <c r="W134" s="190">
        <v>1</v>
      </c>
      <c r="X134" s="191">
        <v>43</v>
      </c>
      <c r="Y134" s="189">
        <v>217</v>
      </c>
      <c r="Z134" s="191">
        <v>118</v>
      </c>
      <c r="AA134" s="189">
        <v>204</v>
      </c>
      <c r="AB134" s="191">
        <v>112</v>
      </c>
      <c r="AC134" s="189">
        <v>196</v>
      </c>
      <c r="AD134" s="191">
        <v>92</v>
      </c>
      <c r="AE134" s="189">
        <v>88</v>
      </c>
      <c r="AF134" s="190">
        <v>12</v>
      </c>
      <c r="AG134" s="191">
        <v>29</v>
      </c>
      <c r="AH134" s="136">
        <v>-5.9907834101382486E-2</v>
      </c>
      <c r="AI134" s="33">
        <v>-9.6774193548387094E-2</v>
      </c>
      <c r="AJ134" s="33">
        <v>-3.9215686274509803E-2</v>
      </c>
      <c r="AK134" s="33">
        <v>-5.0847457627118647E-2</v>
      </c>
      <c r="AL134" s="33">
        <v>-0.22033898305084745</v>
      </c>
      <c r="AM134" s="33">
        <v>-0.17857142857142858</v>
      </c>
      <c r="AN134" s="34">
        <v>1.1136363636363635</v>
      </c>
      <c r="AO134" s="33">
        <v>0.52272727272727271</v>
      </c>
      <c r="AP134" s="33">
        <v>6.8181818181818177E-2</v>
      </c>
      <c r="AQ134" s="33">
        <v>0.16477272727272727</v>
      </c>
      <c r="AR134" s="33">
        <v>1.1235955056179775E-2</v>
      </c>
      <c r="AS134" s="136">
        <v>1.1363636363636364E-2</v>
      </c>
      <c r="AT134" s="35">
        <v>-0.24431818181818182</v>
      </c>
      <c r="AU134" s="30">
        <v>111</v>
      </c>
      <c r="AV134" s="30">
        <v>124</v>
      </c>
      <c r="AW134" s="31">
        <v>121</v>
      </c>
      <c r="AX134" s="136">
        <v>0.11711711711711711</v>
      </c>
      <c r="AY134" s="33">
        <v>9.0090090090090086E-2</v>
      </c>
      <c r="AZ134" s="35">
        <v>-2.4193548387096774E-2</v>
      </c>
      <c r="BA134" s="29">
        <v>30</v>
      </c>
      <c r="BB134" s="31">
        <v>34</v>
      </c>
      <c r="BC134" s="29">
        <v>3</v>
      </c>
      <c r="BD134" s="31">
        <v>3</v>
      </c>
      <c r="BE134" s="29">
        <v>98</v>
      </c>
      <c r="BF134" s="30">
        <v>196</v>
      </c>
      <c r="BG134" s="33">
        <v>0.5</v>
      </c>
      <c r="BH134" s="30">
        <v>64</v>
      </c>
      <c r="BI134" s="30">
        <v>121</v>
      </c>
      <c r="BJ134" s="35">
        <v>0.52892561983471076</v>
      </c>
    </row>
    <row r="135" spans="1:62" x14ac:dyDescent="0.25">
      <c r="A135" s="22"/>
      <c r="B135" s="23"/>
      <c r="C135" s="23"/>
      <c r="D135" s="23" t="s">
        <v>185</v>
      </c>
      <c r="E135" s="24"/>
      <c r="F135" s="184">
        <v>1266</v>
      </c>
      <c r="G135" s="185">
        <v>1249</v>
      </c>
      <c r="H135" s="186">
        <v>0</v>
      </c>
      <c r="I135" s="186">
        <v>1249</v>
      </c>
      <c r="J135" s="187">
        <v>0</v>
      </c>
      <c r="K135" s="185">
        <v>0</v>
      </c>
      <c r="L135" s="186">
        <v>1</v>
      </c>
      <c r="M135" s="186">
        <v>3</v>
      </c>
      <c r="N135" s="186">
        <v>1</v>
      </c>
      <c r="O135" s="186">
        <v>1</v>
      </c>
      <c r="P135" s="186">
        <v>0</v>
      </c>
      <c r="Q135" s="186">
        <v>0</v>
      </c>
      <c r="R135" s="187">
        <v>11</v>
      </c>
      <c r="S135" s="184">
        <v>16</v>
      </c>
      <c r="T135" s="185">
        <v>2</v>
      </c>
      <c r="U135" s="186">
        <v>0</v>
      </c>
      <c r="V135" s="186">
        <v>0</v>
      </c>
      <c r="W135" s="186">
        <v>2</v>
      </c>
      <c r="X135" s="187">
        <v>0</v>
      </c>
      <c r="Y135" s="185">
        <v>607</v>
      </c>
      <c r="Z135" s="187">
        <v>365</v>
      </c>
      <c r="AA135" s="185">
        <v>742</v>
      </c>
      <c r="AB135" s="187">
        <v>393</v>
      </c>
      <c r="AC135" s="185">
        <v>635</v>
      </c>
      <c r="AD135" s="187">
        <v>352</v>
      </c>
      <c r="AE135" s="185">
        <v>909</v>
      </c>
      <c r="AF135" s="186">
        <v>536</v>
      </c>
      <c r="AG135" s="187">
        <v>53</v>
      </c>
      <c r="AH135" s="135">
        <v>0.22240527182866557</v>
      </c>
      <c r="AI135" s="26">
        <v>4.6128500823723231E-2</v>
      </c>
      <c r="AJ135" s="26">
        <v>-0.14420485175202155</v>
      </c>
      <c r="AK135" s="26">
        <v>7.6712328767123292E-2</v>
      </c>
      <c r="AL135" s="26">
        <v>-3.5616438356164383E-2</v>
      </c>
      <c r="AM135" s="26">
        <v>-0.10432569974554708</v>
      </c>
      <c r="AN135" s="27">
        <v>0.50840672538030429</v>
      </c>
      <c r="AO135" s="26">
        <v>0.28182546036829464</v>
      </c>
      <c r="AP135" s="26">
        <v>0.4291433146517214</v>
      </c>
      <c r="AQ135" s="26">
        <v>4.2433947157726179E-2</v>
      </c>
      <c r="AR135" s="26">
        <v>8.7301587301587304E-3</v>
      </c>
      <c r="AS135" s="135">
        <v>1.2810248198558846E-2</v>
      </c>
      <c r="AT135" s="28">
        <v>1.120896717373899E-2</v>
      </c>
      <c r="AU135" s="23">
        <v>329</v>
      </c>
      <c r="AV135" s="23">
        <v>386</v>
      </c>
      <c r="AW135" s="24">
        <v>373</v>
      </c>
      <c r="AX135" s="135">
        <v>0.17325227963525835</v>
      </c>
      <c r="AY135" s="26">
        <v>0.1337386018237082</v>
      </c>
      <c r="AZ135" s="28">
        <v>-3.367875647668394E-2</v>
      </c>
      <c r="BA135" s="22">
        <v>51</v>
      </c>
      <c r="BB135" s="24">
        <v>45</v>
      </c>
      <c r="BC135" s="22">
        <v>7</v>
      </c>
      <c r="BD135" s="24">
        <v>5</v>
      </c>
      <c r="BE135" s="22">
        <v>385</v>
      </c>
      <c r="BF135" s="23">
        <v>635</v>
      </c>
      <c r="BG135" s="26">
        <v>0.60629921259842523</v>
      </c>
      <c r="BH135" s="23">
        <v>218</v>
      </c>
      <c r="BI135" s="23">
        <v>373</v>
      </c>
      <c r="BJ135" s="28">
        <v>0.58445040214477206</v>
      </c>
    </row>
    <row r="136" spans="1:62" x14ac:dyDescent="0.25">
      <c r="A136" s="29"/>
      <c r="B136" s="30"/>
      <c r="C136" s="30"/>
      <c r="D136" s="30"/>
      <c r="E136" s="31" t="s">
        <v>68</v>
      </c>
      <c r="F136" s="188">
        <v>1266</v>
      </c>
      <c r="G136" s="189">
        <v>1249</v>
      </c>
      <c r="H136" s="190">
        <v>0</v>
      </c>
      <c r="I136" s="190">
        <v>1249</v>
      </c>
      <c r="J136" s="191">
        <v>0</v>
      </c>
      <c r="K136" s="189">
        <v>0</v>
      </c>
      <c r="L136" s="190">
        <v>1</v>
      </c>
      <c r="M136" s="190">
        <v>3</v>
      </c>
      <c r="N136" s="190">
        <v>1</v>
      </c>
      <c r="O136" s="190">
        <v>1</v>
      </c>
      <c r="P136" s="190">
        <v>0</v>
      </c>
      <c r="Q136" s="190">
        <v>0</v>
      </c>
      <c r="R136" s="191">
        <v>11</v>
      </c>
      <c r="S136" s="188">
        <v>16</v>
      </c>
      <c r="T136" s="189">
        <v>2</v>
      </c>
      <c r="U136" s="190">
        <v>0</v>
      </c>
      <c r="V136" s="190">
        <v>0</v>
      </c>
      <c r="W136" s="190">
        <v>2</v>
      </c>
      <c r="X136" s="191">
        <v>0</v>
      </c>
      <c r="Y136" s="189">
        <v>607</v>
      </c>
      <c r="Z136" s="191">
        <v>365</v>
      </c>
      <c r="AA136" s="189">
        <v>742</v>
      </c>
      <c r="AB136" s="191">
        <v>393</v>
      </c>
      <c r="AC136" s="189">
        <v>635</v>
      </c>
      <c r="AD136" s="191">
        <v>352</v>
      </c>
      <c r="AE136" s="189">
        <v>909</v>
      </c>
      <c r="AF136" s="190">
        <v>536</v>
      </c>
      <c r="AG136" s="191">
        <v>53</v>
      </c>
      <c r="AH136" s="136">
        <v>0.22240527182866557</v>
      </c>
      <c r="AI136" s="33">
        <v>4.6128500823723231E-2</v>
      </c>
      <c r="AJ136" s="33">
        <v>-0.14420485175202155</v>
      </c>
      <c r="AK136" s="33">
        <v>7.6712328767123292E-2</v>
      </c>
      <c r="AL136" s="33">
        <v>-3.5616438356164383E-2</v>
      </c>
      <c r="AM136" s="33">
        <v>-0.10432569974554708</v>
      </c>
      <c r="AN136" s="34">
        <v>0.50840672538030429</v>
      </c>
      <c r="AO136" s="33">
        <v>0.28182546036829464</v>
      </c>
      <c r="AP136" s="33">
        <v>0.4291433146517214</v>
      </c>
      <c r="AQ136" s="33">
        <v>4.2433947157726179E-2</v>
      </c>
      <c r="AR136" s="33">
        <v>8.7301587301587304E-3</v>
      </c>
      <c r="AS136" s="136">
        <v>1.2810248198558846E-2</v>
      </c>
      <c r="AT136" s="35">
        <v>1.120896717373899E-2</v>
      </c>
      <c r="AU136" s="30">
        <v>329</v>
      </c>
      <c r="AV136" s="30">
        <v>386</v>
      </c>
      <c r="AW136" s="31">
        <v>373</v>
      </c>
      <c r="AX136" s="136">
        <v>0.17325227963525835</v>
      </c>
      <c r="AY136" s="33">
        <v>0.1337386018237082</v>
      </c>
      <c r="AZ136" s="35">
        <v>-3.367875647668394E-2</v>
      </c>
      <c r="BA136" s="29">
        <v>51</v>
      </c>
      <c r="BB136" s="31">
        <v>45</v>
      </c>
      <c r="BC136" s="29">
        <v>7</v>
      </c>
      <c r="BD136" s="31">
        <v>5</v>
      </c>
      <c r="BE136" s="29">
        <v>385</v>
      </c>
      <c r="BF136" s="30">
        <v>635</v>
      </c>
      <c r="BG136" s="33">
        <v>0.60629921259842523</v>
      </c>
      <c r="BH136" s="30">
        <v>218</v>
      </c>
      <c r="BI136" s="30">
        <v>373</v>
      </c>
      <c r="BJ136" s="35">
        <v>0.58445040214477206</v>
      </c>
    </row>
    <row r="137" spans="1:62" x14ac:dyDescent="0.25">
      <c r="A137" s="15"/>
      <c r="B137" s="16"/>
      <c r="C137" s="16" t="s">
        <v>126</v>
      </c>
      <c r="D137" s="16"/>
      <c r="E137" s="17"/>
      <c r="F137" s="180">
        <v>2608</v>
      </c>
      <c r="G137" s="181">
        <v>2451</v>
      </c>
      <c r="H137" s="182">
        <v>0</v>
      </c>
      <c r="I137" s="182">
        <v>2451</v>
      </c>
      <c r="J137" s="183">
        <v>0</v>
      </c>
      <c r="K137" s="181">
        <v>77</v>
      </c>
      <c r="L137" s="182">
        <v>2</v>
      </c>
      <c r="M137" s="182">
        <v>21</v>
      </c>
      <c r="N137" s="182">
        <v>10</v>
      </c>
      <c r="O137" s="182">
        <v>11</v>
      </c>
      <c r="P137" s="182">
        <v>0</v>
      </c>
      <c r="Q137" s="182">
        <v>7</v>
      </c>
      <c r="R137" s="183">
        <v>28</v>
      </c>
      <c r="S137" s="180">
        <v>153</v>
      </c>
      <c r="T137" s="181">
        <v>87</v>
      </c>
      <c r="U137" s="182">
        <v>2</v>
      </c>
      <c r="V137" s="182">
        <v>5</v>
      </c>
      <c r="W137" s="182">
        <v>10</v>
      </c>
      <c r="X137" s="183">
        <v>70</v>
      </c>
      <c r="Y137" s="181">
        <v>4216</v>
      </c>
      <c r="Z137" s="183">
        <v>1714</v>
      </c>
      <c r="AA137" s="181">
        <v>4584</v>
      </c>
      <c r="AB137" s="183">
        <v>1668</v>
      </c>
      <c r="AC137" s="181">
        <v>4132</v>
      </c>
      <c r="AD137" s="183">
        <v>1530</v>
      </c>
      <c r="AE137" s="181">
        <v>1018</v>
      </c>
      <c r="AF137" s="182">
        <v>215</v>
      </c>
      <c r="AG137" s="183">
        <v>332</v>
      </c>
      <c r="AH137" s="133">
        <v>8.7286527514231493E-2</v>
      </c>
      <c r="AI137" s="19">
        <v>-1.9924098671726755E-2</v>
      </c>
      <c r="AJ137" s="19">
        <v>-9.8603839441535779E-2</v>
      </c>
      <c r="AK137" s="19">
        <v>-2.6837806301050177E-2</v>
      </c>
      <c r="AL137" s="19">
        <v>-0.10735122520420071</v>
      </c>
      <c r="AM137" s="19">
        <v>-8.2733812949640287E-2</v>
      </c>
      <c r="AN137" s="20">
        <v>1.685842513259894</v>
      </c>
      <c r="AO137" s="19">
        <v>0.62423500611995109</v>
      </c>
      <c r="AP137" s="19">
        <v>8.771929824561403E-2</v>
      </c>
      <c r="AQ137" s="19">
        <v>0.13545491636066911</v>
      </c>
      <c r="AR137" s="19">
        <v>1.1294876966518758E-2</v>
      </c>
      <c r="AS137" s="133">
        <v>6.2423500611995107E-2</v>
      </c>
      <c r="AT137" s="21">
        <v>2.6927784577723379E-2</v>
      </c>
      <c r="AU137" s="16">
        <v>743</v>
      </c>
      <c r="AV137" s="16">
        <v>823</v>
      </c>
      <c r="AW137" s="17">
        <v>799</v>
      </c>
      <c r="AX137" s="133">
        <v>0.10767160161507403</v>
      </c>
      <c r="AY137" s="19">
        <v>7.5370121130551818E-2</v>
      </c>
      <c r="AZ137" s="21">
        <v>-2.9161603888213851E-2</v>
      </c>
      <c r="BA137" s="15">
        <v>60</v>
      </c>
      <c r="BB137" s="17">
        <v>51</v>
      </c>
      <c r="BC137" s="15">
        <v>8</v>
      </c>
      <c r="BD137" s="17">
        <v>6</v>
      </c>
      <c r="BE137" s="15">
        <v>2441</v>
      </c>
      <c r="BF137" s="16">
        <v>4132</v>
      </c>
      <c r="BG137" s="19">
        <v>0.59075508228460794</v>
      </c>
      <c r="BH137" s="16">
        <v>441</v>
      </c>
      <c r="BI137" s="16">
        <v>799</v>
      </c>
      <c r="BJ137" s="21">
        <v>0.55193992490613264</v>
      </c>
    </row>
    <row r="138" spans="1:62" x14ac:dyDescent="0.25">
      <c r="A138" s="22"/>
      <c r="B138" s="23"/>
      <c r="C138" s="23"/>
      <c r="D138" s="23" t="s">
        <v>186</v>
      </c>
      <c r="E138" s="24"/>
      <c r="F138" s="184">
        <v>1497</v>
      </c>
      <c r="G138" s="185">
        <v>1370</v>
      </c>
      <c r="H138" s="186">
        <v>0</v>
      </c>
      <c r="I138" s="186">
        <v>1370</v>
      </c>
      <c r="J138" s="187">
        <v>0</v>
      </c>
      <c r="K138" s="185">
        <v>77</v>
      </c>
      <c r="L138" s="186">
        <v>1</v>
      </c>
      <c r="M138" s="186">
        <v>19</v>
      </c>
      <c r="N138" s="186">
        <v>9</v>
      </c>
      <c r="O138" s="186">
        <v>10</v>
      </c>
      <c r="P138" s="186">
        <v>0</v>
      </c>
      <c r="Q138" s="186">
        <v>6</v>
      </c>
      <c r="R138" s="187">
        <v>4</v>
      </c>
      <c r="S138" s="184">
        <v>85</v>
      </c>
      <c r="T138" s="185">
        <v>16</v>
      </c>
      <c r="U138" s="186">
        <v>1</v>
      </c>
      <c r="V138" s="186">
        <v>4</v>
      </c>
      <c r="W138" s="186">
        <v>8</v>
      </c>
      <c r="X138" s="187">
        <v>3</v>
      </c>
      <c r="Y138" s="185">
        <v>2300</v>
      </c>
      <c r="Z138" s="187">
        <v>979</v>
      </c>
      <c r="AA138" s="185">
        <v>2184</v>
      </c>
      <c r="AB138" s="187">
        <v>903</v>
      </c>
      <c r="AC138" s="185">
        <v>1898</v>
      </c>
      <c r="AD138" s="187">
        <v>787</v>
      </c>
      <c r="AE138" s="185">
        <v>628</v>
      </c>
      <c r="AF138" s="186">
        <v>121</v>
      </c>
      <c r="AG138" s="187">
        <v>132</v>
      </c>
      <c r="AH138" s="135">
        <v>-5.0434782608695654E-2</v>
      </c>
      <c r="AI138" s="26">
        <v>-0.17478260869565218</v>
      </c>
      <c r="AJ138" s="26">
        <v>-0.13095238095238096</v>
      </c>
      <c r="AK138" s="26">
        <v>-7.7630234933605727E-2</v>
      </c>
      <c r="AL138" s="26">
        <v>-0.19611848825331971</v>
      </c>
      <c r="AM138" s="26">
        <v>-0.12846068660022147</v>
      </c>
      <c r="AN138" s="27">
        <v>1.3854014598540145</v>
      </c>
      <c r="AO138" s="26">
        <v>0.5744525547445255</v>
      </c>
      <c r="AP138" s="26">
        <v>8.8321167883211676E-2</v>
      </c>
      <c r="AQ138" s="26">
        <v>9.6350364963503646E-2</v>
      </c>
      <c r="AR138" s="26">
        <v>2.911208151382824E-3</v>
      </c>
      <c r="AS138" s="135">
        <v>6.2043795620437957E-2</v>
      </c>
      <c r="AT138" s="28">
        <v>5.0364963503649635E-2</v>
      </c>
      <c r="AU138" s="23">
        <v>345</v>
      </c>
      <c r="AV138" s="23">
        <v>355</v>
      </c>
      <c r="AW138" s="24">
        <v>345</v>
      </c>
      <c r="AX138" s="135">
        <v>2.8985507246376812E-2</v>
      </c>
      <c r="AY138" s="26">
        <v>0</v>
      </c>
      <c r="AZ138" s="28">
        <v>-2.8169014084507043E-2</v>
      </c>
      <c r="BA138" s="22">
        <v>53</v>
      </c>
      <c r="BB138" s="24">
        <v>45</v>
      </c>
      <c r="BC138" s="22">
        <v>8</v>
      </c>
      <c r="BD138" s="24">
        <v>6</v>
      </c>
      <c r="BE138" s="22">
        <v>1011</v>
      </c>
      <c r="BF138" s="23">
        <v>1898</v>
      </c>
      <c r="BG138" s="26">
        <v>0.53266596417281353</v>
      </c>
      <c r="BH138" s="23">
        <v>178</v>
      </c>
      <c r="BI138" s="23">
        <v>345</v>
      </c>
      <c r="BJ138" s="28">
        <v>0.51594202898550723</v>
      </c>
    </row>
    <row r="139" spans="1:62" x14ac:dyDescent="0.25">
      <c r="A139" s="29"/>
      <c r="B139" s="30"/>
      <c r="C139" s="30"/>
      <c r="D139" s="30"/>
      <c r="E139" s="31" t="s">
        <v>68</v>
      </c>
      <c r="F139" s="188">
        <v>14</v>
      </c>
      <c r="G139" s="189">
        <v>11</v>
      </c>
      <c r="H139" s="190">
        <v>0</v>
      </c>
      <c r="I139" s="190">
        <v>11</v>
      </c>
      <c r="J139" s="191">
        <v>0</v>
      </c>
      <c r="K139" s="189">
        <v>2</v>
      </c>
      <c r="L139" s="190">
        <v>0</v>
      </c>
      <c r="M139" s="190">
        <v>0</v>
      </c>
      <c r="N139" s="190">
        <v>1</v>
      </c>
      <c r="O139" s="190">
        <v>0</v>
      </c>
      <c r="P139" s="190">
        <v>0</v>
      </c>
      <c r="Q139" s="190">
        <v>0</v>
      </c>
      <c r="R139" s="191">
        <v>0</v>
      </c>
      <c r="S139" s="188">
        <v>9</v>
      </c>
      <c r="T139" s="189">
        <v>1</v>
      </c>
      <c r="U139" s="190">
        <v>0</v>
      </c>
      <c r="V139" s="190">
        <v>0</v>
      </c>
      <c r="W139" s="190">
        <v>0</v>
      </c>
      <c r="X139" s="191">
        <v>1</v>
      </c>
      <c r="Y139" s="189">
        <v>9</v>
      </c>
      <c r="Z139" s="191">
        <v>5</v>
      </c>
      <c r="AA139" s="189">
        <v>27</v>
      </c>
      <c r="AB139" s="191">
        <v>6</v>
      </c>
      <c r="AC139" s="189">
        <v>21</v>
      </c>
      <c r="AD139" s="191">
        <v>11</v>
      </c>
      <c r="AE139" s="189">
        <v>2</v>
      </c>
      <c r="AF139" s="190">
        <v>1</v>
      </c>
      <c r="AG139" s="191">
        <v>7</v>
      </c>
      <c r="AH139" s="136">
        <v>2</v>
      </c>
      <c r="AI139" s="33">
        <v>1.3333333333333333</v>
      </c>
      <c r="AJ139" s="33">
        <v>-0.22222222222222221</v>
      </c>
      <c r="AK139" s="33">
        <v>0.2</v>
      </c>
      <c r="AL139" s="33">
        <v>1.2</v>
      </c>
      <c r="AM139" s="33">
        <v>0.83333333333333337</v>
      </c>
      <c r="AN139" s="34">
        <v>1.9090909090909092</v>
      </c>
      <c r="AO139" s="33">
        <v>1</v>
      </c>
      <c r="AP139" s="33">
        <v>9.0909090909090912E-2</v>
      </c>
      <c r="AQ139" s="33">
        <v>0.63636363636363635</v>
      </c>
      <c r="AR139" s="33">
        <v>0</v>
      </c>
      <c r="AS139" s="136">
        <v>0.81818181818181823</v>
      </c>
      <c r="AT139" s="35">
        <v>0.72727272727272729</v>
      </c>
      <c r="AU139" s="30">
        <v>8</v>
      </c>
      <c r="AV139" s="30">
        <v>22</v>
      </c>
      <c r="AW139" s="31">
        <v>19</v>
      </c>
      <c r="AX139" s="136">
        <v>1.75</v>
      </c>
      <c r="AY139" s="33">
        <v>1.375</v>
      </c>
      <c r="AZ139" s="35">
        <v>-0.13636363636363635</v>
      </c>
      <c r="BA139" s="29">
        <v>48</v>
      </c>
      <c r="BB139" s="31">
        <v>48</v>
      </c>
      <c r="BC139" s="29">
        <v>8</v>
      </c>
      <c r="BD139" s="31">
        <v>8</v>
      </c>
      <c r="BE139" s="29">
        <v>10</v>
      </c>
      <c r="BF139" s="30">
        <v>21</v>
      </c>
      <c r="BG139" s="33">
        <v>0.47619047619047616</v>
      </c>
      <c r="BH139" s="30">
        <v>10</v>
      </c>
      <c r="BI139" s="30">
        <v>19</v>
      </c>
      <c r="BJ139" s="35">
        <v>0.52631578947368418</v>
      </c>
    </row>
    <row r="140" spans="1:62" x14ac:dyDescent="0.25">
      <c r="A140" s="29"/>
      <c r="B140" s="30"/>
      <c r="C140" s="30"/>
      <c r="D140" s="30"/>
      <c r="E140" s="31" t="s">
        <v>174</v>
      </c>
      <c r="F140" s="188">
        <v>1482</v>
      </c>
      <c r="G140" s="189">
        <v>1358</v>
      </c>
      <c r="H140" s="190">
        <v>0</v>
      </c>
      <c r="I140" s="190">
        <v>1358</v>
      </c>
      <c r="J140" s="191">
        <v>0</v>
      </c>
      <c r="K140" s="189">
        <v>75</v>
      </c>
      <c r="L140" s="190">
        <v>1</v>
      </c>
      <c r="M140" s="190">
        <v>19</v>
      </c>
      <c r="N140" s="190">
        <v>8</v>
      </c>
      <c r="O140" s="190">
        <v>10</v>
      </c>
      <c r="P140" s="190">
        <v>0</v>
      </c>
      <c r="Q140" s="190">
        <v>6</v>
      </c>
      <c r="R140" s="191">
        <v>4</v>
      </c>
      <c r="S140" s="188">
        <v>76</v>
      </c>
      <c r="T140" s="189">
        <v>15</v>
      </c>
      <c r="U140" s="190">
        <v>1</v>
      </c>
      <c r="V140" s="190">
        <v>4</v>
      </c>
      <c r="W140" s="190">
        <v>8</v>
      </c>
      <c r="X140" s="191">
        <v>2</v>
      </c>
      <c r="Y140" s="189">
        <v>2289</v>
      </c>
      <c r="Z140" s="191">
        <v>973</v>
      </c>
      <c r="AA140" s="189">
        <v>2154</v>
      </c>
      <c r="AB140" s="191">
        <v>896</v>
      </c>
      <c r="AC140" s="189">
        <v>1871</v>
      </c>
      <c r="AD140" s="191">
        <v>775</v>
      </c>
      <c r="AE140" s="189">
        <v>626</v>
      </c>
      <c r="AF140" s="190">
        <v>120</v>
      </c>
      <c r="AG140" s="191">
        <v>125</v>
      </c>
      <c r="AH140" s="136">
        <v>-5.8977719528178242E-2</v>
      </c>
      <c r="AI140" s="33">
        <v>-0.18261249453910006</v>
      </c>
      <c r="AJ140" s="33">
        <v>-0.13138347260909936</v>
      </c>
      <c r="AK140" s="33">
        <v>-7.9136690647482008E-2</v>
      </c>
      <c r="AL140" s="33">
        <v>-0.20349434737923947</v>
      </c>
      <c r="AM140" s="33">
        <v>-0.13504464285714285</v>
      </c>
      <c r="AN140" s="34">
        <v>1.3777614138438881</v>
      </c>
      <c r="AO140" s="33">
        <v>0.57069219440353458</v>
      </c>
      <c r="AP140" s="33">
        <v>8.8365243004418267E-2</v>
      </c>
      <c r="AQ140" s="33">
        <v>9.2047128129602362E-2</v>
      </c>
      <c r="AR140" s="33">
        <v>2.936857562408223E-3</v>
      </c>
      <c r="AS140" s="136">
        <v>5.5964653902798235E-2</v>
      </c>
      <c r="AT140" s="35">
        <v>4.491899852724595E-2</v>
      </c>
      <c r="AU140" s="30">
        <v>343</v>
      </c>
      <c r="AV140" s="30">
        <v>346</v>
      </c>
      <c r="AW140" s="31">
        <v>336</v>
      </c>
      <c r="AX140" s="136">
        <v>8.7463556851311956E-3</v>
      </c>
      <c r="AY140" s="33">
        <v>-2.0408163265306121E-2</v>
      </c>
      <c r="AZ140" s="35">
        <v>-2.8901734104046242E-2</v>
      </c>
      <c r="BA140" s="29">
        <v>53</v>
      </c>
      <c r="BB140" s="31">
        <v>45</v>
      </c>
      <c r="BC140" s="29">
        <v>8</v>
      </c>
      <c r="BD140" s="31">
        <v>6</v>
      </c>
      <c r="BE140" s="29">
        <v>996</v>
      </c>
      <c r="BF140" s="30">
        <v>1871</v>
      </c>
      <c r="BG140" s="33">
        <v>0.53233564938535538</v>
      </c>
      <c r="BH140" s="30">
        <v>172</v>
      </c>
      <c r="BI140" s="30">
        <v>336</v>
      </c>
      <c r="BJ140" s="35">
        <v>0.51190476190476186</v>
      </c>
    </row>
    <row r="141" spans="1:62" x14ac:dyDescent="0.25">
      <c r="A141" s="22"/>
      <c r="B141" s="23"/>
      <c r="C141" s="23"/>
      <c r="D141" s="23" t="s">
        <v>127</v>
      </c>
      <c r="E141" s="24"/>
      <c r="F141" s="184">
        <v>1111</v>
      </c>
      <c r="G141" s="185">
        <v>1081</v>
      </c>
      <c r="H141" s="186">
        <v>0</v>
      </c>
      <c r="I141" s="186">
        <v>1081</v>
      </c>
      <c r="J141" s="187">
        <v>0</v>
      </c>
      <c r="K141" s="185">
        <v>0</v>
      </c>
      <c r="L141" s="186">
        <v>1</v>
      </c>
      <c r="M141" s="186">
        <v>2</v>
      </c>
      <c r="N141" s="186">
        <v>1</v>
      </c>
      <c r="O141" s="186">
        <v>1</v>
      </c>
      <c r="P141" s="186">
        <v>0</v>
      </c>
      <c r="Q141" s="186">
        <v>1</v>
      </c>
      <c r="R141" s="187">
        <v>24</v>
      </c>
      <c r="S141" s="184">
        <v>68</v>
      </c>
      <c r="T141" s="185">
        <v>71</v>
      </c>
      <c r="U141" s="186">
        <v>1</v>
      </c>
      <c r="V141" s="186">
        <v>1</v>
      </c>
      <c r="W141" s="186">
        <v>2</v>
      </c>
      <c r="X141" s="187">
        <v>67</v>
      </c>
      <c r="Y141" s="185">
        <v>1916</v>
      </c>
      <c r="Z141" s="187">
        <v>735</v>
      </c>
      <c r="AA141" s="185">
        <v>2400</v>
      </c>
      <c r="AB141" s="187">
        <v>765</v>
      </c>
      <c r="AC141" s="185">
        <v>2234</v>
      </c>
      <c r="AD141" s="187">
        <v>743</v>
      </c>
      <c r="AE141" s="185">
        <v>390</v>
      </c>
      <c r="AF141" s="186">
        <v>94</v>
      </c>
      <c r="AG141" s="187">
        <v>200</v>
      </c>
      <c r="AH141" s="135">
        <v>0.25260960334029225</v>
      </c>
      <c r="AI141" s="26">
        <v>0.16597077244258873</v>
      </c>
      <c r="AJ141" s="26">
        <v>-6.9166666666666668E-2</v>
      </c>
      <c r="AK141" s="26">
        <v>4.0816326530612242E-2</v>
      </c>
      <c r="AL141" s="26">
        <v>1.0884353741496598E-2</v>
      </c>
      <c r="AM141" s="26">
        <v>-2.8758169934640521E-2</v>
      </c>
      <c r="AN141" s="27">
        <v>2.0666049953746533</v>
      </c>
      <c r="AO141" s="26">
        <v>0.68732654949121186</v>
      </c>
      <c r="AP141" s="26">
        <v>8.6956521739130432E-2</v>
      </c>
      <c r="AQ141" s="26">
        <v>0.18501387604070305</v>
      </c>
      <c r="AR141" s="26">
        <v>2.171945701357466E-2</v>
      </c>
      <c r="AS141" s="135">
        <v>6.290471785383904E-2</v>
      </c>
      <c r="AT141" s="28">
        <v>-2.7752081406105457E-3</v>
      </c>
      <c r="AU141" s="23">
        <v>451</v>
      </c>
      <c r="AV141" s="23">
        <v>544</v>
      </c>
      <c r="AW141" s="24">
        <v>519</v>
      </c>
      <c r="AX141" s="135">
        <v>0.20620842572062084</v>
      </c>
      <c r="AY141" s="26">
        <v>0.15077605321507762</v>
      </c>
      <c r="AZ141" s="28">
        <v>-4.595588235294118E-2</v>
      </c>
      <c r="BA141" s="22">
        <v>67</v>
      </c>
      <c r="BB141" s="24">
        <v>57</v>
      </c>
      <c r="BC141" s="22">
        <v>8</v>
      </c>
      <c r="BD141" s="24">
        <v>6</v>
      </c>
      <c r="BE141" s="22">
        <v>1430</v>
      </c>
      <c r="BF141" s="23">
        <v>2234</v>
      </c>
      <c r="BG141" s="26">
        <v>0.64010743061772601</v>
      </c>
      <c r="BH141" s="23">
        <v>292</v>
      </c>
      <c r="BI141" s="23">
        <v>519</v>
      </c>
      <c r="BJ141" s="28">
        <v>0.56262042389210021</v>
      </c>
    </row>
    <row r="142" spans="1:62" x14ac:dyDescent="0.25">
      <c r="A142" s="29"/>
      <c r="B142" s="30"/>
      <c r="C142" s="30"/>
      <c r="D142" s="30"/>
      <c r="E142" s="31" t="s">
        <v>244</v>
      </c>
      <c r="F142" s="188">
        <v>779</v>
      </c>
      <c r="G142" s="189">
        <v>763</v>
      </c>
      <c r="H142" s="190">
        <v>0</v>
      </c>
      <c r="I142" s="190">
        <v>763</v>
      </c>
      <c r="J142" s="191">
        <v>0</v>
      </c>
      <c r="K142" s="189">
        <v>0</v>
      </c>
      <c r="L142" s="190">
        <v>0</v>
      </c>
      <c r="M142" s="190">
        <v>1</v>
      </c>
      <c r="N142" s="190">
        <v>1</v>
      </c>
      <c r="O142" s="190">
        <v>0</v>
      </c>
      <c r="P142" s="190">
        <v>0</v>
      </c>
      <c r="Q142" s="190">
        <v>0</v>
      </c>
      <c r="R142" s="191">
        <v>14</v>
      </c>
      <c r="S142" s="188">
        <v>1</v>
      </c>
      <c r="T142" s="189">
        <v>68</v>
      </c>
      <c r="U142" s="190">
        <v>0</v>
      </c>
      <c r="V142" s="190">
        <v>0</v>
      </c>
      <c r="W142" s="190">
        <v>1</v>
      </c>
      <c r="X142" s="191">
        <v>67</v>
      </c>
      <c r="Y142" s="189">
        <v>1285</v>
      </c>
      <c r="Z142" s="191">
        <v>581</v>
      </c>
      <c r="AA142" s="189">
        <v>1329</v>
      </c>
      <c r="AB142" s="191">
        <v>552</v>
      </c>
      <c r="AC142" s="189">
        <v>1123</v>
      </c>
      <c r="AD142" s="191">
        <v>457</v>
      </c>
      <c r="AE142" s="189">
        <v>346</v>
      </c>
      <c r="AF142" s="190">
        <v>86</v>
      </c>
      <c r="AG142" s="191">
        <v>84</v>
      </c>
      <c r="AH142" s="136">
        <v>3.4241245136186774E-2</v>
      </c>
      <c r="AI142" s="33">
        <v>-0.12607003891050583</v>
      </c>
      <c r="AJ142" s="33">
        <v>-0.15500376222723852</v>
      </c>
      <c r="AK142" s="33">
        <v>-4.9913941480206538E-2</v>
      </c>
      <c r="AL142" s="33">
        <v>-0.21342512908777969</v>
      </c>
      <c r="AM142" s="33">
        <v>-0.17210144927536231</v>
      </c>
      <c r="AN142" s="34">
        <v>1.4718217562254259</v>
      </c>
      <c r="AO142" s="33">
        <v>0.59895150720838797</v>
      </c>
      <c r="AP142" s="33">
        <v>0.1127129750982962</v>
      </c>
      <c r="AQ142" s="33">
        <v>0.11009174311926606</v>
      </c>
      <c r="AR142" s="33">
        <v>1.8018018018018018E-2</v>
      </c>
      <c r="AS142" s="136">
        <v>1.3106159895150721E-3</v>
      </c>
      <c r="AT142" s="35">
        <v>-8.7811271297509833E-2</v>
      </c>
      <c r="AU142" s="30">
        <v>305</v>
      </c>
      <c r="AV142" s="30">
        <v>337</v>
      </c>
      <c r="AW142" s="31">
        <v>313</v>
      </c>
      <c r="AX142" s="136">
        <v>0.10491803278688525</v>
      </c>
      <c r="AY142" s="33">
        <v>2.6229508196721311E-2</v>
      </c>
      <c r="AZ142" s="35">
        <v>-7.1216617210682495E-2</v>
      </c>
      <c r="BA142" s="29">
        <v>68</v>
      </c>
      <c r="BB142" s="31">
        <v>59</v>
      </c>
      <c r="BC142" s="29">
        <v>8</v>
      </c>
      <c r="BD142" s="31">
        <v>6</v>
      </c>
      <c r="BE142" s="29">
        <v>676</v>
      </c>
      <c r="BF142" s="30">
        <v>1123</v>
      </c>
      <c r="BG142" s="33">
        <v>0.60195903829029385</v>
      </c>
      <c r="BH142" s="30">
        <v>172</v>
      </c>
      <c r="BI142" s="30">
        <v>313</v>
      </c>
      <c r="BJ142" s="35">
        <v>0.54952076677316297</v>
      </c>
    </row>
    <row r="143" spans="1:62" x14ac:dyDescent="0.25">
      <c r="A143" s="29"/>
      <c r="B143" s="30"/>
      <c r="C143" s="30"/>
      <c r="D143" s="30"/>
      <c r="E143" s="31" t="s">
        <v>68</v>
      </c>
      <c r="F143" s="188">
        <v>303</v>
      </c>
      <c r="G143" s="189">
        <v>290</v>
      </c>
      <c r="H143" s="190">
        <v>0</v>
      </c>
      <c r="I143" s="190">
        <v>290</v>
      </c>
      <c r="J143" s="191">
        <v>0</v>
      </c>
      <c r="K143" s="189">
        <v>0</v>
      </c>
      <c r="L143" s="190">
        <v>1</v>
      </c>
      <c r="M143" s="190">
        <v>1</v>
      </c>
      <c r="N143" s="190">
        <v>0</v>
      </c>
      <c r="O143" s="190">
        <v>0</v>
      </c>
      <c r="P143" s="190">
        <v>0</v>
      </c>
      <c r="Q143" s="190">
        <v>1</v>
      </c>
      <c r="R143" s="191">
        <v>10</v>
      </c>
      <c r="S143" s="188">
        <v>53</v>
      </c>
      <c r="T143" s="189">
        <v>3</v>
      </c>
      <c r="U143" s="190">
        <v>1</v>
      </c>
      <c r="V143" s="190">
        <v>1</v>
      </c>
      <c r="W143" s="190">
        <v>1</v>
      </c>
      <c r="X143" s="191">
        <v>0</v>
      </c>
      <c r="Y143" s="189">
        <v>631</v>
      </c>
      <c r="Z143" s="191">
        <v>154</v>
      </c>
      <c r="AA143" s="189">
        <v>1071</v>
      </c>
      <c r="AB143" s="191">
        <v>213</v>
      </c>
      <c r="AC143" s="189">
        <v>925</v>
      </c>
      <c r="AD143" s="191">
        <v>257</v>
      </c>
      <c r="AE143" s="189">
        <v>44</v>
      </c>
      <c r="AF143" s="190">
        <v>8</v>
      </c>
      <c r="AG143" s="191">
        <v>96</v>
      </c>
      <c r="AH143" s="136">
        <v>0.69730586370839942</v>
      </c>
      <c r="AI143" s="33">
        <v>0.46592709984152142</v>
      </c>
      <c r="AJ143" s="33">
        <v>-0.13632119514472454</v>
      </c>
      <c r="AK143" s="33">
        <v>0.38311688311688313</v>
      </c>
      <c r="AL143" s="33">
        <v>0.66883116883116878</v>
      </c>
      <c r="AM143" s="33">
        <v>0.20657276995305165</v>
      </c>
      <c r="AN143" s="34">
        <v>3.1896551724137931</v>
      </c>
      <c r="AO143" s="33">
        <v>0.88620689655172413</v>
      </c>
      <c r="AP143" s="33">
        <v>2.7586206896551724E-2</v>
      </c>
      <c r="AQ143" s="33">
        <v>0.33103448275862069</v>
      </c>
      <c r="AR143" s="33">
        <v>3.3333333333333333E-2</v>
      </c>
      <c r="AS143" s="136">
        <v>0.18275862068965518</v>
      </c>
      <c r="AT143" s="35">
        <v>0.17241379310344829</v>
      </c>
      <c r="AU143" s="30">
        <v>280</v>
      </c>
      <c r="AV143" s="30">
        <v>388</v>
      </c>
      <c r="AW143" s="31">
        <v>347</v>
      </c>
      <c r="AX143" s="136">
        <v>0.38571428571428573</v>
      </c>
      <c r="AY143" s="33">
        <v>0.2392857142857143</v>
      </c>
      <c r="AZ143" s="35">
        <v>-0.1056701030927835</v>
      </c>
      <c r="BA143" s="29">
        <v>66</v>
      </c>
      <c r="BB143" s="31">
        <v>58</v>
      </c>
      <c r="BC143" s="29">
        <v>8</v>
      </c>
      <c r="BD143" s="31">
        <v>7</v>
      </c>
      <c r="BE143" s="29">
        <v>627</v>
      </c>
      <c r="BF143" s="30">
        <v>925</v>
      </c>
      <c r="BG143" s="33">
        <v>0.6778378378378378</v>
      </c>
      <c r="BH143" s="30">
        <v>204</v>
      </c>
      <c r="BI143" s="30">
        <v>347</v>
      </c>
      <c r="BJ143" s="35">
        <v>0.58789625360230546</v>
      </c>
    </row>
    <row r="144" spans="1:62" x14ac:dyDescent="0.25">
      <c r="A144" s="29"/>
      <c r="B144" s="30"/>
      <c r="C144" s="30"/>
      <c r="D144" s="30"/>
      <c r="E144" s="31" t="s">
        <v>174</v>
      </c>
      <c r="F144" s="188">
        <v>15</v>
      </c>
      <c r="G144" s="189">
        <v>15</v>
      </c>
      <c r="H144" s="190">
        <v>0</v>
      </c>
      <c r="I144" s="190">
        <v>15</v>
      </c>
      <c r="J144" s="191">
        <v>0</v>
      </c>
      <c r="K144" s="189">
        <v>0</v>
      </c>
      <c r="L144" s="190">
        <v>0</v>
      </c>
      <c r="M144" s="190">
        <v>0</v>
      </c>
      <c r="N144" s="190">
        <v>0</v>
      </c>
      <c r="O144" s="190">
        <v>0</v>
      </c>
      <c r="P144" s="190">
        <v>0</v>
      </c>
      <c r="Q144" s="190">
        <v>0</v>
      </c>
      <c r="R144" s="191">
        <v>0</v>
      </c>
      <c r="S144" s="188">
        <v>1</v>
      </c>
      <c r="T144" s="189"/>
      <c r="U144" s="190"/>
      <c r="V144" s="190"/>
      <c r="W144" s="190"/>
      <c r="X144" s="191"/>
      <c r="Y144" s="189">
        <v>0</v>
      </c>
      <c r="Z144" s="191">
        <v>0</v>
      </c>
      <c r="AA144" s="189">
        <v>0</v>
      </c>
      <c r="AB144" s="191">
        <v>0</v>
      </c>
      <c r="AC144" s="189">
        <v>127</v>
      </c>
      <c r="AD144" s="191">
        <v>15</v>
      </c>
      <c r="AE144" s="189">
        <v>0</v>
      </c>
      <c r="AF144" s="190">
        <v>0</v>
      </c>
      <c r="AG144" s="191">
        <v>11</v>
      </c>
      <c r="AH144" s="136"/>
      <c r="AI144" s="33"/>
      <c r="AJ144" s="33"/>
      <c r="AK144" s="33"/>
      <c r="AL144" s="33"/>
      <c r="AM144" s="33"/>
      <c r="AN144" s="34">
        <v>8.4666666666666668</v>
      </c>
      <c r="AO144" s="33">
        <v>1</v>
      </c>
      <c r="AP144" s="33">
        <v>0</v>
      </c>
      <c r="AQ144" s="33">
        <v>0.73333333333333328</v>
      </c>
      <c r="AR144" s="33">
        <v>0</v>
      </c>
      <c r="AS144" s="136">
        <v>6.6666666666666666E-2</v>
      </c>
      <c r="AT144" s="35">
        <v>6.6666666666666666E-2</v>
      </c>
      <c r="AU144" s="30">
        <v>0</v>
      </c>
      <c r="AV144" s="30">
        <v>0</v>
      </c>
      <c r="AW144" s="31">
        <v>79</v>
      </c>
      <c r="AX144" s="136"/>
      <c r="AY144" s="33"/>
      <c r="AZ144" s="35"/>
      <c r="BA144" s="29">
        <v>60</v>
      </c>
      <c r="BB144" s="31">
        <v>60</v>
      </c>
      <c r="BC144" s="29">
        <v>10</v>
      </c>
      <c r="BD144" s="31">
        <v>12</v>
      </c>
      <c r="BE144" s="29">
        <v>78</v>
      </c>
      <c r="BF144" s="30">
        <v>127</v>
      </c>
      <c r="BG144" s="33">
        <v>0.61417322834645671</v>
      </c>
      <c r="BH144" s="30">
        <v>45</v>
      </c>
      <c r="BI144" s="30">
        <v>79</v>
      </c>
      <c r="BJ144" s="35">
        <v>0.569620253164557</v>
      </c>
    </row>
    <row r="145" spans="1:62" x14ac:dyDescent="0.25">
      <c r="A145" s="15"/>
      <c r="B145" s="16"/>
      <c r="C145" s="16" t="s">
        <v>187</v>
      </c>
      <c r="D145" s="16"/>
      <c r="E145" s="17"/>
      <c r="F145" s="180">
        <v>1343</v>
      </c>
      <c r="G145" s="181">
        <v>1258</v>
      </c>
      <c r="H145" s="182">
        <v>19</v>
      </c>
      <c r="I145" s="182">
        <v>1272</v>
      </c>
      <c r="J145" s="183">
        <v>5</v>
      </c>
      <c r="K145" s="181">
        <v>0</v>
      </c>
      <c r="L145" s="182">
        <v>0</v>
      </c>
      <c r="M145" s="182">
        <v>5</v>
      </c>
      <c r="N145" s="182">
        <v>1</v>
      </c>
      <c r="O145" s="182">
        <v>0</v>
      </c>
      <c r="P145" s="182">
        <v>0</v>
      </c>
      <c r="Q145" s="182">
        <v>10</v>
      </c>
      <c r="R145" s="183">
        <v>27</v>
      </c>
      <c r="S145" s="180">
        <v>81</v>
      </c>
      <c r="T145" s="181">
        <v>148</v>
      </c>
      <c r="U145" s="182">
        <v>1</v>
      </c>
      <c r="V145" s="182">
        <v>9</v>
      </c>
      <c r="W145" s="182">
        <v>4</v>
      </c>
      <c r="X145" s="183">
        <v>134</v>
      </c>
      <c r="Y145" s="181">
        <v>1065</v>
      </c>
      <c r="Z145" s="183">
        <v>554</v>
      </c>
      <c r="AA145" s="181">
        <v>955</v>
      </c>
      <c r="AB145" s="183">
        <v>505</v>
      </c>
      <c r="AC145" s="181">
        <v>988</v>
      </c>
      <c r="AD145" s="183">
        <v>511</v>
      </c>
      <c r="AE145" s="181">
        <v>828</v>
      </c>
      <c r="AF145" s="182">
        <v>446</v>
      </c>
      <c r="AG145" s="183">
        <v>95</v>
      </c>
      <c r="AH145" s="133">
        <v>-0.10328638497652583</v>
      </c>
      <c r="AI145" s="19">
        <v>-7.2300469483568081E-2</v>
      </c>
      <c r="AJ145" s="19">
        <v>3.4554973821989528E-2</v>
      </c>
      <c r="AK145" s="19">
        <v>-8.8447653429602882E-2</v>
      </c>
      <c r="AL145" s="19">
        <v>-7.7617328519855602E-2</v>
      </c>
      <c r="AM145" s="19">
        <v>1.1881188118811881E-2</v>
      </c>
      <c r="AN145" s="20">
        <v>0.78537360890302066</v>
      </c>
      <c r="AO145" s="19">
        <v>0.40620031796502387</v>
      </c>
      <c r="AP145" s="19">
        <v>0.35453100158982515</v>
      </c>
      <c r="AQ145" s="19">
        <v>7.5516693163751994E-2</v>
      </c>
      <c r="AR145" s="19">
        <v>2.1011673151750974E-2</v>
      </c>
      <c r="AS145" s="133">
        <v>6.4387917329093797E-2</v>
      </c>
      <c r="AT145" s="21">
        <v>-5.3259141494435613E-2</v>
      </c>
      <c r="AU145" s="16">
        <v>447</v>
      </c>
      <c r="AV145" s="16">
        <v>411</v>
      </c>
      <c r="AW145" s="17">
        <v>403</v>
      </c>
      <c r="AX145" s="133">
        <v>-8.0536912751677847E-2</v>
      </c>
      <c r="AY145" s="19">
        <v>-9.8434004474272932E-2</v>
      </c>
      <c r="AZ145" s="21">
        <v>-1.9464720194647202E-2</v>
      </c>
      <c r="BA145" s="15">
        <v>51</v>
      </c>
      <c r="BB145" s="17">
        <v>48</v>
      </c>
      <c r="BC145" s="15">
        <v>7</v>
      </c>
      <c r="BD145" s="17">
        <v>6</v>
      </c>
      <c r="BE145" s="15">
        <v>557</v>
      </c>
      <c r="BF145" s="16">
        <v>988</v>
      </c>
      <c r="BG145" s="19">
        <v>0.56376518218623484</v>
      </c>
      <c r="BH145" s="16">
        <v>234</v>
      </c>
      <c r="BI145" s="16">
        <v>403</v>
      </c>
      <c r="BJ145" s="21">
        <v>0.58064516129032262</v>
      </c>
    </row>
    <row r="146" spans="1:62" x14ac:dyDescent="0.25">
      <c r="A146" s="29"/>
      <c r="B146" s="30"/>
      <c r="C146" s="30"/>
      <c r="D146" s="30"/>
      <c r="E146" s="31" t="s">
        <v>68</v>
      </c>
      <c r="F146" s="188">
        <v>1149</v>
      </c>
      <c r="G146" s="189">
        <v>1111</v>
      </c>
      <c r="H146" s="190">
        <v>1</v>
      </c>
      <c r="I146" s="190">
        <v>1107</v>
      </c>
      <c r="J146" s="191">
        <v>5</v>
      </c>
      <c r="K146" s="189">
        <v>0</v>
      </c>
      <c r="L146" s="190">
        <v>0</v>
      </c>
      <c r="M146" s="190">
        <v>4</v>
      </c>
      <c r="N146" s="190">
        <v>1</v>
      </c>
      <c r="O146" s="190">
        <v>0</v>
      </c>
      <c r="P146" s="190">
        <v>0</v>
      </c>
      <c r="Q146" s="190">
        <v>8</v>
      </c>
      <c r="R146" s="191">
        <v>24</v>
      </c>
      <c r="S146" s="188">
        <v>11</v>
      </c>
      <c r="T146" s="189">
        <v>24</v>
      </c>
      <c r="U146" s="190">
        <v>1</v>
      </c>
      <c r="V146" s="190">
        <v>7</v>
      </c>
      <c r="W146" s="190">
        <v>4</v>
      </c>
      <c r="X146" s="191">
        <v>12</v>
      </c>
      <c r="Y146" s="189">
        <v>582</v>
      </c>
      <c r="Z146" s="191">
        <v>400</v>
      </c>
      <c r="AA146" s="189">
        <v>567</v>
      </c>
      <c r="AB146" s="191">
        <v>365</v>
      </c>
      <c r="AC146" s="189">
        <v>592</v>
      </c>
      <c r="AD146" s="191">
        <v>363</v>
      </c>
      <c r="AE146" s="189">
        <v>785</v>
      </c>
      <c r="AF146" s="190">
        <v>426</v>
      </c>
      <c r="AG146" s="191">
        <v>65</v>
      </c>
      <c r="AH146" s="136">
        <v>-2.5773195876288658E-2</v>
      </c>
      <c r="AI146" s="33">
        <v>1.7182130584192441E-2</v>
      </c>
      <c r="AJ146" s="33">
        <v>4.4091710758377423E-2</v>
      </c>
      <c r="AK146" s="33">
        <v>-8.7499999999999994E-2</v>
      </c>
      <c r="AL146" s="33">
        <v>-9.2499999999999999E-2</v>
      </c>
      <c r="AM146" s="33">
        <v>-5.4794520547945206E-3</v>
      </c>
      <c r="AN146" s="34">
        <v>0.53285328532853282</v>
      </c>
      <c r="AO146" s="33">
        <v>0.32673267326732675</v>
      </c>
      <c r="AP146" s="33">
        <v>0.38343834383438347</v>
      </c>
      <c r="AQ146" s="33">
        <v>5.8505850585058507E-2</v>
      </c>
      <c r="AR146" s="33">
        <v>2.1145374449339206E-2</v>
      </c>
      <c r="AS146" s="136">
        <v>9.9009900990099011E-3</v>
      </c>
      <c r="AT146" s="35">
        <v>-1.1701170117011701E-2</v>
      </c>
      <c r="AU146" s="30">
        <v>295</v>
      </c>
      <c r="AV146" s="30">
        <v>265</v>
      </c>
      <c r="AW146" s="31">
        <v>288</v>
      </c>
      <c r="AX146" s="136">
        <v>-0.10169491525423729</v>
      </c>
      <c r="AY146" s="33">
        <v>-2.3728813559322035E-2</v>
      </c>
      <c r="AZ146" s="35">
        <v>8.6792452830188674E-2</v>
      </c>
      <c r="BA146" s="29">
        <v>47</v>
      </c>
      <c r="BB146" s="31">
        <v>45.5</v>
      </c>
      <c r="BC146" s="29">
        <v>6</v>
      </c>
      <c r="BD146" s="31">
        <v>6</v>
      </c>
      <c r="BE146" s="29">
        <v>318</v>
      </c>
      <c r="BF146" s="30">
        <v>592</v>
      </c>
      <c r="BG146" s="33">
        <v>0.53716216216216217</v>
      </c>
      <c r="BH146" s="30">
        <v>167</v>
      </c>
      <c r="BI146" s="30">
        <v>288</v>
      </c>
      <c r="BJ146" s="35">
        <v>0.57986111111111116</v>
      </c>
    </row>
    <row r="147" spans="1:62" x14ac:dyDescent="0.25">
      <c r="A147" s="29"/>
      <c r="B147" s="30"/>
      <c r="C147" s="30"/>
      <c r="D147" s="30"/>
      <c r="E147" s="31" t="s">
        <v>148</v>
      </c>
      <c r="F147" s="188">
        <v>142</v>
      </c>
      <c r="G147" s="189">
        <v>97</v>
      </c>
      <c r="H147" s="190">
        <v>18</v>
      </c>
      <c r="I147" s="190">
        <v>115</v>
      </c>
      <c r="J147" s="191">
        <v>0</v>
      </c>
      <c r="K147" s="189">
        <v>0</v>
      </c>
      <c r="L147" s="190">
        <v>0</v>
      </c>
      <c r="M147" s="190">
        <v>0</v>
      </c>
      <c r="N147" s="190">
        <v>0</v>
      </c>
      <c r="O147" s="190">
        <v>0</v>
      </c>
      <c r="P147" s="190">
        <v>0</v>
      </c>
      <c r="Q147" s="190">
        <v>1</v>
      </c>
      <c r="R147" s="191">
        <v>3</v>
      </c>
      <c r="S147" s="188">
        <v>68</v>
      </c>
      <c r="T147" s="189">
        <v>112</v>
      </c>
      <c r="U147" s="190">
        <v>0</v>
      </c>
      <c r="V147" s="190">
        <v>1</v>
      </c>
      <c r="W147" s="190">
        <v>0</v>
      </c>
      <c r="X147" s="191">
        <v>111</v>
      </c>
      <c r="Y147" s="189">
        <v>415</v>
      </c>
      <c r="Z147" s="191">
        <v>123</v>
      </c>
      <c r="AA147" s="189">
        <v>334</v>
      </c>
      <c r="AB147" s="191">
        <v>114</v>
      </c>
      <c r="AC147" s="189">
        <v>328</v>
      </c>
      <c r="AD147" s="191">
        <v>111</v>
      </c>
      <c r="AE147" s="189">
        <v>29</v>
      </c>
      <c r="AF147" s="190">
        <v>20</v>
      </c>
      <c r="AG147" s="191">
        <v>25</v>
      </c>
      <c r="AH147" s="136">
        <v>-0.19518072289156627</v>
      </c>
      <c r="AI147" s="33">
        <v>-0.20963855421686747</v>
      </c>
      <c r="AJ147" s="33">
        <v>-1.7964071856287425E-2</v>
      </c>
      <c r="AK147" s="33">
        <v>-7.3170731707317069E-2</v>
      </c>
      <c r="AL147" s="33">
        <v>-9.7560975609756101E-2</v>
      </c>
      <c r="AM147" s="33">
        <v>-2.6315789473684209E-2</v>
      </c>
      <c r="AN147" s="34">
        <v>3.3814432989690721</v>
      </c>
      <c r="AO147" s="33">
        <v>1.1443298969072164</v>
      </c>
      <c r="AP147" s="33">
        <v>0.20618556701030927</v>
      </c>
      <c r="AQ147" s="33">
        <v>0.25773195876288657</v>
      </c>
      <c r="AR147" s="33">
        <v>0.03</v>
      </c>
      <c r="AS147" s="136">
        <v>0.7010309278350515</v>
      </c>
      <c r="AT147" s="35">
        <v>-0.45360824742268041</v>
      </c>
      <c r="AU147" s="30">
        <v>146</v>
      </c>
      <c r="AV147" s="30">
        <v>145</v>
      </c>
      <c r="AW147" s="31">
        <v>133</v>
      </c>
      <c r="AX147" s="136">
        <v>-6.8493150684931503E-3</v>
      </c>
      <c r="AY147" s="33">
        <v>-8.9041095890410954E-2</v>
      </c>
      <c r="AZ147" s="35">
        <v>-8.2758620689655171E-2</v>
      </c>
      <c r="BA147" s="29">
        <v>57</v>
      </c>
      <c r="BB147" s="31">
        <v>52</v>
      </c>
      <c r="BC147" s="29">
        <v>11</v>
      </c>
      <c r="BD147" s="31">
        <v>8</v>
      </c>
      <c r="BE147" s="29">
        <v>195</v>
      </c>
      <c r="BF147" s="30">
        <v>328</v>
      </c>
      <c r="BG147" s="33">
        <v>0.59451219512195119</v>
      </c>
      <c r="BH147" s="30">
        <v>75</v>
      </c>
      <c r="BI147" s="30">
        <v>133</v>
      </c>
      <c r="BJ147" s="35">
        <v>0.56390977443609025</v>
      </c>
    </row>
    <row r="148" spans="1:62" x14ac:dyDescent="0.25">
      <c r="A148" s="29"/>
      <c r="B148" s="30"/>
      <c r="C148" s="30"/>
      <c r="D148" s="30"/>
      <c r="E148" s="31" t="s">
        <v>97</v>
      </c>
      <c r="F148" s="188">
        <v>52</v>
      </c>
      <c r="G148" s="189">
        <v>50</v>
      </c>
      <c r="H148" s="190">
        <v>0</v>
      </c>
      <c r="I148" s="190">
        <v>50</v>
      </c>
      <c r="J148" s="191">
        <v>0</v>
      </c>
      <c r="K148" s="189">
        <v>0</v>
      </c>
      <c r="L148" s="190">
        <v>0</v>
      </c>
      <c r="M148" s="190">
        <v>1</v>
      </c>
      <c r="N148" s="190">
        <v>0</v>
      </c>
      <c r="O148" s="190">
        <v>0</v>
      </c>
      <c r="P148" s="190">
        <v>0</v>
      </c>
      <c r="Q148" s="190">
        <v>1</v>
      </c>
      <c r="R148" s="191">
        <v>0</v>
      </c>
      <c r="S148" s="188">
        <v>2</v>
      </c>
      <c r="T148" s="189">
        <v>12</v>
      </c>
      <c r="U148" s="190">
        <v>0</v>
      </c>
      <c r="V148" s="190">
        <v>1</v>
      </c>
      <c r="W148" s="190">
        <v>0</v>
      </c>
      <c r="X148" s="191">
        <v>11</v>
      </c>
      <c r="Y148" s="189">
        <v>68</v>
      </c>
      <c r="Z148" s="191">
        <v>31</v>
      </c>
      <c r="AA148" s="189">
        <v>54</v>
      </c>
      <c r="AB148" s="191">
        <v>26</v>
      </c>
      <c r="AC148" s="189">
        <v>68</v>
      </c>
      <c r="AD148" s="191">
        <v>37</v>
      </c>
      <c r="AE148" s="189">
        <v>14</v>
      </c>
      <c r="AF148" s="190">
        <v>0</v>
      </c>
      <c r="AG148" s="191">
        <v>5</v>
      </c>
      <c r="AH148" s="136">
        <v>-0.20588235294117646</v>
      </c>
      <c r="AI148" s="33">
        <v>0</v>
      </c>
      <c r="AJ148" s="33">
        <v>0.25925925925925924</v>
      </c>
      <c r="AK148" s="33">
        <v>-0.16129032258064516</v>
      </c>
      <c r="AL148" s="33">
        <v>0.19354838709677419</v>
      </c>
      <c r="AM148" s="33">
        <v>0.42307692307692307</v>
      </c>
      <c r="AN148" s="34">
        <v>1.36</v>
      </c>
      <c r="AO148" s="33">
        <v>0.74</v>
      </c>
      <c r="AP148" s="33">
        <v>0</v>
      </c>
      <c r="AQ148" s="33">
        <v>0.1</v>
      </c>
      <c r="AR148" s="33">
        <v>0</v>
      </c>
      <c r="AS148" s="136">
        <v>0.04</v>
      </c>
      <c r="AT148" s="35">
        <v>-0.2</v>
      </c>
      <c r="AU148" s="30">
        <v>49</v>
      </c>
      <c r="AV148" s="30">
        <v>40</v>
      </c>
      <c r="AW148" s="31">
        <v>43</v>
      </c>
      <c r="AX148" s="136">
        <v>-0.18367346938775511</v>
      </c>
      <c r="AY148" s="33">
        <v>-0.12244897959183673</v>
      </c>
      <c r="AZ148" s="35">
        <v>7.4999999999999997E-2</v>
      </c>
      <c r="BA148" s="29">
        <v>58</v>
      </c>
      <c r="BB148" s="31">
        <v>57</v>
      </c>
      <c r="BC148" s="29">
        <v>6</v>
      </c>
      <c r="BD148" s="31">
        <v>5</v>
      </c>
      <c r="BE148" s="29">
        <v>44</v>
      </c>
      <c r="BF148" s="30">
        <v>68</v>
      </c>
      <c r="BG148" s="33">
        <v>0.6470588235294118</v>
      </c>
      <c r="BH148" s="30">
        <v>28</v>
      </c>
      <c r="BI148" s="30">
        <v>43</v>
      </c>
      <c r="BJ148" s="35">
        <v>0.65116279069767447</v>
      </c>
    </row>
    <row r="149" spans="1:62" x14ac:dyDescent="0.25">
      <c r="A149" s="15"/>
      <c r="B149" s="16"/>
      <c r="C149" s="16" t="s">
        <v>129</v>
      </c>
      <c r="D149" s="16"/>
      <c r="E149" s="17"/>
      <c r="F149" s="180">
        <v>10021</v>
      </c>
      <c r="G149" s="181">
        <v>8569</v>
      </c>
      <c r="H149" s="182">
        <v>0</v>
      </c>
      <c r="I149" s="182">
        <v>8569</v>
      </c>
      <c r="J149" s="183">
        <v>0</v>
      </c>
      <c r="K149" s="181">
        <v>0</v>
      </c>
      <c r="L149" s="182">
        <v>161</v>
      </c>
      <c r="M149" s="182">
        <v>695</v>
      </c>
      <c r="N149" s="182">
        <v>37</v>
      </c>
      <c r="O149" s="182">
        <v>102</v>
      </c>
      <c r="P149" s="182">
        <v>0</v>
      </c>
      <c r="Q149" s="182">
        <v>52</v>
      </c>
      <c r="R149" s="183">
        <v>208</v>
      </c>
      <c r="S149" s="180">
        <v>986</v>
      </c>
      <c r="T149" s="181">
        <v>2172</v>
      </c>
      <c r="U149" s="182">
        <v>5</v>
      </c>
      <c r="V149" s="182">
        <v>42</v>
      </c>
      <c r="W149" s="182">
        <v>632</v>
      </c>
      <c r="X149" s="183">
        <v>1493</v>
      </c>
      <c r="Y149" s="181">
        <v>17320</v>
      </c>
      <c r="Z149" s="183">
        <v>5818</v>
      </c>
      <c r="AA149" s="181">
        <v>18234</v>
      </c>
      <c r="AB149" s="183">
        <v>5922</v>
      </c>
      <c r="AC149" s="181">
        <v>20134</v>
      </c>
      <c r="AD149" s="183">
        <v>6829</v>
      </c>
      <c r="AE149" s="181">
        <v>3001</v>
      </c>
      <c r="AF149" s="182">
        <v>648</v>
      </c>
      <c r="AG149" s="183">
        <v>1808</v>
      </c>
      <c r="AH149" s="133">
        <v>5.2771362586605079E-2</v>
      </c>
      <c r="AI149" s="19">
        <v>0.16247113163972288</v>
      </c>
      <c r="AJ149" s="19">
        <v>0.10420094329274981</v>
      </c>
      <c r="AK149" s="19">
        <v>1.7875558611206599E-2</v>
      </c>
      <c r="AL149" s="19">
        <v>0.17377105534547954</v>
      </c>
      <c r="AM149" s="19">
        <v>0.15315771698750422</v>
      </c>
      <c r="AN149" s="20">
        <v>2.3496323958454894</v>
      </c>
      <c r="AO149" s="19">
        <v>0.79694246703232585</v>
      </c>
      <c r="AP149" s="19">
        <v>7.5621426070720033E-2</v>
      </c>
      <c r="AQ149" s="19">
        <v>0.21099311471583615</v>
      </c>
      <c r="AR149" s="19">
        <v>2.3698302381223654E-2</v>
      </c>
      <c r="AS149" s="133">
        <v>0.11506593534834871</v>
      </c>
      <c r="AT149" s="21">
        <v>-0.13840588166647216</v>
      </c>
      <c r="AU149" s="16">
        <v>2015</v>
      </c>
      <c r="AV149" s="16">
        <v>2111</v>
      </c>
      <c r="AW149" s="17">
        <v>2240</v>
      </c>
      <c r="AX149" s="133">
        <v>4.7642679900744417E-2</v>
      </c>
      <c r="AY149" s="19">
        <v>0.11166253101736973</v>
      </c>
      <c r="AZ149" s="21">
        <v>6.1108479393652299E-2</v>
      </c>
      <c r="BA149" s="15">
        <v>57</v>
      </c>
      <c r="BB149" s="17">
        <v>42</v>
      </c>
      <c r="BC149" s="15">
        <v>7</v>
      </c>
      <c r="BD149" s="17">
        <v>4</v>
      </c>
      <c r="BE149" s="15">
        <v>11553</v>
      </c>
      <c r="BF149" s="16">
        <v>20134</v>
      </c>
      <c r="BG149" s="19">
        <v>0.57380550312903544</v>
      </c>
      <c r="BH149" s="16">
        <v>1308</v>
      </c>
      <c r="BI149" s="16">
        <v>2240</v>
      </c>
      <c r="BJ149" s="21">
        <v>0.58392857142857146</v>
      </c>
    </row>
    <row r="150" spans="1:62" x14ac:dyDescent="0.25">
      <c r="A150" s="22"/>
      <c r="B150" s="23"/>
      <c r="C150" s="23"/>
      <c r="D150" s="23" t="s">
        <v>188</v>
      </c>
      <c r="E150" s="24"/>
      <c r="F150" s="184">
        <v>1113</v>
      </c>
      <c r="G150" s="185">
        <v>1025</v>
      </c>
      <c r="H150" s="186">
        <v>0</v>
      </c>
      <c r="I150" s="186">
        <v>1025</v>
      </c>
      <c r="J150" s="187">
        <v>0</v>
      </c>
      <c r="K150" s="185">
        <v>0</v>
      </c>
      <c r="L150" s="186">
        <v>0</v>
      </c>
      <c r="M150" s="186">
        <v>16</v>
      </c>
      <c r="N150" s="186">
        <v>2</v>
      </c>
      <c r="O150" s="186">
        <v>12</v>
      </c>
      <c r="P150" s="186">
        <v>0</v>
      </c>
      <c r="Q150" s="186">
        <v>22</v>
      </c>
      <c r="R150" s="187">
        <v>31</v>
      </c>
      <c r="S150" s="184">
        <v>160</v>
      </c>
      <c r="T150" s="185">
        <v>131</v>
      </c>
      <c r="U150" s="186">
        <v>1</v>
      </c>
      <c r="V150" s="186">
        <v>20</v>
      </c>
      <c r="W150" s="186">
        <v>14</v>
      </c>
      <c r="X150" s="187">
        <v>96</v>
      </c>
      <c r="Y150" s="185">
        <v>1472</v>
      </c>
      <c r="Z150" s="187">
        <v>607</v>
      </c>
      <c r="AA150" s="185">
        <v>2120</v>
      </c>
      <c r="AB150" s="187">
        <v>740</v>
      </c>
      <c r="AC150" s="185">
        <v>2186</v>
      </c>
      <c r="AD150" s="187">
        <v>798</v>
      </c>
      <c r="AE150" s="185">
        <v>310</v>
      </c>
      <c r="AF150" s="186">
        <v>36</v>
      </c>
      <c r="AG150" s="187">
        <v>232</v>
      </c>
      <c r="AH150" s="135">
        <v>0.44021739130434784</v>
      </c>
      <c r="AI150" s="26">
        <v>0.48505434782608697</v>
      </c>
      <c r="AJ150" s="26">
        <v>3.1132075471698113E-2</v>
      </c>
      <c r="AK150" s="26">
        <v>0.21911037891268534</v>
      </c>
      <c r="AL150" s="26">
        <v>0.31466227347611203</v>
      </c>
      <c r="AM150" s="26">
        <v>7.8378378378378383E-2</v>
      </c>
      <c r="AN150" s="27">
        <v>2.1326829268292684</v>
      </c>
      <c r="AO150" s="26">
        <v>0.77853658536585368</v>
      </c>
      <c r="AP150" s="26">
        <v>3.5121951219512199E-2</v>
      </c>
      <c r="AQ150" s="26">
        <v>0.22634146341463415</v>
      </c>
      <c r="AR150" s="26">
        <v>2.9356060606060608E-2</v>
      </c>
      <c r="AS150" s="135">
        <v>0.15609756097560976</v>
      </c>
      <c r="AT150" s="28">
        <v>2.8292682926829269E-2</v>
      </c>
      <c r="AU150" s="23">
        <v>385</v>
      </c>
      <c r="AV150" s="23">
        <v>557</v>
      </c>
      <c r="AW150" s="24">
        <v>545</v>
      </c>
      <c r="AX150" s="135">
        <v>0.44675324675324674</v>
      </c>
      <c r="AY150" s="26">
        <v>0.41558441558441561</v>
      </c>
      <c r="AZ150" s="28">
        <v>-2.1543985637342909E-2</v>
      </c>
      <c r="BA150" s="22">
        <v>40</v>
      </c>
      <c r="BB150" s="24">
        <v>34</v>
      </c>
      <c r="BC150" s="22">
        <v>6</v>
      </c>
      <c r="BD150" s="24">
        <v>4</v>
      </c>
      <c r="BE150" s="22">
        <v>1127</v>
      </c>
      <c r="BF150" s="23">
        <v>2186</v>
      </c>
      <c r="BG150" s="26">
        <v>0.51555352241537056</v>
      </c>
      <c r="BH150" s="23">
        <v>323</v>
      </c>
      <c r="BI150" s="23">
        <v>545</v>
      </c>
      <c r="BJ150" s="28">
        <v>0.59266055045871557</v>
      </c>
    </row>
    <row r="151" spans="1:62" x14ac:dyDescent="0.25">
      <c r="A151" s="29"/>
      <c r="B151" s="30"/>
      <c r="C151" s="30"/>
      <c r="D151" s="30"/>
      <c r="E151" s="31" t="s">
        <v>68</v>
      </c>
      <c r="F151" s="188">
        <v>1099</v>
      </c>
      <c r="G151" s="189">
        <v>1016</v>
      </c>
      <c r="H151" s="190">
        <v>0</v>
      </c>
      <c r="I151" s="190">
        <v>1016</v>
      </c>
      <c r="J151" s="191">
        <v>0</v>
      </c>
      <c r="K151" s="189">
        <v>0</v>
      </c>
      <c r="L151" s="190">
        <v>0</v>
      </c>
      <c r="M151" s="190">
        <v>16</v>
      </c>
      <c r="N151" s="190">
        <v>2</v>
      </c>
      <c r="O151" s="190">
        <v>12</v>
      </c>
      <c r="P151" s="190">
        <v>0</v>
      </c>
      <c r="Q151" s="190">
        <v>21</v>
      </c>
      <c r="R151" s="191">
        <v>31</v>
      </c>
      <c r="S151" s="188">
        <v>154</v>
      </c>
      <c r="T151" s="189">
        <v>124</v>
      </c>
      <c r="U151" s="190">
        <v>1</v>
      </c>
      <c r="V151" s="190">
        <v>19</v>
      </c>
      <c r="W151" s="190">
        <v>14</v>
      </c>
      <c r="X151" s="191">
        <v>90</v>
      </c>
      <c r="Y151" s="189">
        <v>1470</v>
      </c>
      <c r="Z151" s="191">
        <v>605</v>
      </c>
      <c r="AA151" s="189">
        <v>2097</v>
      </c>
      <c r="AB151" s="191">
        <v>732</v>
      </c>
      <c r="AC151" s="189">
        <v>2162</v>
      </c>
      <c r="AD151" s="191">
        <v>788</v>
      </c>
      <c r="AE151" s="189">
        <v>306</v>
      </c>
      <c r="AF151" s="190">
        <v>33</v>
      </c>
      <c r="AG151" s="191">
        <v>230</v>
      </c>
      <c r="AH151" s="136">
        <v>0.42653061224489797</v>
      </c>
      <c r="AI151" s="33">
        <v>0.47074829931972789</v>
      </c>
      <c r="AJ151" s="33">
        <v>3.0996661897949453E-2</v>
      </c>
      <c r="AK151" s="33">
        <v>0.20991735537190082</v>
      </c>
      <c r="AL151" s="33">
        <v>0.30247933884297523</v>
      </c>
      <c r="AM151" s="33">
        <v>7.650273224043716E-2</v>
      </c>
      <c r="AN151" s="34">
        <v>2.127952755905512</v>
      </c>
      <c r="AO151" s="33">
        <v>0.77559055118110232</v>
      </c>
      <c r="AP151" s="33">
        <v>3.2480314960629919E-2</v>
      </c>
      <c r="AQ151" s="33">
        <v>0.2263779527559055</v>
      </c>
      <c r="AR151" s="33">
        <v>2.9608404966571154E-2</v>
      </c>
      <c r="AS151" s="136">
        <v>0.15157480314960631</v>
      </c>
      <c r="AT151" s="35">
        <v>2.952755905511811E-2</v>
      </c>
      <c r="AU151" s="30">
        <v>383</v>
      </c>
      <c r="AV151" s="30">
        <v>554</v>
      </c>
      <c r="AW151" s="31">
        <v>540</v>
      </c>
      <c r="AX151" s="136">
        <v>0.44647519582245432</v>
      </c>
      <c r="AY151" s="33">
        <v>0.40992167101827676</v>
      </c>
      <c r="AZ151" s="35">
        <v>-2.5270758122743681E-2</v>
      </c>
      <c r="BA151" s="29">
        <v>40</v>
      </c>
      <c r="BB151" s="31">
        <v>34</v>
      </c>
      <c r="BC151" s="29">
        <v>6</v>
      </c>
      <c r="BD151" s="31">
        <v>4</v>
      </c>
      <c r="BE151" s="29">
        <v>1116</v>
      </c>
      <c r="BF151" s="30">
        <v>2162</v>
      </c>
      <c r="BG151" s="33">
        <v>0.51618871415356149</v>
      </c>
      <c r="BH151" s="30">
        <v>319</v>
      </c>
      <c r="BI151" s="30">
        <v>540</v>
      </c>
      <c r="BJ151" s="35">
        <v>0.59074074074074079</v>
      </c>
    </row>
    <row r="152" spans="1:62" x14ac:dyDescent="0.25">
      <c r="A152" s="29"/>
      <c r="B152" s="30"/>
      <c r="C152" s="30"/>
      <c r="D152" s="30"/>
      <c r="E152" s="31" t="s">
        <v>148</v>
      </c>
      <c r="F152" s="188">
        <v>14</v>
      </c>
      <c r="G152" s="189">
        <v>9</v>
      </c>
      <c r="H152" s="190">
        <v>0</v>
      </c>
      <c r="I152" s="190">
        <v>9</v>
      </c>
      <c r="J152" s="191">
        <v>0</v>
      </c>
      <c r="K152" s="189">
        <v>0</v>
      </c>
      <c r="L152" s="190">
        <v>0</v>
      </c>
      <c r="M152" s="190">
        <v>0</v>
      </c>
      <c r="N152" s="190">
        <v>0</v>
      </c>
      <c r="O152" s="190">
        <v>0</v>
      </c>
      <c r="P152" s="190">
        <v>0</v>
      </c>
      <c r="Q152" s="190">
        <v>1</v>
      </c>
      <c r="R152" s="191">
        <v>0</v>
      </c>
      <c r="S152" s="188">
        <v>6</v>
      </c>
      <c r="T152" s="189">
        <v>7</v>
      </c>
      <c r="U152" s="190">
        <v>0</v>
      </c>
      <c r="V152" s="190">
        <v>1</v>
      </c>
      <c r="W152" s="190">
        <v>0</v>
      </c>
      <c r="X152" s="191">
        <v>6</v>
      </c>
      <c r="Y152" s="189">
        <v>2</v>
      </c>
      <c r="Z152" s="191">
        <v>2</v>
      </c>
      <c r="AA152" s="189">
        <v>23</v>
      </c>
      <c r="AB152" s="191">
        <v>8</v>
      </c>
      <c r="AC152" s="189">
        <v>24</v>
      </c>
      <c r="AD152" s="191">
        <v>10</v>
      </c>
      <c r="AE152" s="189">
        <v>4</v>
      </c>
      <c r="AF152" s="190">
        <v>3</v>
      </c>
      <c r="AG152" s="191">
        <v>2</v>
      </c>
      <c r="AH152" s="136">
        <v>10.5</v>
      </c>
      <c r="AI152" s="33">
        <v>11</v>
      </c>
      <c r="AJ152" s="33">
        <v>4.3478260869565216E-2</v>
      </c>
      <c r="AK152" s="33">
        <v>3</v>
      </c>
      <c r="AL152" s="33">
        <v>4</v>
      </c>
      <c r="AM152" s="33">
        <v>0.25</v>
      </c>
      <c r="AN152" s="34">
        <v>2.6666666666666665</v>
      </c>
      <c r="AO152" s="33">
        <v>1.1111111111111112</v>
      </c>
      <c r="AP152" s="33">
        <v>0.33333333333333331</v>
      </c>
      <c r="AQ152" s="33">
        <v>0.22222222222222221</v>
      </c>
      <c r="AR152" s="33">
        <v>0</v>
      </c>
      <c r="AS152" s="136">
        <v>0.66666666666666663</v>
      </c>
      <c r="AT152" s="35">
        <v>-0.1111111111111111</v>
      </c>
      <c r="AU152" s="30">
        <v>2</v>
      </c>
      <c r="AV152" s="30">
        <v>12</v>
      </c>
      <c r="AW152" s="31">
        <v>13</v>
      </c>
      <c r="AX152" s="136">
        <v>5</v>
      </c>
      <c r="AY152" s="33">
        <v>5.5</v>
      </c>
      <c r="AZ152" s="35">
        <v>8.3333333333333329E-2</v>
      </c>
      <c r="BA152" s="29">
        <v>44</v>
      </c>
      <c r="BB152" s="31">
        <v>39</v>
      </c>
      <c r="BC152" s="29">
        <v>3.5</v>
      </c>
      <c r="BD152" s="31">
        <v>5</v>
      </c>
      <c r="BE152" s="29">
        <v>11</v>
      </c>
      <c r="BF152" s="30">
        <v>24</v>
      </c>
      <c r="BG152" s="33">
        <v>0.45833333333333331</v>
      </c>
      <c r="BH152" s="30">
        <v>5</v>
      </c>
      <c r="BI152" s="30">
        <v>13</v>
      </c>
      <c r="BJ152" s="35">
        <v>0.38461538461538464</v>
      </c>
    </row>
    <row r="153" spans="1:62" x14ac:dyDescent="0.25">
      <c r="A153" s="22"/>
      <c r="B153" s="23"/>
      <c r="C153" s="23"/>
      <c r="D153" s="23" t="s">
        <v>189</v>
      </c>
      <c r="E153" s="24"/>
      <c r="F153" s="184">
        <v>223</v>
      </c>
      <c r="G153" s="185">
        <v>215</v>
      </c>
      <c r="H153" s="186">
        <v>0</v>
      </c>
      <c r="I153" s="186">
        <v>215</v>
      </c>
      <c r="J153" s="187">
        <v>0</v>
      </c>
      <c r="K153" s="185">
        <v>0</v>
      </c>
      <c r="L153" s="186">
        <v>0</v>
      </c>
      <c r="M153" s="186">
        <v>4</v>
      </c>
      <c r="N153" s="186">
        <v>1</v>
      </c>
      <c r="O153" s="186">
        <v>3</v>
      </c>
      <c r="P153" s="186">
        <v>0</v>
      </c>
      <c r="Q153" s="186">
        <v>0</v>
      </c>
      <c r="R153" s="187">
        <v>0</v>
      </c>
      <c r="S153" s="184">
        <v>8</v>
      </c>
      <c r="T153" s="185">
        <v>7</v>
      </c>
      <c r="U153" s="186">
        <v>0</v>
      </c>
      <c r="V153" s="186">
        <v>0</v>
      </c>
      <c r="W153" s="186">
        <v>4</v>
      </c>
      <c r="X153" s="187">
        <v>3</v>
      </c>
      <c r="Y153" s="185">
        <v>0</v>
      </c>
      <c r="Z153" s="187">
        <v>0</v>
      </c>
      <c r="AA153" s="185">
        <v>0</v>
      </c>
      <c r="AB153" s="187">
        <v>0</v>
      </c>
      <c r="AC153" s="185">
        <v>452</v>
      </c>
      <c r="AD153" s="187">
        <v>192</v>
      </c>
      <c r="AE153" s="185">
        <v>18</v>
      </c>
      <c r="AF153" s="186">
        <v>2</v>
      </c>
      <c r="AG153" s="187">
        <v>72</v>
      </c>
      <c r="AH153" s="135"/>
      <c r="AI153" s="26"/>
      <c r="AJ153" s="26"/>
      <c r="AK153" s="26"/>
      <c r="AL153" s="26"/>
      <c r="AM153" s="26"/>
      <c r="AN153" s="27">
        <v>2.1023255813953488</v>
      </c>
      <c r="AO153" s="26">
        <v>0.89302325581395348</v>
      </c>
      <c r="AP153" s="26">
        <v>9.3023255813953487E-3</v>
      </c>
      <c r="AQ153" s="26">
        <v>0.33488372093023255</v>
      </c>
      <c r="AR153" s="26">
        <v>0</v>
      </c>
      <c r="AS153" s="135">
        <v>3.7209302325581395E-2</v>
      </c>
      <c r="AT153" s="28">
        <v>4.6511627906976744E-3</v>
      </c>
      <c r="AU153" s="23">
        <v>0</v>
      </c>
      <c r="AV153" s="23">
        <v>0</v>
      </c>
      <c r="AW153" s="24">
        <v>107</v>
      </c>
      <c r="AX153" s="135"/>
      <c r="AY153" s="26"/>
      <c r="AZ153" s="28"/>
      <c r="BA153" s="22">
        <v>67</v>
      </c>
      <c r="BB153" s="24">
        <v>66</v>
      </c>
      <c r="BC153" s="22">
        <v>7</v>
      </c>
      <c r="BD153" s="24">
        <v>8</v>
      </c>
      <c r="BE153" s="22">
        <v>298</v>
      </c>
      <c r="BF153" s="23">
        <v>452</v>
      </c>
      <c r="BG153" s="26">
        <v>0.65929203539823011</v>
      </c>
      <c r="BH153" s="23">
        <v>60</v>
      </c>
      <c r="BI153" s="23">
        <v>107</v>
      </c>
      <c r="BJ153" s="28">
        <v>0.56074766355140182</v>
      </c>
    </row>
    <row r="154" spans="1:62" x14ac:dyDescent="0.25">
      <c r="A154" s="29"/>
      <c r="B154" s="30"/>
      <c r="C154" s="30"/>
      <c r="D154" s="30"/>
      <c r="E154" s="31" t="s">
        <v>68</v>
      </c>
      <c r="F154" s="188">
        <v>223</v>
      </c>
      <c r="G154" s="189">
        <v>215</v>
      </c>
      <c r="H154" s="190">
        <v>0</v>
      </c>
      <c r="I154" s="190">
        <v>215</v>
      </c>
      <c r="J154" s="191">
        <v>0</v>
      </c>
      <c r="K154" s="189">
        <v>0</v>
      </c>
      <c r="L154" s="190">
        <v>0</v>
      </c>
      <c r="M154" s="190">
        <v>4</v>
      </c>
      <c r="N154" s="190">
        <v>1</v>
      </c>
      <c r="O154" s="190">
        <v>3</v>
      </c>
      <c r="P154" s="190">
        <v>0</v>
      </c>
      <c r="Q154" s="190">
        <v>0</v>
      </c>
      <c r="R154" s="191">
        <v>0</v>
      </c>
      <c r="S154" s="188">
        <v>8</v>
      </c>
      <c r="T154" s="189">
        <v>7</v>
      </c>
      <c r="U154" s="190">
        <v>0</v>
      </c>
      <c r="V154" s="190">
        <v>0</v>
      </c>
      <c r="W154" s="190">
        <v>4</v>
      </c>
      <c r="X154" s="191">
        <v>3</v>
      </c>
      <c r="Y154" s="189">
        <v>0</v>
      </c>
      <c r="Z154" s="191">
        <v>0</v>
      </c>
      <c r="AA154" s="189">
        <v>0</v>
      </c>
      <c r="AB154" s="191">
        <v>0</v>
      </c>
      <c r="AC154" s="189">
        <v>452</v>
      </c>
      <c r="AD154" s="191">
        <v>192</v>
      </c>
      <c r="AE154" s="189">
        <v>18</v>
      </c>
      <c r="AF154" s="190">
        <v>2</v>
      </c>
      <c r="AG154" s="191">
        <v>72</v>
      </c>
      <c r="AH154" s="136"/>
      <c r="AI154" s="33"/>
      <c r="AJ154" s="33"/>
      <c r="AK154" s="33"/>
      <c r="AL154" s="33"/>
      <c r="AM154" s="33"/>
      <c r="AN154" s="34">
        <v>2.1023255813953488</v>
      </c>
      <c r="AO154" s="33">
        <v>0.89302325581395348</v>
      </c>
      <c r="AP154" s="33">
        <v>9.3023255813953487E-3</v>
      </c>
      <c r="AQ154" s="33">
        <v>0.33488372093023255</v>
      </c>
      <c r="AR154" s="33">
        <v>0</v>
      </c>
      <c r="AS154" s="136">
        <v>3.7209302325581395E-2</v>
      </c>
      <c r="AT154" s="35">
        <v>4.6511627906976744E-3</v>
      </c>
      <c r="AU154" s="30">
        <v>0</v>
      </c>
      <c r="AV154" s="30">
        <v>0</v>
      </c>
      <c r="AW154" s="31">
        <v>107</v>
      </c>
      <c r="AX154" s="136"/>
      <c r="AY154" s="33"/>
      <c r="AZ154" s="35"/>
      <c r="BA154" s="29">
        <v>67</v>
      </c>
      <c r="BB154" s="31">
        <v>66</v>
      </c>
      <c r="BC154" s="29">
        <v>7</v>
      </c>
      <c r="BD154" s="31">
        <v>8</v>
      </c>
      <c r="BE154" s="29">
        <v>298</v>
      </c>
      <c r="BF154" s="30">
        <v>452</v>
      </c>
      <c r="BG154" s="33">
        <v>0.65929203539823011</v>
      </c>
      <c r="BH154" s="30">
        <v>60</v>
      </c>
      <c r="BI154" s="30">
        <v>107</v>
      </c>
      <c r="BJ154" s="35">
        <v>0.56074766355140182</v>
      </c>
    </row>
    <row r="155" spans="1:62" x14ac:dyDescent="0.25">
      <c r="A155" s="22"/>
      <c r="B155" s="23"/>
      <c r="C155" s="23"/>
      <c r="D155" s="23" t="s">
        <v>190</v>
      </c>
      <c r="E155" s="24"/>
      <c r="F155" s="184">
        <v>635</v>
      </c>
      <c r="G155" s="185">
        <v>596</v>
      </c>
      <c r="H155" s="186">
        <v>0</v>
      </c>
      <c r="I155" s="186">
        <v>596</v>
      </c>
      <c r="J155" s="187">
        <v>0</v>
      </c>
      <c r="K155" s="185">
        <v>0</v>
      </c>
      <c r="L155" s="186">
        <v>1</v>
      </c>
      <c r="M155" s="186">
        <v>14</v>
      </c>
      <c r="N155" s="186">
        <v>23</v>
      </c>
      <c r="O155" s="186">
        <v>0</v>
      </c>
      <c r="P155" s="186">
        <v>0</v>
      </c>
      <c r="Q155" s="186">
        <v>0</v>
      </c>
      <c r="R155" s="187">
        <v>1</v>
      </c>
      <c r="S155" s="184">
        <v>39</v>
      </c>
      <c r="T155" s="185">
        <v>13</v>
      </c>
      <c r="U155" s="186">
        <v>0</v>
      </c>
      <c r="V155" s="186">
        <v>0</v>
      </c>
      <c r="W155" s="186">
        <v>13</v>
      </c>
      <c r="X155" s="187">
        <v>0</v>
      </c>
      <c r="Y155" s="185">
        <v>0</v>
      </c>
      <c r="Z155" s="187">
        <v>0</v>
      </c>
      <c r="AA155" s="185">
        <v>0</v>
      </c>
      <c r="AB155" s="187">
        <v>0</v>
      </c>
      <c r="AC155" s="185">
        <v>675</v>
      </c>
      <c r="AD155" s="187">
        <v>344</v>
      </c>
      <c r="AE155" s="185">
        <v>170</v>
      </c>
      <c r="AF155" s="186">
        <v>28</v>
      </c>
      <c r="AG155" s="187">
        <v>125</v>
      </c>
      <c r="AH155" s="135"/>
      <c r="AI155" s="26"/>
      <c r="AJ155" s="26"/>
      <c r="AK155" s="26"/>
      <c r="AL155" s="26"/>
      <c r="AM155" s="26"/>
      <c r="AN155" s="27">
        <v>1.1325503355704698</v>
      </c>
      <c r="AO155" s="26">
        <v>0.57718120805369133</v>
      </c>
      <c r="AP155" s="26">
        <v>4.6979865771812082E-2</v>
      </c>
      <c r="AQ155" s="26">
        <v>0.20973154362416108</v>
      </c>
      <c r="AR155" s="26">
        <v>1.6750418760469012E-3</v>
      </c>
      <c r="AS155" s="135">
        <v>6.5436241610738258E-2</v>
      </c>
      <c r="AT155" s="28">
        <v>4.3624161073825503E-2</v>
      </c>
      <c r="AU155" s="23">
        <v>0</v>
      </c>
      <c r="AV155" s="23">
        <v>0</v>
      </c>
      <c r="AW155" s="24">
        <v>277</v>
      </c>
      <c r="AX155" s="135"/>
      <c r="AY155" s="26"/>
      <c r="AZ155" s="28"/>
      <c r="BA155" s="22">
        <v>63</v>
      </c>
      <c r="BB155" s="24">
        <v>59</v>
      </c>
      <c r="BC155" s="22">
        <v>7</v>
      </c>
      <c r="BD155" s="24">
        <v>7</v>
      </c>
      <c r="BE155" s="22">
        <v>344</v>
      </c>
      <c r="BF155" s="23">
        <v>675</v>
      </c>
      <c r="BG155" s="26">
        <v>0.50962962962962965</v>
      </c>
      <c r="BH155" s="23">
        <v>146</v>
      </c>
      <c r="BI155" s="23">
        <v>277</v>
      </c>
      <c r="BJ155" s="28">
        <v>0.52707581227436828</v>
      </c>
    </row>
    <row r="156" spans="1:62" x14ac:dyDescent="0.25">
      <c r="A156" s="29"/>
      <c r="B156" s="30"/>
      <c r="C156" s="30"/>
      <c r="D156" s="30"/>
      <c r="E156" s="31" t="s">
        <v>68</v>
      </c>
      <c r="F156" s="188">
        <v>635</v>
      </c>
      <c r="G156" s="189">
        <v>596</v>
      </c>
      <c r="H156" s="190">
        <v>0</v>
      </c>
      <c r="I156" s="190">
        <v>596</v>
      </c>
      <c r="J156" s="191">
        <v>0</v>
      </c>
      <c r="K156" s="189">
        <v>0</v>
      </c>
      <c r="L156" s="190">
        <v>1</v>
      </c>
      <c r="M156" s="190">
        <v>14</v>
      </c>
      <c r="N156" s="190">
        <v>23</v>
      </c>
      <c r="O156" s="190">
        <v>0</v>
      </c>
      <c r="P156" s="190">
        <v>0</v>
      </c>
      <c r="Q156" s="190">
        <v>0</v>
      </c>
      <c r="R156" s="191">
        <v>1</v>
      </c>
      <c r="S156" s="188">
        <v>39</v>
      </c>
      <c r="T156" s="189">
        <v>13</v>
      </c>
      <c r="U156" s="190">
        <v>0</v>
      </c>
      <c r="V156" s="190">
        <v>0</v>
      </c>
      <c r="W156" s="190">
        <v>13</v>
      </c>
      <c r="X156" s="191">
        <v>0</v>
      </c>
      <c r="Y156" s="189">
        <v>0</v>
      </c>
      <c r="Z156" s="191">
        <v>0</v>
      </c>
      <c r="AA156" s="189">
        <v>0</v>
      </c>
      <c r="AB156" s="191">
        <v>0</v>
      </c>
      <c r="AC156" s="189">
        <v>675</v>
      </c>
      <c r="AD156" s="191">
        <v>344</v>
      </c>
      <c r="AE156" s="189">
        <v>170</v>
      </c>
      <c r="AF156" s="190">
        <v>28</v>
      </c>
      <c r="AG156" s="191">
        <v>125</v>
      </c>
      <c r="AH156" s="136"/>
      <c r="AI156" s="33"/>
      <c r="AJ156" s="33"/>
      <c r="AK156" s="33"/>
      <c r="AL156" s="33"/>
      <c r="AM156" s="33"/>
      <c r="AN156" s="34">
        <v>1.1325503355704698</v>
      </c>
      <c r="AO156" s="33">
        <v>0.57718120805369133</v>
      </c>
      <c r="AP156" s="33">
        <v>4.6979865771812082E-2</v>
      </c>
      <c r="AQ156" s="33">
        <v>0.20973154362416108</v>
      </c>
      <c r="AR156" s="33">
        <v>1.6750418760469012E-3</v>
      </c>
      <c r="AS156" s="136">
        <v>6.5436241610738258E-2</v>
      </c>
      <c r="AT156" s="35">
        <v>4.3624161073825503E-2</v>
      </c>
      <c r="AU156" s="30">
        <v>0</v>
      </c>
      <c r="AV156" s="30">
        <v>0</v>
      </c>
      <c r="AW156" s="31">
        <v>277</v>
      </c>
      <c r="AX156" s="136"/>
      <c r="AY156" s="33"/>
      <c r="AZ156" s="35"/>
      <c r="BA156" s="29">
        <v>63</v>
      </c>
      <c r="BB156" s="31">
        <v>59</v>
      </c>
      <c r="BC156" s="29">
        <v>7</v>
      </c>
      <c r="BD156" s="31">
        <v>7</v>
      </c>
      <c r="BE156" s="29">
        <v>344</v>
      </c>
      <c r="BF156" s="30">
        <v>675</v>
      </c>
      <c r="BG156" s="33">
        <v>0.50962962962962965</v>
      </c>
      <c r="BH156" s="30">
        <v>146</v>
      </c>
      <c r="BI156" s="30">
        <v>277</v>
      </c>
      <c r="BJ156" s="35">
        <v>0.52707581227436828</v>
      </c>
    </row>
    <row r="157" spans="1:62" x14ac:dyDescent="0.25">
      <c r="A157" s="22"/>
      <c r="B157" s="23"/>
      <c r="C157" s="23"/>
      <c r="D157" s="23" t="s">
        <v>130</v>
      </c>
      <c r="E157" s="24"/>
      <c r="F157" s="184">
        <v>5807</v>
      </c>
      <c r="G157" s="185">
        <v>5020</v>
      </c>
      <c r="H157" s="186">
        <v>0</v>
      </c>
      <c r="I157" s="186">
        <v>5020</v>
      </c>
      <c r="J157" s="187">
        <v>0</v>
      </c>
      <c r="K157" s="185">
        <v>0</v>
      </c>
      <c r="L157" s="186">
        <v>8</v>
      </c>
      <c r="M157" s="186">
        <v>639</v>
      </c>
      <c r="N157" s="186">
        <v>8</v>
      </c>
      <c r="O157" s="186">
        <v>5</v>
      </c>
      <c r="P157" s="186">
        <v>0</v>
      </c>
      <c r="Q157" s="186">
        <v>21</v>
      </c>
      <c r="R157" s="187">
        <v>102</v>
      </c>
      <c r="S157" s="184">
        <v>361</v>
      </c>
      <c r="T157" s="185">
        <v>1362</v>
      </c>
      <c r="U157" s="186">
        <v>4</v>
      </c>
      <c r="V157" s="186">
        <v>18</v>
      </c>
      <c r="W157" s="186">
        <v>585</v>
      </c>
      <c r="X157" s="187">
        <v>755</v>
      </c>
      <c r="Y157" s="185">
        <v>12653</v>
      </c>
      <c r="Z157" s="187">
        <v>3751</v>
      </c>
      <c r="AA157" s="185">
        <v>13034</v>
      </c>
      <c r="AB157" s="187">
        <v>3846</v>
      </c>
      <c r="AC157" s="185">
        <v>13128</v>
      </c>
      <c r="AD157" s="187">
        <v>3914</v>
      </c>
      <c r="AE157" s="185">
        <v>1821</v>
      </c>
      <c r="AF157" s="186">
        <v>271</v>
      </c>
      <c r="AG157" s="187">
        <v>994</v>
      </c>
      <c r="AH157" s="135">
        <v>3.0111436023077531E-2</v>
      </c>
      <c r="AI157" s="26">
        <v>3.7540504228246264E-2</v>
      </c>
      <c r="AJ157" s="26">
        <v>7.2119073193187052E-3</v>
      </c>
      <c r="AK157" s="26">
        <v>2.5326579578778992E-2</v>
      </c>
      <c r="AL157" s="26">
        <v>4.3455078645694478E-2</v>
      </c>
      <c r="AM157" s="26">
        <v>1.7680707228289131E-2</v>
      </c>
      <c r="AN157" s="27">
        <v>2.6151394422310759</v>
      </c>
      <c r="AO157" s="26">
        <v>0.7796812749003984</v>
      </c>
      <c r="AP157" s="26">
        <v>5.398406374501992E-2</v>
      </c>
      <c r="AQ157" s="26">
        <v>0.19800796812749005</v>
      </c>
      <c r="AR157" s="26">
        <v>1.9914096056228035E-2</v>
      </c>
      <c r="AS157" s="135">
        <v>7.1912350597609559E-2</v>
      </c>
      <c r="AT157" s="28">
        <v>-0.19940239043824701</v>
      </c>
      <c r="AU157" s="23">
        <v>1455</v>
      </c>
      <c r="AV157" s="23">
        <v>1580</v>
      </c>
      <c r="AW157" s="24">
        <v>1517</v>
      </c>
      <c r="AX157" s="135">
        <v>8.5910652920962199E-2</v>
      </c>
      <c r="AY157" s="26">
        <v>4.2611683848797252E-2</v>
      </c>
      <c r="AZ157" s="28">
        <v>-3.9873417721518985E-2</v>
      </c>
      <c r="BA157" s="22">
        <v>60</v>
      </c>
      <c r="BB157" s="24">
        <v>48</v>
      </c>
      <c r="BC157" s="22">
        <v>7</v>
      </c>
      <c r="BD157" s="24">
        <v>5</v>
      </c>
      <c r="BE157" s="22">
        <v>7135</v>
      </c>
      <c r="BF157" s="23">
        <v>13128</v>
      </c>
      <c r="BG157" s="26">
        <v>0.54349482023156614</v>
      </c>
      <c r="BH157" s="23">
        <v>845</v>
      </c>
      <c r="BI157" s="23">
        <v>1517</v>
      </c>
      <c r="BJ157" s="28">
        <v>0.5570204350692155</v>
      </c>
    </row>
    <row r="158" spans="1:62" x14ac:dyDescent="0.25">
      <c r="A158" s="29"/>
      <c r="B158" s="30"/>
      <c r="C158" s="30"/>
      <c r="D158" s="30"/>
      <c r="E158" s="31" t="s">
        <v>68</v>
      </c>
      <c r="F158" s="188">
        <v>5799</v>
      </c>
      <c r="G158" s="189">
        <v>5012</v>
      </c>
      <c r="H158" s="190">
        <v>0</v>
      </c>
      <c r="I158" s="190">
        <v>5012</v>
      </c>
      <c r="J158" s="191">
        <v>0</v>
      </c>
      <c r="K158" s="189">
        <v>0</v>
      </c>
      <c r="L158" s="190">
        <v>8</v>
      </c>
      <c r="M158" s="190">
        <v>639</v>
      </c>
      <c r="N158" s="190">
        <v>8</v>
      </c>
      <c r="O158" s="190">
        <v>5</v>
      </c>
      <c r="P158" s="190">
        <v>0</v>
      </c>
      <c r="Q158" s="190">
        <v>21</v>
      </c>
      <c r="R158" s="191">
        <v>102</v>
      </c>
      <c r="S158" s="188">
        <v>353</v>
      </c>
      <c r="T158" s="189">
        <v>1362</v>
      </c>
      <c r="U158" s="190">
        <v>4</v>
      </c>
      <c r="V158" s="190">
        <v>18</v>
      </c>
      <c r="W158" s="190">
        <v>585</v>
      </c>
      <c r="X158" s="191">
        <v>755</v>
      </c>
      <c r="Y158" s="189">
        <v>12653</v>
      </c>
      <c r="Z158" s="191">
        <v>3751</v>
      </c>
      <c r="AA158" s="189">
        <v>13034</v>
      </c>
      <c r="AB158" s="191">
        <v>3846</v>
      </c>
      <c r="AC158" s="189">
        <v>13107</v>
      </c>
      <c r="AD158" s="191">
        <v>3906</v>
      </c>
      <c r="AE158" s="189">
        <v>1821</v>
      </c>
      <c r="AF158" s="190">
        <v>271</v>
      </c>
      <c r="AG158" s="191">
        <v>991</v>
      </c>
      <c r="AH158" s="136">
        <v>3.0111436023077531E-2</v>
      </c>
      <c r="AI158" s="33">
        <v>3.5880818778155375E-2</v>
      </c>
      <c r="AJ158" s="33">
        <v>5.60073653521559E-3</v>
      </c>
      <c r="AK158" s="33">
        <v>2.5326579578778992E-2</v>
      </c>
      <c r="AL158" s="33">
        <v>4.1322314049586778E-2</v>
      </c>
      <c r="AM158" s="33">
        <v>1.5600624024960999E-2</v>
      </c>
      <c r="AN158" s="34">
        <v>2.6151237031125301</v>
      </c>
      <c r="AO158" s="33">
        <v>0.77932960893854752</v>
      </c>
      <c r="AP158" s="33">
        <v>5.4070231444533122E-2</v>
      </c>
      <c r="AQ158" s="33">
        <v>0.19772545889864326</v>
      </c>
      <c r="AR158" s="33">
        <v>1.994524833789597E-2</v>
      </c>
      <c r="AS158" s="136">
        <v>7.0430965682362331E-2</v>
      </c>
      <c r="AT158" s="35">
        <v>-0.20131683958499602</v>
      </c>
      <c r="AU158" s="30">
        <v>1455</v>
      </c>
      <c r="AV158" s="30">
        <v>1580</v>
      </c>
      <c r="AW158" s="31">
        <v>1516</v>
      </c>
      <c r="AX158" s="136">
        <v>8.5910652920962199E-2</v>
      </c>
      <c r="AY158" s="33">
        <v>4.192439862542955E-2</v>
      </c>
      <c r="AZ158" s="35">
        <v>-4.0506329113924051E-2</v>
      </c>
      <c r="BA158" s="29">
        <v>60</v>
      </c>
      <c r="BB158" s="31">
        <v>48</v>
      </c>
      <c r="BC158" s="29">
        <v>7</v>
      </c>
      <c r="BD158" s="31">
        <v>5</v>
      </c>
      <c r="BE158" s="29">
        <v>7119</v>
      </c>
      <c r="BF158" s="30">
        <v>13107</v>
      </c>
      <c r="BG158" s="33">
        <v>0.54314488441290909</v>
      </c>
      <c r="BH158" s="30">
        <v>845</v>
      </c>
      <c r="BI158" s="30">
        <v>1516</v>
      </c>
      <c r="BJ158" s="35">
        <v>0.55738786279683372</v>
      </c>
    </row>
    <row r="159" spans="1:62" x14ac:dyDescent="0.25">
      <c r="A159" s="22"/>
      <c r="B159" s="23"/>
      <c r="C159" s="23"/>
      <c r="D159" s="23" t="s">
        <v>131</v>
      </c>
      <c r="E159" s="24"/>
      <c r="F159" s="184">
        <v>1168</v>
      </c>
      <c r="G159" s="185">
        <v>884</v>
      </c>
      <c r="H159" s="186">
        <v>0</v>
      </c>
      <c r="I159" s="186">
        <v>884</v>
      </c>
      <c r="J159" s="187">
        <v>0</v>
      </c>
      <c r="K159" s="185">
        <v>0</v>
      </c>
      <c r="L159" s="186">
        <v>152</v>
      </c>
      <c r="M159" s="186">
        <v>10</v>
      </c>
      <c r="N159" s="186">
        <v>2</v>
      </c>
      <c r="O159" s="186">
        <v>77</v>
      </c>
      <c r="P159" s="186">
        <v>0</v>
      </c>
      <c r="Q159" s="186">
        <v>0</v>
      </c>
      <c r="R159" s="187">
        <v>41</v>
      </c>
      <c r="S159" s="184">
        <v>381</v>
      </c>
      <c r="T159" s="185">
        <v>458</v>
      </c>
      <c r="U159" s="186">
        <v>0</v>
      </c>
      <c r="V159" s="186">
        <v>0</v>
      </c>
      <c r="W159" s="186">
        <v>9</v>
      </c>
      <c r="X159" s="187">
        <v>449</v>
      </c>
      <c r="Y159" s="185">
        <v>2108</v>
      </c>
      <c r="Z159" s="187">
        <v>937</v>
      </c>
      <c r="AA159" s="185">
        <v>1937</v>
      </c>
      <c r="AB159" s="187">
        <v>829</v>
      </c>
      <c r="AC159" s="185">
        <v>2288</v>
      </c>
      <c r="AD159" s="187">
        <v>1030</v>
      </c>
      <c r="AE159" s="185">
        <v>157</v>
      </c>
      <c r="AF159" s="186">
        <v>64</v>
      </c>
      <c r="AG159" s="187">
        <v>245</v>
      </c>
      <c r="AH159" s="135">
        <v>-8.1119544592030357E-2</v>
      </c>
      <c r="AI159" s="26">
        <v>8.5388994307400379E-2</v>
      </c>
      <c r="AJ159" s="26">
        <v>0.18120805369127516</v>
      </c>
      <c r="AK159" s="26">
        <v>-0.1152614727854856</v>
      </c>
      <c r="AL159" s="26">
        <v>9.9252934898612588E-2</v>
      </c>
      <c r="AM159" s="26">
        <v>0.24246079613992763</v>
      </c>
      <c r="AN159" s="27">
        <v>2.5882352941176472</v>
      </c>
      <c r="AO159" s="26">
        <v>1.1651583710407241</v>
      </c>
      <c r="AP159" s="26">
        <v>7.2398190045248875E-2</v>
      </c>
      <c r="AQ159" s="26">
        <v>0.27714932126696834</v>
      </c>
      <c r="AR159" s="26">
        <v>4.4324324324324323E-2</v>
      </c>
      <c r="AS159" s="135">
        <v>0.4309954751131222</v>
      </c>
      <c r="AT159" s="28">
        <v>-8.7104072398190041E-2</v>
      </c>
      <c r="AU159" s="23">
        <v>362</v>
      </c>
      <c r="AV159" s="23">
        <v>184</v>
      </c>
      <c r="AW159" s="24">
        <v>323</v>
      </c>
      <c r="AX159" s="135">
        <v>-0.49171270718232046</v>
      </c>
      <c r="AY159" s="26">
        <v>-0.10773480662983426</v>
      </c>
      <c r="AZ159" s="28">
        <v>0.75543478260869568</v>
      </c>
      <c r="BA159" s="22">
        <v>47</v>
      </c>
      <c r="BB159" s="24">
        <v>44</v>
      </c>
      <c r="BC159" s="22">
        <v>6</v>
      </c>
      <c r="BD159" s="24">
        <v>4</v>
      </c>
      <c r="BE159" s="22">
        <v>1822</v>
      </c>
      <c r="BF159" s="23">
        <v>2288</v>
      </c>
      <c r="BG159" s="26">
        <v>0.79632867132867136</v>
      </c>
      <c r="BH159" s="23">
        <v>233</v>
      </c>
      <c r="BI159" s="23">
        <v>323</v>
      </c>
      <c r="BJ159" s="28">
        <v>0.72136222910216719</v>
      </c>
    </row>
    <row r="160" spans="1:62" x14ac:dyDescent="0.25">
      <c r="A160" s="29"/>
      <c r="B160" s="30"/>
      <c r="C160" s="30"/>
      <c r="D160" s="30"/>
      <c r="E160" s="31" t="s">
        <v>68</v>
      </c>
      <c r="F160" s="188">
        <v>1081</v>
      </c>
      <c r="G160" s="189">
        <v>808</v>
      </c>
      <c r="H160" s="190">
        <v>0</v>
      </c>
      <c r="I160" s="190">
        <v>808</v>
      </c>
      <c r="J160" s="191">
        <v>0</v>
      </c>
      <c r="K160" s="189">
        <v>0</v>
      </c>
      <c r="L160" s="190">
        <v>141</v>
      </c>
      <c r="M160" s="190">
        <v>10</v>
      </c>
      <c r="N160" s="190">
        <v>2</v>
      </c>
      <c r="O160" s="190">
        <v>77</v>
      </c>
      <c r="P160" s="190">
        <v>0</v>
      </c>
      <c r="Q160" s="190">
        <v>0</v>
      </c>
      <c r="R160" s="191">
        <v>41</v>
      </c>
      <c r="S160" s="188">
        <v>294</v>
      </c>
      <c r="T160" s="189">
        <v>458</v>
      </c>
      <c r="U160" s="190">
        <v>0</v>
      </c>
      <c r="V160" s="190">
        <v>0</v>
      </c>
      <c r="W160" s="190">
        <v>9</v>
      </c>
      <c r="X160" s="191">
        <v>449</v>
      </c>
      <c r="Y160" s="189">
        <v>2108</v>
      </c>
      <c r="Z160" s="191">
        <v>937</v>
      </c>
      <c r="AA160" s="189">
        <v>1937</v>
      </c>
      <c r="AB160" s="191">
        <v>829</v>
      </c>
      <c r="AC160" s="189">
        <v>2215</v>
      </c>
      <c r="AD160" s="191">
        <v>970</v>
      </c>
      <c r="AE160" s="189">
        <v>149</v>
      </c>
      <c r="AF160" s="190">
        <v>56</v>
      </c>
      <c r="AG160" s="191">
        <v>239</v>
      </c>
      <c r="AH160" s="136">
        <v>-8.1119544592030357E-2</v>
      </c>
      <c r="AI160" s="33">
        <v>5.0759013282732447E-2</v>
      </c>
      <c r="AJ160" s="33">
        <v>0.14352090862157976</v>
      </c>
      <c r="AK160" s="33">
        <v>-0.1152614727854856</v>
      </c>
      <c r="AL160" s="33">
        <v>3.5218783351120594E-2</v>
      </c>
      <c r="AM160" s="33">
        <v>0.17008443908323281</v>
      </c>
      <c r="AN160" s="34">
        <v>2.7413366336633662</v>
      </c>
      <c r="AO160" s="33">
        <v>1.2004950495049505</v>
      </c>
      <c r="AP160" s="33">
        <v>6.9306930693069313E-2</v>
      </c>
      <c r="AQ160" s="33">
        <v>0.29579207920792078</v>
      </c>
      <c r="AR160" s="33">
        <v>4.8292108362779744E-2</v>
      </c>
      <c r="AS160" s="136">
        <v>0.36386138613861385</v>
      </c>
      <c r="AT160" s="35">
        <v>-0.20297029702970298</v>
      </c>
      <c r="AU160" s="30">
        <v>303</v>
      </c>
      <c r="AV160" s="30">
        <v>184</v>
      </c>
      <c r="AW160" s="31">
        <v>321</v>
      </c>
      <c r="AX160" s="136">
        <v>-0.39273927392739272</v>
      </c>
      <c r="AY160" s="33">
        <v>5.9405940594059403E-2</v>
      </c>
      <c r="AZ160" s="35">
        <v>0.74456521739130432</v>
      </c>
      <c r="BA160" s="29">
        <v>47</v>
      </c>
      <c r="BB160" s="31">
        <v>44</v>
      </c>
      <c r="BC160" s="29">
        <v>6</v>
      </c>
      <c r="BD160" s="31">
        <v>4</v>
      </c>
      <c r="BE160" s="29">
        <v>1751</v>
      </c>
      <c r="BF160" s="30">
        <v>2215</v>
      </c>
      <c r="BG160" s="33">
        <v>0.79051918735891646</v>
      </c>
      <c r="BH160" s="30">
        <v>231</v>
      </c>
      <c r="BI160" s="30">
        <v>321</v>
      </c>
      <c r="BJ160" s="35">
        <v>0.71962616822429903</v>
      </c>
    </row>
    <row r="161" spans="1:62" x14ac:dyDescent="0.25">
      <c r="A161" s="22"/>
      <c r="B161" s="23"/>
      <c r="C161" s="23"/>
      <c r="D161" s="23" t="s">
        <v>191</v>
      </c>
      <c r="E161" s="24"/>
      <c r="F161" s="184">
        <v>1075</v>
      </c>
      <c r="G161" s="185">
        <v>829</v>
      </c>
      <c r="H161" s="186">
        <v>0</v>
      </c>
      <c r="I161" s="186">
        <v>829</v>
      </c>
      <c r="J161" s="187">
        <v>0</v>
      </c>
      <c r="K161" s="185">
        <v>0</v>
      </c>
      <c r="L161" s="186">
        <v>0</v>
      </c>
      <c r="M161" s="186">
        <v>12</v>
      </c>
      <c r="N161" s="186">
        <v>1</v>
      </c>
      <c r="O161" s="186">
        <v>5</v>
      </c>
      <c r="P161" s="186">
        <v>0</v>
      </c>
      <c r="Q161" s="186">
        <v>9</v>
      </c>
      <c r="R161" s="187">
        <v>33</v>
      </c>
      <c r="S161" s="184">
        <v>37</v>
      </c>
      <c r="T161" s="185">
        <v>201</v>
      </c>
      <c r="U161" s="186">
        <v>0</v>
      </c>
      <c r="V161" s="186">
        <v>4</v>
      </c>
      <c r="W161" s="186">
        <v>7</v>
      </c>
      <c r="X161" s="187">
        <v>190</v>
      </c>
      <c r="Y161" s="185">
        <v>1087</v>
      </c>
      <c r="Z161" s="187">
        <v>523</v>
      </c>
      <c r="AA161" s="185">
        <v>1143</v>
      </c>
      <c r="AB161" s="187">
        <v>507</v>
      </c>
      <c r="AC161" s="185">
        <v>1405</v>
      </c>
      <c r="AD161" s="187">
        <v>551</v>
      </c>
      <c r="AE161" s="185">
        <v>525</v>
      </c>
      <c r="AF161" s="186">
        <v>247</v>
      </c>
      <c r="AG161" s="187">
        <v>140</v>
      </c>
      <c r="AH161" s="135">
        <v>5.1517939282428704E-2</v>
      </c>
      <c r="AI161" s="26">
        <v>0.29254829806807725</v>
      </c>
      <c r="AJ161" s="26">
        <v>0.22922134733158356</v>
      </c>
      <c r="AK161" s="26">
        <v>-3.0592734225621414E-2</v>
      </c>
      <c r="AL161" s="26">
        <v>5.3537284894837479E-2</v>
      </c>
      <c r="AM161" s="26">
        <v>8.6785009861932938E-2</v>
      </c>
      <c r="AN161" s="27">
        <v>1.6948130277442701</v>
      </c>
      <c r="AO161" s="26">
        <v>0.66465621230398075</v>
      </c>
      <c r="AP161" s="26">
        <v>0.29794933655006034</v>
      </c>
      <c r="AQ161" s="26">
        <v>0.16887816646562123</v>
      </c>
      <c r="AR161" s="26">
        <v>3.8283062645011599E-2</v>
      </c>
      <c r="AS161" s="135">
        <v>4.4632086851628471E-2</v>
      </c>
      <c r="AT161" s="28">
        <v>-0.19782870928829915</v>
      </c>
      <c r="AU161" s="23">
        <v>379</v>
      </c>
      <c r="AV161" s="23">
        <v>408</v>
      </c>
      <c r="AW161" s="24">
        <v>452</v>
      </c>
      <c r="AX161" s="135">
        <v>7.6517150395778361E-2</v>
      </c>
      <c r="AY161" s="26">
        <v>0.19261213720316622</v>
      </c>
      <c r="AZ161" s="28">
        <v>0.10784313725490197</v>
      </c>
      <c r="BA161" s="22">
        <v>38</v>
      </c>
      <c r="BB161" s="24">
        <v>37</v>
      </c>
      <c r="BC161" s="22">
        <v>4</v>
      </c>
      <c r="BD161" s="24">
        <v>4</v>
      </c>
      <c r="BE161" s="22">
        <v>827</v>
      </c>
      <c r="BF161" s="23">
        <v>1405</v>
      </c>
      <c r="BG161" s="26">
        <v>0.58861209964412808</v>
      </c>
      <c r="BH161" s="23">
        <v>242</v>
      </c>
      <c r="BI161" s="23">
        <v>452</v>
      </c>
      <c r="BJ161" s="28">
        <v>0.53539823008849563</v>
      </c>
    </row>
    <row r="162" spans="1:62" x14ac:dyDescent="0.25">
      <c r="A162" s="29"/>
      <c r="B162" s="30"/>
      <c r="C162" s="30"/>
      <c r="D162" s="30"/>
      <c r="E162" s="31" t="s">
        <v>68</v>
      </c>
      <c r="F162" s="188">
        <v>1075</v>
      </c>
      <c r="G162" s="189">
        <v>829</v>
      </c>
      <c r="H162" s="190">
        <v>0</v>
      </c>
      <c r="I162" s="190">
        <v>829</v>
      </c>
      <c r="J162" s="191">
        <v>0</v>
      </c>
      <c r="K162" s="189">
        <v>0</v>
      </c>
      <c r="L162" s="190">
        <v>0</v>
      </c>
      <c r="M162" s="190">
        <v>12</v>
      </c>
      <c r="N162" s="190">
        <v>1</v>
      </c>
      <c r="O162" s="190">
        <v>5</v>
      </c>
      <c r="P162" s="190">
        <v>0</v>
      </c>
      <c r="Q162" s="190">
        <v>9</v>
      </c>
      <c r="R162" s="191">
        <v>33</v>
      </c>
      <c r="S162" s="188">
        <v>37</v>
      </c>
      <c r="T162" s="189">
        <v>201</v>
      </c>
      <c r="U162" s="190">
        <v>0</v>
      </c>
      <c r="V162" s="190">
        <v>4</v>
      </c>
      <c r="W162" s="190">
        <v>7</v>
      </c>
      <c r="X162" s="191">
        <v>190</v>
      </c>
      <c r="Y162" s="189">
        <v>1087</v>
      </c>
      <c r="Z162" s="191">
        <v>523</v>
      </c>
      <c r="AA162" s="189">
        <v>1143</v>
      </c>
      <c r="AB162" s="191">
        <v>507</v>
      </c>
      <c r="AC162" s="189">
        <v>1405</v>
      </c>
      <c r="AD162" s="191">
        <v>551</v>
      </c>
      <c r="AE162" s="189">
        <v>525</v>
      </c>
      <c r="AF162" s="190">
        <v>247</v>
      </c>
      <c r="AG162" s="191">
        <v>140</v>
      </c>
      <c r="AH162" s="136">
        <v>5.1517939282428704E-2</v>
      </c>
      <c r="AI162" s="33">
        <v>0.29254829806807725</v>
      </c>
      <c r="AJ162" s="33">
        <v>0.22922134733158356</v>
      </c>
      <c r="AK162" s="33">
        <v>-3.0592734225621414E-2</v>
      </c>
      <c r="AL162" s="33">
        <v>5.3537284894837479E-2</v>
      </c>
      <c r="AM162" s="33">
        <v>8.6785009861932938E-2</v>
      </c>
      <c r="AN162" s="34">
        <v>1.6948130277442701</v>
      </c>
      <c r="AO162" s="33">
        <v>0.66465621230398075</v>
      </c>
      <c r="AP162" s="33">
        <v>0.29794933655006034</v>
      </c>
      <c r="AQ162" s="33">
        <v>0.16887816646562123</v>
      </c>
      <c r="AR162" s="33">
        <v>3.8283062645011599E-2</v>
      </c>
      <c r="AS162" s="136">
        <v>4.4632086851628471E-2</v>
      </c>
      <c r="AT162" s="35">
        <v>-0.19782870928829915</v>
      </c>
      <c r="AU162" s="30">
        <v>379</v>
      </c>
      <c r="AV162" s="30">
        <v>408</v>
      </c>
      <c r="AW162" s="31">
        <v>452</v>
      </c>
      <c r="AX162" s="136">
        <v>7.6517150395778361E-2</v>
      </c>
      <c r="AY162" s="33">
        <v>0.19261213720316622</v>
      </c>
      <c r="AZ162" s="35">
        <v>0.10784313725490197</v>
      </c>
      <c r="BA162" s="29">
        <v>38</v>
      </c>
      <c r="BB162" s="31">
        <v>37</v>
      </c>
      <c r="BC162" s="29">
        <v>4</v>
      </c>
      <c r="BD162" s="31">
        <v>4</v>
      </c>
      <c r="BE162" s="29">
        <v>827</v>
      </c>
      <c r="BF162" s="30">
        <v>1405</v>
      </c>
      <c r="BG162" s="33">
        <v>0.58861209964412808</v>
      </c>
      <c r="BH162" s="30">
        <v>243</v>
      </c>
      <c r="BI162" s="30">
        <v>452</v>
      </c>
      <c r="BJ162" s="35">
        <v>0.53761061946902655</v>
      </c>
    </row>
    <row r="163" spans="1:62" x14ac:dyDescent="0.25">
      <c r="A163" s="15"/>
      <c r="B163" s="16"/>
      <c r="C163" s="16" t="s">
        <v>94</v>
      </c>
      <c r="D163" s="16"/>
      <c r="E163" s="17"/>
      <c r="F163" s="180">
        <v>1109</v>
      </c>
      <c r="G163" s="181">
        <v>957</v>
      </c>
      <c r="H163" s="182">
        <v>0</v>
      </c>
      <c r="I163" s="182">
        <v>952</v>
      </c>
      <c r="J163" s="183">
        <v>5</v>
      </c>
      <c r="K163" s="181">
        <v>0</v>
      </c>
      <c r="L163" s="182">
        <v>0</v>
      </c>
      <c r="M163" s="182">
        <v>2</v>
      </c>
      <c r="N163" s="182">
        <v>5</v>
      </c>
      <c r="O163" s="182">
        <v>21</v>
      </c>
      <c r="P163" s="182">
        <v>0</v>
      </c>
      <c r="Q163" s="182">
        <v>111</v>
      </c>
      <c r="R163" s="183">
        <v>13</v>
      </c>
      <c r="S163" s="180">
        <v>11</v>
      </c>
      <c r="T163" s="181">
        <v>645</v>
      </c>
      <c r="U163" s="182">
        <v>2</v>
      </c>
      <c r="V163" s="182">
        <v>110</v>
      </c>
      <c r="W163" s="182">
        <v>2</v>
      </c>
      <c r="X163" s="183">
        <v>531</v>
      </c>
      <c r="Y163" s="181">
        <v>478</v>
      </c>
      <c r="Z163" s="183">
        <v>303</v>
      </c>
      <c r="AA163" s="181">
        <v>566</v>
      </c>
      <c r="AB163" s="183">
        <v>311</v>
      </c>
      <c r="AC163" s="181">
        <v>557</v>
      </c>
      <c r="AD163" s="183">
        <v>341</v>
      </c>
      <c r="AE163" s="181">
        <v>770</v>
      </c>
      <c r="AF163" s="182">
        <v>505</v>
      </c>
      <c r="AG163" s="183">
        <v>41</v>
      </c>
      <c r="AH163" s="133">
        <v>0.18410041841004185</v>
      </c>
      <c r="AI163" s="19">
        <v>0.16527196652719664</v>
      </c>
      <c r="AJ163" s="19">
        <v>-1.5901060070671377E-2</v>
      </c>
      <c r="AK163" s="19">
        <v>2.6402640264026403E-2</v>
      </c>
      <c r="AL163" s="19">
        <v>0.1254125412541254</v>
      </c>
      <c r="AM163" s="19">
        <v>9.6463022508038579E-2</v>
      </c>
      <c r="AN163" s="20">
        <v>0.58202716823406475</v>
      </c>
      <c r="AO163" s="19">
        <v>0.35632183908045978</v>
      </c>
      <c r="AP163" s="19">
        <v>0.52769070010449326</v>
      </c>
      <c r="AQ163" s="19">
        <v>4.2842215256008356E-2</v>
      </c>
      <c r="AR163" s="19">
        <v>1.3402061855670102E-2</v>
      </c>
      <c r="AS163" s="133">
        <v>1.1494252873563218E-2</v>
      </c>
      <c r="AT163" s="21">
        <v>-0.66248693834900729</v>
      </c>
      <c r="AU163" s="16">
        <v>234</v>
      </c>
      <c r="AV163" s="16">
        <v>238</v>
      </c>
      <c r="AW163" s="17">
        <v>232</v>
      </c>
      <c r="AX163" s="133">
        <v>1.7094017094017096E-2</v>
      </c>
      <c r="AY163" s="19">
        <v>-8.5470085470085479E-3</v>
      </c>
      <c r="AZ163" s="21">
        <v>-2.5210084033613446E-2</v>
      </c>
      <c r="BA163" s="15">
        <v>47.5</v>
      </c>
      <c r="BB163" s="17">
        <v>38</v>
      </c>
      <c r="BC163" s="15">
        <v>5</v>
      </c>
      <c r="BD163" s="17">
        <v>4</v>
      </c>
      <c r="BE163" s="15">
        <v>367</v>
      </c>
      <c r="BF163" s="16">
        <v>557</v>
      </c>
      <c r="BG163" s="19">
        <v>0.65888689407540391</v>
      </c>
      <c r="BH163" s="16">
        <v>143</v>
      </c>
      <c r="BI163" s="16">
        <v>232</v>
      </c>
      <c r="BJ163" s="21">
        <v>0.61637931034482762</v>
      </c>
    </row>
    <row r="164" spans="1:62" x14ac:dyDescent="0.25">
      <c r="A164" s="29"/>
      <c r="B164" s="30"/>
      <c r="C164" s="30"/>
      <c r="D164" s="30"/>
      <c r="E164" s="31" t="s">
        <v>68</v>
      </c>
      <c r="F164" s="188">
        <v>1109</v>
      </c>
      <c r="G164" s="189">
        <v>957</v>
      </c>
      <c r="H164" s="190">
        <v>0</v>
      </c>
      <c r="I164" s="190">
        <v>952</v>
      </c>
      <c r="J164" s="191">
        <v>5</v>
      </c>
      <c r="K164" s="189">
        <v>0</v>
      </c>
      <c r="L164" s="190">
        <v>0</v>
      </c>
      <c r="M164" s="190">
        <v>2</v>
      </c>
      <c r="N164" s="190">
        <v>5</v>
      </c>
      <c r="O164" s="190">
        <v>21</v>
      </c>
      <c r="P164" s="190">
        <v>0</v>
      </c>
      <c r="Q164" s="190">
        <v>111</v>
      </c>
      <c r="R164" s="191">
        <v>13</v>
      </c>
      <c r="S164" s="188">
        <v>11</v>
      </c>
      <c r="T164" s="189">
        <v>645</v>
      </c>
      <c r="U164" s="190">
        <v>2</v>
      </c>
      <c r="V164" s="190">
        <v>110</v>
      </c>
      <c r="W164" s="190">
        <v>2</v>
      </c>
      <c r="X164" s="191">
        <v>531</v>
      </c>
      <c r="Y164" s="189">
        <v>478</v>
      </c>
      <c r="Z164" s="191">
        <v>303</v>
      </c>
      <c r="AA164" s="189">
        <v>566</v>
      </c>
      <c r="AB164" s="191">
        <v>311</v>
      </c>
      <c r="AC164" s="189">
        <v>557</v>
      </c>
      <c r="AD164" s="191">
        <v>341</v>
      </c>
      <c r="AE164" s="189">
        <v>770</v>
      </c>
      <c r="AF164" s="190">
        <v>505</v>
      </c>
      <c r="AG164" s="191">
        <v>41</v>
      </c>
      <c r="AH164" s="136">
        <v>0.18410041841004185</v>
      </c>
      <c r="AI164" s="33">
        <v>0.16527196652719664</v>
      </c>
      <c r="AJ164" s="33">
        <v>-1.5901060070671377E-2</v>
      </c>
      <c r="AK164" s="33">
        <v>2.6402640264026403E-2</v>
      </c>
      <c r="AL164" s="33">
        <v>0.1254125412541254</v>
      </c>
      <c r="AM164" s="33">
        <v>9.6463022508038579E-2</v>
      </c>
      <c r="AN164" s="34">
        <v>0.58202716823406475</v>
      </c>
      <c r="AO164" s="33">
        <v>0.35632183908045978</v>
      </c>
      <c r="AP164" s="33">
        <v>0.52769070010449326</v>
      </c>
      <c r="AQ164" s="33">
        <v>4.2842215256008356E-2</v>
      </c>
      <c r="AR164" s="33">
        <v>1.3402061855670102E-2</v>
      </c>
      <c r="AS164" s="136">
        <v>1.1494252873563218E-2</v>
      </c>
      <c r="AT164" s="35">
        <v>-0.66248693834900729</v>
      </c>
      <c r="AU164" s="30">
        <v>234</v>
      </c>
      <c r="AV164" s="30">
        <v>237</v>
      </c>
      <c r="AW164" s="31">
        <v>232</v>
      </c>
      <c r="AX164" s="136">
        <v>1.282051282051282E-2</v>
      </c>
      <c r="AY164" s="33">
        <v>-8.5470085470085479E-3</v>
      </c>
      <c r="AZ164" s="35">
        <v>-2.1097046413502109E-2</v>
      </c>
      <c r="BA164" s="29">
        <v>47.5</v>
      </c>
      <c r="BB164" s="31">
        <v>38</v>
      </c>
      <c r="BC164" s="29">
        <v>5</v>
      </c>
      <c r="BD164" s="31">
        <v>4</v>
      </c>
      <c r="BE164" s="29">
        <v>367</v>
      </c>
      <c r="BF164" s="30">
        <v>557</v>
      </c>
      <c r="BG164" s="33">
        <v>0.65888689407540391</v>
      </c>
      <c r="BH164" s="30">
        <v>144</v>
      </c>
      <c r="BI164" s="30">
        <v>232</v>
      </c>
      <c r="BJ164" s="35">
        <v>0.62068965517241381</v>
      </c>
    </row>
    <row r="165" spans="1:62" x14ac:dyDescent="0.25">
      <c r="A165" s="15"/>
      <c r="B165" s="16"/>
      <c r="C165" s="16" t="s">
        <v>95</v>
      </c>
      <c r="D165" s="16"/>
      <c r="E165" s="17"/>
      <c r="F165" s="180">
        <v>14525</v>
      </c>
      <c r="G165" s="181">
        <v>13866</v>
      </c>
      <c r="H165" s="182">
        <v>0</v>
      </c>
      <c r="I165" s="182">
        <v>13866</v>
      </c>
      <c r="J165" s="183">
        <v>0</v>
      </c>
      <c r="K165" s="181">
        <v>0</v>
      </c>
      <c r="L165" s="182">
        <v>47</v>
      </c>
      <c r="M165" s="182">
        <v>222</v>
      </c>
      <c r="N165" s="182">
        <v>7</v>
      </c>
      <c r="O165" s="182">
        <v>8</v>
      </c>
      <c r="P165" s="182">
        <v>0</v>
      </c>
      <c r="Q165" s="182">
        <v>52</v>
      </c>
      <c r="R165" s="183">
        <v>264</v>
      </c>
      <c r="S165" s="180">
        <v>647</v>
      </c>
      <c r="T165" s="181">
        <v>1569</v>
      </c>
      <c r="U165" s="182">
        <v>5</v>
      </c>
      <c r="V165" s="182">
        <v>48</v>
      </c>
      <c r="W165" s="182">
        <v>188</v>
      </c>
      <c r="X165" s="183">
        <v>1328</v>
      </c>
      <c r="Y165" s="181">
        <v>24805</v>
      </c>
      <c r="Z165" s="183">
        <v>9171</v>
      </c>
      <c r="AA165" s="181">
        <v>25029</v>
      </c>
      <c r="AB165" s="183">
        <v>8451</v>
      </c>
      <c r="AC165" s="181">
        <v>22635</v>
      </c>
      <c r="AD165" s="183">
        <v>7615</v>
      </c>
      <c r="AE165" s="181">
        <v>7538</v>
      </c>
      <c r="AF165" s="182">
        <v>3013</v>
      </c>
      <c r="AG165" s="183">
        <v>1567</v>
      </c>
      <c r="AH165" s="133">
        <v>9.0304374118121353E-3</v>
      </c>
      <c r="AI165" s="19">
        <v>-8.7482362426930055E-2</v>
      </c>
      <c r="AJ165" s="19">
        <v>-9.5649047105357779E-2</v>
      </c>
      <c r="AK165" s="19">
        <v>-7.8508341511285579E-2</v>
      </c>
      <c r="AL165" s="19">
        <v>-0.16966524915494494</v>
      </c>
      <c r="AM165" s="19">
        <v>-9.8923204354514252E-2</v>
      </c>
      <c r="AN165" s="20">
        <v>1.6324102120294246</v>
      </c>
      <c r="AO165" s="19">
        <v>0.54918505697389297</v>
      </c>
      <c r="AP165" s="19">
        <v>0.21729410067791721</v>
      </c>
      <c r="AQ165" s="19">
        <v>0.11301024087696523</v>
      </c>
      <c r="AR165" s="19">
        <v>1.8683651804670912E-2</v>
      </c>
      <c r="AS165" s="133">
        <v>4.6660897158517234E-2</v>
      </c>
      <c r="AT165" s="21">
        <v>-6.6493581422183756E-2</v>
      </c>
      <c r="AU165" s="16">
        <v>2977</v>
      </c>
      <c r="AV165" s="16">
        <v>3038</v>
      </c>
      <c r="AW165" s="17">
        <v>2826</v>
      </c>
      <c r="AX165" s="133">
        <v>2.0490426603963722E-2</v>
      </c>
      <c r="AY165" s="19">
        <v>-5.0722203560631507E-2</v>
      </c>
      <c r="AZ165" s="21">
        <v>-6.9782751810401583E-2</v>
      </c>
      <c r="BA165" s="15">
        <v>58</v>
      </c>
      <c r="BB165" s="17">
        <v>42</v>
      </c>
      <c r="BC165" s="15">
        <v>7</v>
      </c>
      <c r="BD165" s="17">
        <v>4</v>
      </c>
      <c r="BE165" s="15">
        <v>12824</v>
      </c>
      <c r="BF165" s="16">
        <v>22635</v>
      </c>
      <c r="BG165" s="19">
        <v>0.56655621824607905</v>
      </c>
      <c r="BH165" s="16">
        <v>1636</v>
      </c>
      <c r="BI165" s="16">
        <v>2826</v>
      </c>
      <c r="BJ165" s="21">
        <v>0.57891012031139422</v>
      </c>
    </row>
    <row r="166" spans="1:62" x14ac:dyDescent="0.25">
      <c r="A166" s="29"/>
      <c r="B166" s="30"/>
      <c r="C166" s="30"/>
      <c r="D166" s="30"/>
      <c r="E166" s="31" t="s">
        <v>68</v>
      </c>
      <c r="F166" s="188">
        <v>14521</v>
      </c>
      <c r="G166" s="189">
        <v>13864</v>
      </c>
      <c r="H166" s="190">
        <v>0</v>
      </c>
      <c r="I166" s="190">
        <v>13864</v>
      </c>
      <c r="J166" s="191">
        <v>0</v>
      </c>
      <c r="K166" s="189">
        <v>0</v>
      </c>
      <c r="L166" s="190">
        <v>45</v>
      </c>
      <c r="M166" s="190">
        <v>222</v>
      </c>
      <c r="N166" s="190">
        <v>7</v>
      </c>
      <c r="O166" s="190">
        <v>8</v>
      </c>
      <c r="P166" s="190">
        <v>0</v>
      </c>
      <c r="Q166" s="190">
        <v>52</v>
      </c>
      <c r="R166" s="191">
        <v>264</v>
      </c>
      <c r="S166" s="188">
        <v>643</v>
      </c>
      <c r="T166" s="189">
        <v>1569</v>
      </c>
      <c r="U166" s="190">
        <v>5</v>
      </c>
      <c r="V166" s="190">
        <v>48</v>
      </c>
      <c r="W166" s="190">
        <v>188</v>
      </c>
      <c r="X166" s="191">
        <v>1328</v>
      </c>
      <c r="Y166" s="189">
        <v>24805</v>
      </c>
      <c r="Z166" s="191">
        <v>9171</v>
      </c>
      <c r="AA166" s="189">
        <v>25029</v>
      </c>
      <c r="AB166" s="191">
        <v>8451</v>
      </c>
      <c r="AC166" s="189">
        <v>22626</v>
      </c>
      <c r="AD166" s="191">
        <v>7613</v>
      </c>
      <c r="AE166" s="189">
        <v>7538</v>
      </c>
      <c r="AF166" s="190">
        <v>3013</v>
      </c>
      <c r="AG166" s="191">
        <v>1567</v>
      </c>
      <c r="AH166" s="136">
        <v>9.0304374118121353E-3</v>
      </c>
      <c r="AI166" s="33">
        <v>-8.7845192501511793E-2</v>
      </c>
      <c r="AJ166" s="33">
        <v>-9.6008629989212516E-2</v>
      </c>
      <c r="AK166" s="33">
        <v>-7.8508341511285579E-2</v>
      </c>
      <c r="AL166" s="33">
        <v>-0.16988332788136518</v>
      </c>
      <c r="AM166" s="33">
        <v>-9.9159862738137497E-2</v>
      </c>
      <c r="AN166" s="34">
        <v>1.63199653779573</v>
      </c>
      <c r="AO166" s="33">
        <v>0.54912002308136176</v>
      </c>
      <c r="AP166" s="33">
        <v>0.21732544720138489</v>
      </c>
      <c r="AQ166" s="33">
        <v>0.11302654356607039</v>
      </c>
      <c r="AR166" s="33">
        <v>1.868629671574179E-2</v>
      </c>
      <c r="AS166" s="136">
        <v>4.637911136757069E-2</v>
      </c>
      <c r="AT166" s="35">
        <v>-6.6791690709751869E-2</v>
      </c>
      <c r="AU166" s="30">
        <v>2977</v>
      </c>
      <c r="AV166" s="30">
        <v>3038</v>
      </c>
      <c r="AW166" s="31">
        <v>2826</v>
      </c>
      <c r="AX166" s="136">
        <v>2.0490426603963722E-2</v>
      </c>
      <c r="AY166" s="33">
        <v>-5.0722203560631507E-2</v>
      </c>
      <c r="AZ166" s="35">
        <v>-6.9782751810401583E-2</v>
      </c>
      <c r="BA166" s="29">
        <v>58</v>
      </c>
      <c r="BB166" s="31">
        <v>42</v>
      </c>
      <c r="BC166" s="29">
        <v>7</v>
      </c>
      <c r="BD166" s="31">
        <v>4</v>
      </c>
      <c r="BE166" s="29">
        <v>12819</v>
      </c>
      <c r="BF166" s="30">
        <v>22626</v>
      </c>
      <c r="BG166" s="33">
        <v>0.56656059400689474</v>
      </c>
      <c r="BH166" s="30">
        <v>1636</v>
      </c>
      <c r="BI166" s="30">
        <v>2826</v>
      </c>
      <c r="BJ166" s="35">
        <v>0.57891012031139422</v>
      </c>
    </row>
    <row r="167" spans="1:62" x14ac:dyDescent="0.25">
      <c r="A167" s="15"/>
      <c r="B167" s="16"/>
      <c r="C167" s="16" t="s">
        <v>132</v>
      </c>
      <c r="D167" s="16"/>
      <c r="E167" s="17"/>
      <c r="F167" s="180">
        <v>2182</v>
      </c>
      <c r="G167" s="181">
        <v>1931</v>
      </c>
      <c r="H167" s="182">
        <v>0</v>
      </c>
      <c r="I167" s="182">
        <v>1931</v>
      </c>
      <c r="J167" s="183">
        <v>0</v>
      </c>
      <c r="K167" s="181">
        <v>0</v>
      </c>
      <c r="L167" s="182">
        <v>23</v>
      </c>
      <c r="M167" s="182">
        <v>43</v>
      </c>
      <c r="N167" s="182">
        <v>0</v>
      </c>
      <c r="O167" s="182">
        <v>22</v>
      </c>
      <c r="P167" s="182">
        <v>0</v>
      </c>
      <c r="Q167" s="182">
        <v>16</v>
      </c>
      <c r="R167" s="183">
        <v>144</v>
      </c>
      <c r="S167" s="180">
        <v>216</v>
      </c>
      <c r="T167" s="181">
        <v>51</v>
      </c>
      <c r="U167" s="182">
        <v>1</v>
      </c>
      <c r="V167" s="182">
        <v>9</v>
      </c>
      <c r="W167" s="182">
        <v>34</v>
      </c>
      <c r="X167" s="183">
        <v>7</v>
      </c>
      <c r="Y167" s="181">
        <v>4029</v>
      </c>
      <c r="Z167" s="183">
        <v>1257</v>
      </c>
      <c r="AA167" s="181">
        <v>4383</v>
      </c>
      <c r="AB167" s="183">
        <v>1275</v>
      </c>
      <c r="AC167" s="181">
        <v>4626</v>
      </c>
      <c r="AD167" s="183">
        <v>1373</v>
      </c>
      <c r="AE167" s="181">
        <v>790</v>
      </c>
      <c r="AF167" s="182">
        <v>328</v>
      </c>
      <c r="AG167" s="183">
        <v>514</v>
      </c>
      <c r="AH167" s="133">
        <v>8.7862993298585254E-2</v>
      </c>
      <c r="AI167" s="19">
        <v>0.14817572598659717</v>
      </c>
      <c r="AJ167" s="19">
        <v>5.5441478439425054E-2</v>
      </c>
      <c r="AK167" s="19">
        <v>1.4319809069212411E-2</v>
      </c>
      <c r="AL167" s="19">
        <v>9.2283214001591091E-2</v>
      </c>
      <c r="AM167" s="19">
        <v>7.6862745098039212E-2</v>
      </c>
      <c r="AN167" s="20">
        <v>2.3956499223200414</v>
      </c>
      <c r="AO167" s="19">
        <v>0.71103055411703775</v>
      </c>
      <c r="AP167" s="19">
        <v>0.16986017607457277</v>
      </c>
      <c r="AQ167" s="19">
        <v>0.26618332470222683</v>
      </c>
      <c r="AR167" s="19">
        <v>6.9397590361445785E-2</v>
      </c>
      <c r="AS167" s="133">
        <v>0.11185914034179181</v>
      </c>
      <c r="AT167" s="21">
        <v>8.5447954427757641E-2</v>
      </c>
      <c r="AU167" s="16">
        <v>1068</v>
      </c>
      <c r="AV167" s="16">
        <v>1059</v>
      </c>
      <c r="AW167" s="17">
        <v>997</v>
      </c>
      <c r="AX167" s="133">
        <v>-8.4269662921348312E-3</v>
      </c>
      <c r="AY167" s="19">
        <v>-6.6479400749063666E-2</v>
      </c>
      <c r="AZ167" s="21">
        <v>-5.8545797922568463E-2</v>
      </c>
      <c r="BA167" s="15">
        <v>16</v>
      </c>
      <c r="BB167" s="17">
        <v>19</v>
      </c>
      <c r="BC167" s="15">
        <v>5</v>
      </c>
      <c r="BD167" s="17">
        <v>4</v>
      </c>
      <c r="BE167" s="15">
        <v>2596</v>
      </c>
      <c r="BF167" s="16">
        <v>4626</v>
      </c>
      <c r="BG167" s="19">
        <v>0.56117596195417208</v>
      </c>
      <c r="BH167" s="16">
        <v>626</v>
      </c>
      <c r="BI167" s="16">
        <v>997</v>
      </c>
      <c r="BJ167" s="21">
        <v>0.62788365095285859</v>
      </c>
    </row>
    <row r="168" spans="1:62" x14ac:dyDescent="0.25">
      <c r="A168" s="29"/>
      <c r="B168" s="30"/>
      <c r="C168" s="30"/>
      <c r="D168" s="30"/>
      <c r="E168" s="31" t="s">
        <v>68</v>
      </c>
      <c r="F168" s="188">
        <v>2180</v>
      </c>
      <c r="G168" s="189">
        <v>1930</v>
      </c>
      <c r="H168" s="190">
        <v>0</v>
      </c>
      <c r="I168" s="190">
        <v>1930</v>
      </c>
      <c r="J168" s="191">
        <v>0</v>
      </c>
      <c r="K168" s="189">
        <v>0</v>
      </c>
      <c r="L168" s="190">
        <v>23</v>
      </c>
      <c r="M168" s="190">
        <v>43</v>
      </c>
      <c r="N168" s="190">
        <v>0</v>
      </c>
      <c r="O168" s="190">
        <v>22</v>
      </c>
      <c r="P168" s="190">
        <v>0</v>
      </c>
      <c r="Q168" s="190">
        <v>16</v>
      </c>
      <c r="R168" s="191">
        <v>143</v>
      </c>
      <c r="S168" s="188">
        <v>215</v>
      </c>
      <c r="T168" s="189">
        <v>51</v>
      </c>
      <c r="U168" s="190">
        <v>1</v>
      </c>
      <c r="V168" s="190">
        <v>9</v>
      </c>
      <c r="W168" s="190">
        <v>34</v>
      </c>
      <c r="X168" s="191">
        <v>7</v>
      </c>
      <c r="Y168" s="189">
        <v>4027</v>
      </c>
      <c r="Z168" s="191">
        <v>1256</v>
      </c>
      <c r="AA168" s="189">
        <v>4383</v>
      </c>
      <c r="AB168" s="191">
        <v>1275</v>
      </c>
      <c r="AC168" s="189">
        <v>4626</v>
      </c>
      <c r="AD168" s="191">
        <v>1373</v>
      </c>
      <c r="AE168" s="189">
        <v>789</v>
      </c>
      <c r="AF168" s="190">
        <v>328</v>
      </c>
      <c r="AG168" s="191">
        <v>513</v>
      </c>
      <c r="AH168" s="136">
        <v>8.8403277874348152E-2</v>
      </c>
      <c r="AI168" s="33">
        <v>0.14874596473801838</v>
      </c>
      <c r="AJ168" s="33">
        <v>5.5441478439425054E-2</v>
      </c>
      <c r="AK168" s="33">
        <v>1.5127388535031847E-2</v>
      </c>
      <c r="AL168" s="33">
        <v>9.315286624203821E-2</v>
      </c>
      <c r="AM168" s="33">
        <v>7.6862745098039212E-2</v>
      </c>
      <c r="AN168" s="34">
        <v>2.3968911917098445</v>
      </c>
      <c r="AO168" s="33">
        <v>0.71139896373056999</v>
      </c>
      <c r="AP168" s="33">
        <v>0.16994818652849741</v>
      </c>
      <c r="AQ168" s="33">
        <v>0.26580310880829017</v>
      </c>
      <c r="AR168" s="33">
        <v>6.8982151471297631E-2</v>
      </c>
      <c r="AS168" s="136">
        <v>0.11139896373056994</v>
      </c>
      <c r="AT168" s="35">
        <v>8.4974093264248707E-2</v>
      </c>
      <c r="AU168" s="30">
        <v>1068</v>
      </c>
      <c r="AV168" s="30">
        <v>1059</v>
      </c>
      <c r="AW168" s="31">
        <v>997</v>
      </c>
      <c r="AX168" s="136">
        <v>-8.4269662921348312E-3</v>
      </c>
      <c r="AY168" s="33">
        <v>-6.6479400749063666E-2</v>
      </c>
      <c r="AZ168" s="35">
        <v>-5.8545797922568463E-2</v>
      </c>
      <c r="BA168" s="29">
        <v>16</v>
      </c>
      <c r="BB168" s="31">
        <v>19</v>
      </c>
      <c r="BC168" s="29">
        <v>5</v>
      </c>
      <c r="BD168" s="31">
        <v>4</v>
      </c>
      <c r="BE168" s="29">
        <v>2596</v>
      </c>
      <c r="BF168" s="30">
        <v>4626</v>
      </c>
      <c r="BG168" s="33">
        <v>0.56117596195417208</v>
      </c>
      <c r="BH168" s="30">
        <v>627</v>
      </c>
      <c r="BI168" s="30">
        <v>997</v>
      </c>
      <c r="BJ168" s="35">
        <v>0.62888665997993987</v>
      </c>
    </row>
    <row r="169" spans="1:62" x14ac:dyDescent="0.25">
      <c r="A169" s="15"/>
      <c r="B169" s="16"/>
      <c r="C169" s="16" t="s">
        <v>192</v>
      </c>
      <c r="D169" s="16"/>
      <c r="E169" s="17"/>
      <c r="F169" s="180">
        <v>1566</v>
      </c>
      <c r="G169" s="181">
        <v>1534</v>
      </c>
      <c r="H169" s="182">
        <v>0</v>
      </c>
      <c r="I169" s="182">
        <v>1534</v>
      </c>
      <c r="J169" s="183">
        <v>0</v>
      </c>
      <c r="K169" s="181">
        <v>0</v>
      </c>
      <c r="L169" s="182">
        <v>0</v>
      </c>
      <c r="M169" s="182">
        <v>5</v>
      </c>
      <c r="N169" s="182">
        <v>5</v>
      </c>
      <c r="O169" s="182">
        <v>2</v>
      </c>
      <c r="P169" s="182">
        <v>0</v>
      </c>
      <c r="Q169" s="182">
        <v>8</v>
      </c>
      <c r="R169" s="183">
        <v>12</v>
      </c>
      <c r="S169" s="180">
        <v>35</v>
      </c>
      <c r="T169" s="181">
        <v>28</v>
      </c>
      <c r="U169" s="182">
        <v>0</v>
      </c>
      <c r="V169" s="182">
        <v>8</v>
      </c>
      <c r="W169" s="182">
        <v>5</v>
      </c>
      <c r="X169" s="183">
        <v>15</v>
      </c>
      <c r="Y169" s="181">
        <v>849</v>
      </c>
      <c r="Z169" s="183">
        <v>510</v>
      </c>
      <c r="AA169" s="181">
        <v>904</v>
      </c>
      <c r="AB169" s="183">
        <v>485</v>
      </c>
      <c r="AC169" s="181">
        <v>915</v>
      </c>
      <c r="AD169" s="183">
        <v>466</v>
      </c>
      <c r="AE169" s="181">
        <v>1097</v>
      </c>
      <c r="AF169" s="182">
        <v>552</v>
      </c>
      <c r="AG169" s="183">
        <v>86</v>
      </c>
      <c r="AH169" s="133">
        <v>6.4782096584216728E-2</v>
      </c>
      <c r="AI169" s="19">
        <v>7.7738515901060068E-2</v>
      </c>
      <c r="AJ169" s="19">
        <v>1.2168141592920354E-2</v>
      </c>
      <c r="AK169" s="19">
        <v>-4.9019607843137254E-2</v>
      </c>
      <c r="AL169" s="19">
        <v>-8.6274509803921567E-2</v>
      </c>
      <c r="AM169" s="19">
        <v>-3.9175257731958762E-2</v>
      </c>
      <c r="AN169" s="20">
        <v>0.59647979139504559</v>
      </c>
      <c r="AO169" s="19">
        <v>0.30378096479791394</v>
      </c>
      <c r="AP169" s="19">
        <v>0.35984354628422427</v>
      </c>
      <c r="AQ169" s="19">
        <v>5.6062581486310298E-2</v>
      </c>
      <c r="AR169" s="19">
        <v>7.7619663648124193E-3</v>
      </c>
      <c r="AS169" s="133">
        <v>2.2816166883963495E-2</v>
      </c>
      <c r="AT169" s="21">
        <v>4.5632333767926985E-3</v>
      </c>
      <c r="AU169" s="16">
        <v>407</v>
      </c>
      <c r="AV169" s="16">
        <v>445</v>
      </c>
      <c r="AW169" s="17">
        <v>466</v>
      </c>
      <c r="AX169" s="133">
        <v>9.3366093366093361E-2</v>
      </c>
      <c r="AY169" s="19">
        <v>0.14496314496314497</v>
      </c>
      <c r="AZ169" s="21">
        <v>4.7191011235955059E-2</v>
      </c>
      <c r="BA169" s="15">
        <v>51</v>
      </c>
      <c r="BB169" s="17">
        <v>46</v>
      </c>
      <c r="BC169" s="15">
        <v>5</v>
      </c>
      <c r="BD169" s="17">
        <v>5</v>
      </c>
      <c r="BE169" s="15">
        <v>483</v>
      </c>
      <c r="BF169" s="16">
        <v>915</v>
      </c>
      <c r="BG169" s="19">
        <v>0.52786885245901638</v>
      </c>
      <c r="BH169" s="16">
        <v>257</v>
      </c>
      <c r="BI169" s="16">
        <v>466</v>
      </c>
      <c r="BJ169" s="21">
        <v>0.55150214592274682</v>
      </c>
    </row>
    <row r="170" spans="1:62" x14ac:dyDescent="0.25">
      <c r="A170" s="29"/>
      <c r="B170" s="30"/>
      <c r="C170" s="30"/>
      <c r="D170" s="30"/>
      <c r="E170" s="31" t="s">
        <v>68</v>
      </c>
      <c r="F170" s="188">
        <v>1563</v>
      </c>
      <c r="G170" s="189">
        <v>1531</v>
      </c>
      <c r="H170" s="190">
        <v>0</v>
      </c>
      <c r="I170" s="190">
        <v>1531</v>
      </c>
      <c r="J170" s="191">
        <v>0</v>
      </c>
      <c r="K170" s="189">
        <v>0</v>
      </c>
      <c r="L170" s="190">
        <v>0</v>
      </c>
      <c r="M170" s="190">
        <v>5</v>
      </c>
      <c r="N170" s="190">
        <v>5</v>
      </c>
      <c r="O170" s="190">
        <v>2</v>
      </c>
      <c r="P170" s="190">
        <v>0</v>
      </c>
      <c r="Q170" s="190">
        <v>8</v>
      </c>
      <c r="R170" s="191">
        <v>12</v>
      </c>
      <c r="S170" s="188">
        <v>35</v>
      </c>
      <c r="T170" s="189">
        <v>28</v>
      </c>
      <c r="U170" s="190">
        <v>0</v>
      </c>
      <c r="V170" s="190">
        <v>8</v>
      </c>
      <c r="W170" s="190">
        <v>5</v>
      </c>
      <c r="X170" s="191">
        <v>15</v>
      </c>
      <c r="Y170" s="189">
        <v>849</v>
      </c>
      <c r="Z170" s="191">
        <v>510</v>
      </c>
      <c r="AA170" s="189">
        <v>900</v>
      </c>
      <c r="AB170" s="191">
        <v>483</v>
      </c>
      <c r="AC170" s="189">
        <v>914</v>
      </c>
      <c r="AD170" s="191">
        <v>465</v>
      </c>
      <c r="AE170" s="189">
        <v>1095</v>
      </c>
      <c r="AF170" s="190">
        <v>551</v>
      </c>
      <c r="AG170" s="191">
        <v>86</v>
      </c>
      <c r="AH170" s="136">
        <v>6.0070671378091869E-2</v>
      </c>
      <c r="AI170" s="33">
        <v>7.656065959952886E-2</v>
      </c>
      <c r="AJ170" s="33">
        <v>1.5555555555555555E-2</v>
      </c>
      <c r="AK170" s="33">
        <v>-5.2941176470588235E-2</v>
      </c>
      <c r="AL170" s="33">
        <v>-8.8235294117647065E-2</v>
      </c>
      <c r="AM170" s="33">
        <v>-3.7267080745341616E-2</v>
      </c>
      <c r="AN170" s="34">
        <v>0.59699542782495096</v>
      </c>
      <c r="AO170" s="33">
        <v>0.30372305682560419</v>
      </c>
      <c r="AP170" s="33">
        <v>0.35989549314173741</v>
      </c>
      <c r="AQ170" s="33">
        <v>5.6172436316133244E-2</v>
      </c>
      <c r="AR170" s="33">
        <v>7.7770576798444589E-3</v>
      </c>
      <c r="AS170" s="136">
        <v>2.2860875244937948E-2</v>
      </c>
      <c r="AT170" s="35">
        <v>4.5721750489875895E-3</v>
      </c>
      <c r="AU170" s="30">
        <v>407</v>
      </c>
      <c r="AV170" s="30">
        <v>444</v>
      </c>
      <c r="AW170" s="31">
        <v>466</v>
      </c>
      <c r="AX170" s="136">
        <v>9.0909090909090912E-2</v>
      </c>
      <c r="AY170" s="33">
        <v>0.14496314496314497</v>
      </c>
      <c r="AZ170" s="35">
        <v>4.954954954954955E-2</v>
      </c>
      <c r="BA170" s="29">
        <v>51</v>
      </c>
      <c r="BB170" s="31">
        <v>46</v>
      </c>
      <c r="BC170" s="29">
        <v>5</v>
      </c>
      <c r="BD170" s="31">
        <v>5</v>
      </c>
      <c r="BE170" s="29">
        <v>482</v>
      </c>
      <c r="BF170" s="30">
        <v>914</v>
      </c>
      <c r="BG170" s="33">
        <v>0.52735229759299784</v>
      </c>
      <c r="BH170" s="30">
        <v>257</v>
      </c>
      <c r="BI170" s="30">
        <v>466</v>
      </c>
      <c r="BJ170" s="35">
        <v>0.55150214592274682</v>
      </c>
    </row>
    <row r="171" spans="1:62" x14ac:dyDescent="0.25">
      <c r="A171" s="8"/>
      <c r="B171" s="9" t="s">
        <v>193</v>
      </c>
      <c r="C171" s="9"/>
      <c r="D171" s="9"/>
      <c r="E171" s="10"/>
      <c r="F171" s="176">
        <v>37536</v>
      </c>
      <c r="G171" s="177">
        <v>35575</v>
      </c>
      <c r="H171" s="178">
        <v>843</v>
      </c>
      <c r="I171" s="178">
        <v>29218</v>
      </c>
      <c r="J171" s="179">
        <v>7200</v>
      </c>
      <c r="K171" s="177">
        <v>0</v>
      </c>
      <c r="L171" s="178">
        <v>183</v>
      </c>
      <c r="M171" s="178">
        <v>119</v>
      </c>
      <c r="N171" s="178">
        <v>7</v>
      </c>
      <c r="O171" s="178">
        <v>121</v>
      </c>
      <c r="P171" s="178">
        <v>0</v>
      </c>
      <c r="Q171" s="178">
        <v>392</v>
      </c>
      <c r="R171" s="179">
        <v>264</v>
      </c>
      <c r="S171" s="176">
        <v>959</v>
      </c>
      <c r="T171" s="177">
        <v>2651</v>
      </c>
      <c r="U171" s="178">
        <v>7</v>
      </c>
      <c r="V171" s="178">
        <v>349</v>
      </c>
      <c r="W171" s="178">
        <v>45</v>
      </c>
      <c r="X171" s="179">
        <v>2250</v>
      </c>
      <c r="Y171" s="177">
        <v>37651</v>
      </c>
      <c r="Z171" s="179">
        <v>16198</v>
      </c>
      <c r="AA171" s="177">
        <v>32721</v>
      </c>
      <c r="AB171" s="179">
        <v>14758</v>
      </c>
      <c r="AC171" s="177">
        <v>27088</v>
      </c>
      <c r="AD171" s="179">
        <v>12475</v>
      </c>
      <c r="AE171" s="177">
        <v>24021</v>
      </c>
      <c r="AF171" s="178">
        <v>12829</v>
      </c>
      <c r="AG171" s="179">
        <v>1962</v>
      </c>
      <c r="AH171" s="131">
        <v>-0.13093941727975353</v>
      </c>
      <c r="AI171" s="12">
        <v>-0.28055031738864838</v>
      </c>
      <c r="AJ171" s="12">
        <v>-0.17215244032884081</v>
      </c>
      <c r="AK171" s="12">
        <v>-8.8899864180763052E-2</v>
      </c>
      <c r="AL171" s="12">
        <v>-0.22984319051734783</v>
      </c>
      <c r="AM171" s="12">
        <v>-0.15469575823282289</v>
      </c>
      <c r="AN171" s="13">
        <v>0.76143359100491914</v>
      </c>
      <c r="AO171" s="12">
        <v>0.35066760365425159</v>
      </c>
      <c r="AP171" s="12">
        <v>0.36061841180604359</v>
      </c>
      <c r="AQ171" s="12">
        <v>5.5151089248067463E-2</v>
      </c>
      <c r="AR171" s="12">
        <v>7.3662769608527027E-3</v>
      </c>
      <c r="AS171" s="131">
        <v>2.695713281799016E-2</v>
      </c>
      <c r="AT171" s="14">
        <v>-4.7561489810260017E-2</v>
      </c>
      <c r="AU171" s="9">
        <v>1546</v>
      </c>
      <c r="AV171" s="9">
        <v>1400</v>
      </c>
      <c r="AW171" s="10">
        <v>1317</v>
      </c>
      <c r="AX171" s="131">
        <v>-9.4437257438551095E-2</v>
      </c>
      <c r="AY171" s="12">
        <v>-0.148124191461837</v>
      </c>
      <c r="AZ171" s="14">
        <v>-5.9285714285714289E-2</v>
      </c>
      <c r="BA171" s="8">
        <v>52</v>
      </c>
      <c r="BB171" s="10">
        <v>40.5</v>
      </c>
      <c r="BC171" s="8">
        <v>8</v>
      </c>
      <c r="BD171" s="10">
        <v>4</v>
      </c>
      <c r="BE171" s="8">
        <v>16412</v>
      </c>
      <c r="BF171" s="9">
        <v>27088</v>
      </c>
      <c r="BG171" s="12">
        <v>0.60587714116952152</v>
      </c>
      <c r="BH171" s="9">
        <v>845</v>
      </c>
      <c r="BI171" s="9">
        <v>1317</v>
      </c>
      <c r="BJ171" s="14">
        <v>0.6416097190584662</v>
      </c>
    </row>
    <row r="172" spans="1:62" x14ac:dyDescent="0.25">
      <c r="A172" s="15"/>
      <c r="B172" s="16"/>
      <c r="C172" s="16" t="s">
        <v>194</v>
      </c>
      <c r="D172" s="16"/>
      <c r="E172" s="17"/>
      <c r="F172" s="180">
        <v>2017</v>
      </c>
      <c r="G172" s="181">
        <v>1965</v>
      </c>
      <c r="H172" s="182">
        <v>5</v>
      </c>
      <c r="I172" s="182">
        <v>1854</v>
      </c>
      <c r="J172" s="183">
        <v>116</v>
      </c>
      <c r="K172" s="181">
        <v>0</v>
      </c>
      <c r="L172" s="182">
        <v>0</v>
      </c>
      <c r="M172" s="182">
        <v>6</v>
      </c>
      <c r="N172" s="182">
        <v>1</v>
      </c>
      <c r="O172" s="182">
        <v>14</v>
      </c>
      <c r="P172" s="182">
        <v>0</v>
      </c>
      <c r="Q172" s="182">
        <v>2</v>
      </c>
      <c r="R172" s="183">
        <v>24</v>
      </c>
      <c r="S172" s="180">
        <v>40</v>
      </c>
      <c r="T172" s="181">
        <v>41</v>
      </c>
      <c r="U172" s="182">
        <v>2</v>
      </c>
      <c r="V172" s="182">
        <v>2</v>
      </c>
      <c r="W172" s="182">
        <v>2</v>
      </c>
      <c r="X172" s="183">
        <v>35</v>
      </c>
      <c r="Y172" s="181">
        <v>685</v>
      </c>
      <c r="Z172" s="183">
        <v>407</v>
      </c>
      <c r="AA172" s="181">
        <v>731</v>
      </c>
      <c r="AB172" s="183">
        <v>401</v>
      </c>
      <c r="AC172" s="181">
        <v>794</v>
      </c>
      <c r="AD172" s="183">
        <v>493</v>
      </c>
      <c r="AE172" s="181">
        <v>1521</v>
      </c>
      <c r="AF172" s="182">
        <v>1046</v>
      </c>
      <c r="AG172" s="183">
        <v>100</v>
      </c>
      <c r="AH172" s="133">
        <v>6.7153284671532851E-2</v>
      </c>
      <c r="AI172" s="19">
        <v>0.15912408759124089</v>
      </c>
      <c r="AJ172" s="19">
        <v>8.6183310533515731E-2</v>
      </c>
      <c r="AK172" s="19">
        <v>-1.4742014742014743E-2</v>
      </c>
      <c r="AL172" s="19">
        <v>0.2113022113022113</v>
      </c>
      <c r="AM172" s="19">
        <v>0.22942643391521197</v>
      </c>
      <c r="AN172" s="20">
        <v>0.40407124681933843</v>
      </c>
      <c r="AO172" s="19">
        <v>0.2508905852417303</v>
      </c>
      <c r="AP172" s="19">
        <v>0.53231552162849871</v>
      </c>
      <c r="AQ172" s="19">
        <v>5.0890585241730277E-2</v>
      </c>
      <c r="AR172" s="19">
        <v>1.2066365007541479E-2</v>
      </c>
      <c r="AS172" s="133">
        <v>2.0356234096692113E-2</v>
      </c>
      <c r="AT172" s="21">
        <v>-5.0890585241730279E-4</v>
      </c>
      <c r="AU172" s="16">
        <v>315</v>
      </c>
      <c r="AV172" s="16">
        <v>330</v>
      </c>
      <c r="AW172" s="17">
        <v>339</v>
      </c>
      <c r="AX172" s="133">
        <v>4.7619047619047616E-2</v>
      </c>
      <c r="AY172" s="19">
        <v>7.6190476190476197E-2</v>
      </c>
      <c r="AZ172" s="21">
        <v>2.7272727272727271E-2</v>
      </c>
      <c r="BA172" s="15">
        <v>28</v>
      </c>
      <c r="BB172" s="17">
        <v>23.5</v>
      </c>
      <c r="BC172" s="15">
        <v>3</v>
      </c>
      <c r="BD172" s="17">
        <v>4</v>
      </c>
      <c r="BE172" s="15">
        <v>470</v>
      </c>
      <c r="BF172" s="16">
        <v>794</v>
      </c>
      <c r="BG172" s="19">
        <v>0.59193954659949621</v>
      </c>
      <c r="BH172" s="16">
        <v>211</v>
      </c>
      <c r="BI172" s="16">
        <v>339</v>
      </c>
      <c r="BJ172" s="21">
        <v>0.6224188790560472</v>
      </c>
    </row>
    <row r="173" spans="1:62" x14ac:dyDescent="0.25">
      <c r="A173" s="22"/>
      <c r="B173" s="23"/>
      <c r="C173" s="23"/>
      <c r="D173" s="23" t="s">
        <v>195</v>
      </c>
      <c r="E173" s="24"/>
      <c r="F173" s="184">
        <v>27</v>
      </c>
      <c r="G173" s="185">
        <v>23</v>
      </c>
      <c r="H173" s="186">
        <v>0</v>
      </c>
      <c r="I173" s="186">
        <v>23</v>
      </c>
      <c r="J173" s="187">
        <v>0</v>
      </c>
      <c r="K173" s="185">
        <v>0</v>
      </c>
      <c r="L173" s="186">
        <v>0</v>
      </c>
      <c r="M173" s="186">
        <v>0</v>
      </c>
      <c r="N173" s="186">
        <v>0</v>
      </c>
      <c r="O173" s="186">
        <v>4</v>
      </c>
      <c r="P173" s="186">
        <v>0</v>
      </c>
      <c r="Q173" s="186">
        <v>0</v>
      </c>
      <c r="R173" s="187">
        <v>0</v>
      </c>
      <c r="S173" s="184">
        <v>4</v>
      </c>
      <c r="T173" s="185"/>
      <c r="U173" s="186"/>
      <c r="V173" s="186"/>
      <c r="W173" s="186"/>
      <c r="X173" s="187"/>
      <c r="Y173" s="185">
        <v>4</v>
      </c>
      <c r="Z173" s="187">
        <v>4</v>
      </c>
      <c r="AA173" s="185">
        <v>25</v>
      </c>
      <c r="AB173" s="187">
        <v>11</v>
      </c>
      <c r="AC173" s="185">
        <v>24</v>
      </c>
      <c r="AD173" s="187">
        <v>18</v>
      </c>
      <c r="AE173" s="185">
        <v>8</v>
      </c>
      <c r="AF173" s="186">
        <v>7</v>
      </c>
      <c r="AG173" s="187">
        <v>0</v>
      </c>
      <c r="AH173" s="135">
        <v>5.25</v>
      </c>
      <c r="AI173" s="26">
        <v>5</v>
      </c>
      <c r="AJ173" s="26">
        <v>-0.04</v>
      </c>
      <c r="AK173" s="26">
        <v>1.75</v>
      </c>
      <c r="AL173" s="26">
        <v>3.5</v>
      </c>
      <c r="AM173" s="26">
        <v>0.63636363636363635</v>
      </c>
      <c r="AN173" s="27">
        <v>1.0434782608695652</v>
      </c>
      <c r="AO173" s="26">
        <v>0.78260869565217395</v>
      </c>
      <c r="AP173" s="26">
        <v>0.30434782608695654</v>
      </c>
      <c r="AQ173" s="26">
        <v>0</v>
      </c>
      <c r="AR173" s="26">
        <v>0</v>
      </c>
      <c r="AS173" s="135">
        <v>0.17391304347826086</v>
      </c>
      <c r="AT173" s="28">
        <v>0.17391304347826086</v>
      </c>
      <c r="AU173" s="23">
        <v>4</v>
      </c>
      <c r="AV173" s="23">
        <v>14</v>
      </c>
      <c r="AW173" s="24">
        <v>8</v>
      </c>
      <c r="AX173" s="135">
        <v>2.5</v>
      </c>
      <c r="AY173" s="26">
        <v>1</v>
      </c>
      <c r="AZ173" s="28">
        <v>-0.42857142857142855</v>
      </c>
      <c r="BA173" s="22">
        <v>25</v>
      </c>
      <c r="BB173" s="24">
        <v>38</v>
      </c>
      <c r="BC173" s="22">
        <v>3</v>
      </c>
      <c r="BD173" s="24">
        <v>1</v>
      </c>
      <c r="BE173" s="22">
        <v>18</v>
      </c>
      <c r="BF173" s="23">
        <v>24</v>
      </c>
      <c r="BG173" s="26">
        <v>0.75</v>
      </c>
      <c r="BH173" s="23">
        <v>5</v>
      </c>
      <c r="BI173" s="23">
        <v>8</v>
      </c>
      <c r="BJ173" s="28">
        <v>0.625</v>
      </c>
    </row>
    <row r="174" spans="1:62" x14ac:dyDescent="0.25">
      <c r="A174" s="29"/>
      <c r="B174" s="30"/>
      <c r="C174" s="30"/>
      <c r="D174" s="30"/>
      <c r="E174" s="31" t="s">
        <v>97</v>
      </c>
      <c r="F174" s="188">
        <v>27</v>
      </c>
      <c r="G174" s="189">
        <v>23</v>
      </c>
      <c r="H174" s="190">
        <v>0</v>
      </c>
      <c r="I174" s="190">
        <v>23</v>
      </c>
      <c r="J174" s="191">
        <v>0</v>
      </c>
      <c r="K174" s="189">
        <v>0</v>
      </c>
      <c r="L174" s="190">
        <v>0</v>
      </c>
      <c r="M174" s="190">
        <v>0</v>
      </c>
      <c r="N174" s="190">
        <v>0</v>
      </c>
      <c r="O174" s="190">
        <v>4</v>
      </c>
      <c r="P174" s="190">
        <v>0</v>
      </c>
      <c r="Q174" s="190">
        <v>0</v>
      </c>
      <c r="R174" s="191">
        <v>0</v>
      </c>
      <c r="S174" s="188">
        <v>4</v>
      </c>
      <c r="T174" s="189"/>
      <c r="U174" s="190"/>
      <c r="V174" s="190"/>
      <c r="W174" s="190"/>
      <c r="X174" s="191"/>
      <c r="Y174" s="189">
        <v>4</v>
      </c>
      <c r="Z174" s="191">
        <v>4</v>
      </c>
      <c r="AA174" s="189">
        <v>25</v>
      </c>
      <c r="AB174" s="191">
        <v>11</v>
      </c>
      <c r="AC174" s="189">
        <v>24</v>
      </c>
      <c r="AD174" s="191">
        <v>18</v>
      </c>
      <c r="AE174" s="189">
        <v>8</v>
      </c>
      <c r="AF174" s="190">
        <v>7</v>
      </c>
      <c r="AG174" s="191">
        <v>0</v>
      </c>
      <c r="AH174" s="136">
        <v>5.25</v>
      </c>
      <c r="AI174" s="33">
        <v>5</v>
      </c>
      <c r="AJ174" s="33">
        <v>-0.04</v>
      </c>
      <c r="AK174" s="33">
        <v>1.75</v>
      </c>
      <c r="AL174" s="33">
        <v>3.5</v>
      </c>
      <c r="AM174" s="33">
        <v>0.63636363636363635</v>
      </c>
      <c r="AN174" s="34">
        <v>1.0434782608695652</v>
      </c>
      <c r="AO174" s="33">
        <v>0.78260869565217395</v>
      </c>
      <c r="AP174" s="33">
        <v>0.30434782608695654</v>
      </c>
      <c r="AQ174" s="33">
        <v>0</v>
      </c>
      <c r="AR174" s="33">
        <v>0</v>
      </c>
      <c r="AS174" s="136">
        <v>0.17391304347826086</v>
      </c>
      <c r="AT174" s="35">
        <v>0.17391304347826086</v>
      </c>
      <c r="AU174" s="30">
        <v>4</v>
      </c>
      <c r="AV174" s="30">
        <v>14</v>
      </c>
      <c r="AW174" s="31">
        <v>8</v>
      </c>
      <c r="AX174" s="136">
        <v>2.5</v>
      </c>
      <c r="AY174" s="33">
        <v>1</v>
      </c>
      <c r="AZ174" s="35">
        <v>-0.42857142857142855</v>
      </c>
      <c r="BA174" s="29">
        <v>25</v>
      </c>
      <c r="BB174" s="31">
        <v>38</v>
      </c>
      <c r="BC174" s="29">
        <v>3</v>
      </c>
      <c r="BD174" s="31">
        <v>1</v>
      </c>
      <c r="BE174" s="29">
        <v>18</v>
      </c>
      <c r="BF174" s="30">
        <v>24</v>
      </c>
      <c r="BG174" s="33">
        <v>0.75</v>
      </c>
      <c r="BH174" s="30">
        <v>5</v>
      </c>
      <c r="BI174" s="30">
        <v>8</v>
      </c>
      <c r="BJ174" s="35">
        <v>0.625</v>
      </c>
    </row>
    <row r="175" spans="1:62" x14ac:dyDescent="0.25">
      <c r="A175" s="22"/>
      <c r="B175" s="23"/>
      <c r="C175" s="23"/>
      <c r="D175" s="23" t="s">
        <v>196</v>
      </c>
      <c r="E175" s="24"/>
      <c r="F175" s="184">
        <v>351</v>
      </c>
      <c r="G175" s="185">
        <v>341</v>
      </c>
      <c r="H175" s="186">
        <v>5</v>
      </c>
      <c r="I175" s="186">
        <v>346</v>
      </c>
      <c r="J175" s="187">
        <v>0</v>
      </c>
      <c r="K175" s="185">
        <v>0</v>
      </c>
      <c r="L175" s="186">
        <v>0</v>
      </c>
      <c r="M175" s="186">
        <v>1</v>
      </c>
      <c r="N175" s="186">
        <v>0</v>
      </c>
      <c r="O175" s="186">
        <v>4</v>
      </c>
      <c r="P175" s="186">
        <v>0</v>
      </c>
      <c r="Q175" s="186">
        <v>0</v>
      </c>
      <c r="R175" s="187">
        <v>0</v>
      </c>
      <c r="S175" s="184">
        <v>30</v>
      </c>
      <c r="T175" s="185">
        <v>34</v>
      </c>
      <c r="U175" s="186">
        <v>0</v>
      </c>
      <c r="V175" s="186">
        <v>0</v>
      </c>
      <c r="W175" s="186">
        <v>0</v>
      </c>
      <c r="X175" s="187">
        <v>34</v>
      </c>
      <c r="Y175" s="185">
        <v>132</v>
      </c>
      <c r="Z175" s="187">
        <v>69</v>
      </c>
      <c r="AA175" s="185">
        <v>190</v>
      </c>
      <c r="AB175" s="187">
        <v>121</v>
      </c>
      <c r="AC175" s="185">
        <v>237</v>
      </c>
      <c r="AD175" s="187">
        <v>147</v>
      </c>
      <c r="AE175" s="185">
        <v>205</v>
      </c>
      <c r="AF175" s="186">
        <v>134</v>
      </c>
      <c r="AG175" s="187">
        <v>23</v>
      </c>
      <c r="AH175" s="135">
        <v>0.43939393939393939</v>
      </c>
      <c r="AI175" s="26">
        <v>0.79545454545454541</v>
      </c>
      <c r="AJ175" s="26">
        <v>0.24736842105263157</v>
      </c>
      <c r="AK175" s="26">
        <v>0.75362318840579712</v>
      </c>
      <c r="AL175" s="26">
        <v>1.1304347826086956</v>
      </c>
      <c r="AM175" s="26">
        <v>0.21487603305785125</v>
      </c>
      <c r="AN175" s="27">
        <v>0.69501466275659829</v>
      </c>
      <c r="AO175" s="26">
        <v>0.4310850439882698</v>
      </c>
      <c r="AP175" s="26">
        <v>0.39296187683284456</v>
      </c>
      <c r="AQ175" s="26">
        <v>6.7448680351906154E-2</v>
      </c>
      <c r="AR175" s="26">
        <v>0</v>
      </c>
      <c r="AS175" s="135">
        <v>8.797653958944282E-2</v>
      </c>
      <c r="AT175" s="28">
        <v>-1.1730205278592375E-2</v>
      </c>
      <c r="AU175" s="23">
        <v>80</v>
      </c>
      <c r="AV175" s="23">
        <v>82</v>
      </c>
      <c r="AW175" s="24">
        <v>96</v>
      </c>
      <c r="AX175" s="135">
        <v>2.5000000000000001E-2</v>
      </c>
      <c r="AY175" s="26">
        <v>0.2</v>
      </c>
      <c r="AZ175" s="28">
        <v>0.17073170731707318</v>
      </c>
      <c r="BA175" s="22">
        <v>38</v>
      </c>
      <c r="BB175" s="24">
        <v>40.5</v>
      </c>
      <c r="BC175" s="22">
        <v>3</v>
      </c>
      <c r="BD175" s="24">
        <v>5</v>
      </c>
      <c r="BE175" s="22">
        <v>142</v>
      </c>
      <c r="BF175" s="23">
        <v>237</v>
      </c>
      <c r="BG175" s="26">
        <v>0.59915611814345993</v>
      </c>
      <c r="BH175" s="23">
        <v>54</v>
      </c>
      <c r="BI175" s="23">
        <v>96</v>
      </c>
      <c r="BJ175" s="28">
        <v>0.5625</v>
      </c>
    </row>
    <row r="176" spans="1:62" x14ac:dyDescent="0.25">
      <c r="A176" s="29"/>
      <c r="B176" s="30"/>
      <c r="C176" s="30"/>
      <c r="D176" s="30"/>
      <c r="E176" s="31" t="s">
        <v>68</v>
      </c>
      <c r="F176" s="188">
        <v>256</v>
      </c>
      <c r="G176" s="189">
        <v>255</v>
      </c>
      <c r="H176" s="190">
        <v>0</v>
      </c>
      <c r="I176" s="190">
        <v>255</v>
      </c>
      <c r="J176" s="191">
        <v>0</v>
      </c>
      <c r="K176" s="189">
        <v>0</v>
      </c>
      <c r="L176" s="190">
        <v>0</v>
      </c>
      <c r="M176" s="190">
        <v>1</v>
      </c>
      <c r="N176" s="190">
        <v>0</v>
      </c>
      <c r="O176" s="190">
        <v>0</v>
      </c>
      <c r="P176" s="190">
        <v>0</v>
      </c>
      <c r="Q176" s="190">
        <v>0</v>
      </c>
      <c r="R176" s="191">
        <v>0</v>
      </c>
      <c r="S176" s="188">
        <v>1</v>
      </c>
      <c r="T176" s="189"/>
      <c r="U176" s="190"/>
      <c r="V176" s="190"/>
      <c r="W176" s="190"/>
      <c r="X176" s="191"/>
      <c r="Y176" s="189">
        <v>67</v>
      </c>
      <c r="Z176" s="191">
        <v>35</v>
      </c>
      <c r="AA176" s="189">
        <v>118</v>
      </c>
      <c r="AB176" s="191">
        <v>80</v>
      </c>
      <c r="AC176" s="189">
        <v>134</v>
      </c>
      <c r="AD176" s="191">
        <v>87</v>
      </c>
      <c r="AE176" s="189">
        <v>169</v>
      </c>
      <c r="AF176" s="190">
        <v>111</v>
      </c>
      <c r="AG176" s="191">
        <v>14</v>
      </c>
      <c r="AH176" s="136">
        <v>0.76119402985074625</v>
      </c>
      <c r="AI176" s="33">
        <v>1</v>
      </c>
      <c r="AJ176" s="33">
        <v>0.13559322033898305</v>
      </c>
      <c r="AK176" s="33">
        <v>1.2857142857142858</v>
      </c>
      <c r="AL176" s="33">
        <v>1.4857142857142858</v>
      </c>
      <c r="AM176" s="33">
        <v>8.7499999999999994E-2</v>
      </c>
      <c r="AN176" s="34">
        <v>0.52549019607843139</v>
      </c>
      <c r="AO176" s="33">
        <v>0.3411764705882353</v>
      </c>
      <c r="AP176" s="33">
        <v>0.43529411764705883</v>
      </c>
      <c r="AQ176" s="33">
        <v>5.4901960784313725E-2</v>
      </c>
      <c r="AR176" s="33">
        <v>0</v>
      </c>
      <c r="AS176" s="136">
        <v>3.9215686274509803E-3</v>
      </c>
      <c r="AT176" s="35">
        <v>3.9215686274509803E-3</v>
      </c>
      <c r="AU176" s="30">
        <v>45</v>
      </c>
      <c r="AV176" s="30">
        <v>49</v>
      </c>
      <c r="AW176" s="31">
        <v>57</v>
      </c>
      <c r="AX176" s="136">
        <v>8.8888888888888892E-2</v>
      </c>
      <c r="AY176" s="33">
        <v>0.26666666666666666</v>
      </c>
      <c r="AZ176" s="35">
        <v>0.16326530612244897</v>
      </c>
      <c r="BA176" s="29">
        <v>38</v>
      </c>
      <c r="BB176" s="31">
        <v>40</v>
      </c>
      <c r="BC176" s="29">
        <v>3</v>
      </c>
      <c r="BD176" s="31">
        <v>4</v>
      </c>
      <c r="BE176" s="29">
        <v>86</v>
      </c>
      <c r="BF176" s="30">
        <v>134</v>
      </c>
      <c r="BG176" s="33">
        <v>0.64179104477611937</v>
      </c>
      <c r="BH176" s="30">
        <v>30</v>
      </c>
      <c r="BI176" s="30">
        <v>57</v>
      </c>
      <c r="BJ176" s="35">
        <v>0.52631578947368418</v>
      </c>
    </row>
    <row r="177" spans="1:62" x14ac:dyDescent="0.25">
      <c r="A177" s="29"/>
      <c r="B177" s="30"/>
      <c r="C177" s="30"/>
      <c r="D177" s="30"/>
      <c r="E177" s="31" t="s">
        <v>148</v>
      </c>
      <c r="F177" s="188">
        <v>42</v>
      </c>
      <c r="G177" s="189">
        <v>37</v>
      </c>
      <c r="H177" s="190">
        <v>5</v>
      </c>
      <c r="I177" s="190">
        <v>42</v>
      </c>
      <c r="J177" s="191">
        <v>0</v>
      </c>
      <c r="K177" s="189">
        <v>0</v>
      </c>
      <c r="L177" s="190">
        <v>0</v>
      </c>
      <c r="M177" s="190">
        <v>0</v>
      </c>
      <c r="N177" s="190">
        <v>0</v>
      </c>
      <c r="O177" s="190">
        <v>0</v>
      </c>
      <c r="P177" s="190">
        <v>0</v>
      </c>
      <c r="Q177" s="190">
        <v>0</v>
      </c>
      <c r="R177" s="191">
        <v>0</v>
      </c>
      <c r="S177" s="188">
        <v>27</v>
      </c>
      <c r="T177" s="189">
        <v>33</v>
      </c>
      <c r="U177" s="190">
        <v>0</v>
      </c>
      <c r="V177" s="190">
        <v>0</v>
      </c>
      <c r="W177" s="190">
        <v>0</v>
      </c>
      <c r="X177" s="191">
        <v>33</v>
      </c>
      <c r="Y177" s="189">
        <v>23</v>
      </c>
      <c r="Z177" s="191">
        <v>15</v>
      </c>
      <c r="AA177" s="189">
        <v>25</v>
      </c>
      <c r="AB177" s="191">
        <v>17</v>
      </c>
      <c r="AC177" s="189">
        <v>46</v>
      </c>
      <c r="AD177" s="191">
        <v>30</v>
      </c>
      <c r="AE177" s="189">
        <v>14</v>
      </c>
      <c r="AF177" s="190">
        <v>12</v>
      </c>
      <c r="AG177" s="191">
        <v>5</v>
      </c>
      <c r="AH177" s="136">
        <v>8.6956521739130432E-2</v>
      </c>
      <c r="AI177" s="33">
        <v>1</v>
      </c>
      <c r="AJ177" s="33">
        <v>0.84</v>
      </c>
      <c r="AK177" s="33">
        <v>0.13333333333333333</v>
      </c>
      <c r="AL177" s="33">
        <v>1</v>
      </c>
      <c r="AM177" s="33">
        <v>0.76470588235294112</v>
      </c>
      <c r="AN177" s="34">
        <v>1.2432432432432432</v>
      </c>
      <c r="AO177" s="33">
        <v>0.81081081081081086</v>
      </c>
      <c r="AP177" s="33">
        <v>0.32432432432432434</v>
      </c>
      <c r="AQ177" s="33">
        <v>0.13513513513513514</v>
      </c>
      <c r="AR177" s="33">
        <v>0</v>
      </c>
      <c r="AS177" s="136">
        <v>0.72972972972972971</v>
      </c>
      <c r="AT177" s="35">
        <v>-0.16216216216216217</v>
      </c>
      <c r="AU177" s="30">
        <v>17</v>
      </c>
      <c r="AV177" s="30">
        <v>10</v>
      </c>
      <c r="AW177" s="31">
        <v>18</v>
      </c>
      <c r="AX177" s="136">
        <v>-0.41176470588235292</v>
      </c>
      <c r="AY177" s="33">
        <v>5.8823529411764705E-2</v>
      </c>
      <c r="AZ177" s="35">
        <v>0.8</v>
      </c>
      <c r="BA177" s="29">
        <v>38</v>
      </c>
      <c r="BB177" s="31">
        <v>33.5</v>
      </c>
      <c r="BC177" s="29">
        <v>1</v>
      </c>
      <c r="BD177" s="31">
        <v>2.5</v>
      </c>
      <c r="BE177" s="29">
        <v>25</v>
      </c>
      <c r="BF177" s="30">
        <v>46</v>
      </c>
      <c r="BG177" s="33">
        <v>0.54347826086956519</v>
      </c>
      <c r="BH177" s="30">
        <v>13</v>
      </c>
      <c r="BI177" s="30">
        <v>18</v>
      </c>
      <c r="BJ177" s="35">
        <v>0.72222222222222221</v>
      </c>
    </row>
    <row r="178" spans="1:62" x14ac:dyDescent="0.25">
      <c r="A178" s="29"/>
      <c r="B178" s="30"/>
      <c r="C178" s="30"/>
      <c r="D178" s="30"/>
      <c r="E178" s="31" t="s">
        <v>97</v>
      </c>
      <c r="F178" s="188">
        <v>52</v>
      </c>
      <c r="G178" s="189">
        <v>48</v>
      </c>
      <c r="H178" s="190">
        <v>0</v>
      </c>
      <c r="I178" s="190">
        <v>48</v>
      </c>
      <c r="J178" s="191">
        <v>0</v>
      </c>
      <c r="K178" s="189">
        <v>0</v>
      </c>
      <c r="L178" s="190">
        <v>0</v>
      </c>
      <c r="M178" s="190">
        <v>0</v>
      </c>
      <c r="N178" s="190">
        <v>0</v>
      </c>
      <c r="O178" s="190">
        <v>4</v>
      </c>
      <c r="P178" s="190">
        <v>0</v>
      </c>
      <c r="Q178" s="190">
        <v>0</v>
      </c>
      <c r="R178" s="191">
        <v>0</v>
      </c>
      <c r="S178" s="188">
        <v>2</v>
      </c>
      <c r="T178" s="189">
        <v>1</v>
      </c>
      <c r="U178" s="190">
        <v>0</v>
      </c>
      <c r="V178" s="190">
        <v>0</v>
      </c>
      <c r="W178" s="190">
        <v>0</v>
      </c>
      <c r="X178" s="191">
        <v>1</v>
      </c>
      <c r="Y178" s="189">
        <v>42</v>
      </c>
      <c r="Z178" s="191">
        <v>19</v>
      </c>
      <c r="AA178" s="189">
        <v>47</v>
      </c>
      <c r="AB178" s="191">
        <v>24</v>
      </c>
      <c r="AC178" s="189">
        <v>55</v>
      </c>
      <c r="AD178" s="191">
        <v>29</v>
      </c>
      <c r="AE178" s="189">
        <v>22</v>
      </c>
      <c r="AF178" s="190">
        <v>11</v>
      </c>
      <c r="AG178" s="191">
        <v>4</v>
      </c>
      <c r="AH178" s="136">
        <v>0.11904761904761904</v>
      </c>
      <c r="AI178" s="33">
        <v>0.30952380952380953</v>
      </c>
      <c r="AJ178" s="33">
        <v>0.1702127659574468</v>
      </c>
      <c r="AK178" s="33">
        <v>0.26315789473684209</v>
      </c>
      <c r="AL178" s="33">
        <v>0.52631578947368418</v>
      </c>
      <c r="AM178" s="33">
        <v>0.20833333333333334</v>
      </c>
      <c r="AN178" s="34">
        <v>1.1458333333333333</v>
      </c>
      <c r="AO178" s="33">
        <v>0.60416666666666663</v>
      </c>
      <c r="AP178" s="33">
        <v>0.22916666666666666</v>
      </c>
      <c r="AQ178" s="33">
        <v>8.3333333333333329E-2</v>
      </c>
      <c r="AR178" s="33">
        <v>0</v>
      </c>
      <c r="AS178" s="136">
        <v>4.1666666666666664E-2</v>
      </c>
      <c r="AT178" s="35">
        <v>2.0833333333333332E-2</v>
      </c>
      <c r="AU178" s="30">
        <v>29</v>
      </c>
      <c r="AV178" s="30">
        <v>31</v>
      </c>
      <c r="AW178" s="31">
        <v>35</v>
      </c>
      <c r="AX178" s="136">
        <v>6.8965517241379309E-2</v>
      </c>
      <c r="AY178" s="33">
        <v>0.20689655172413793</v>
      </c>
      <c r="AZ178" s="35">
        <v>0.12903225806451613</v>
      </c>
      <c r="BA178" s="29">
        <v>47</v>
      </c>
      <c r="BB178" s="31">
        <v>45</v>
      </c>
      <c r="BC178" s="29">
        <v>6</v>
      </c>
      <c r="BD178" s="31">
        <v>6</v>
      </c>
      <c r="BE178" s="29">
        <v>30</v>
      </c>
      <c r="BF178" s="30">
        <v>55</v>
      </c>
      <c r="BG178" s="33">
        <v>0.54545454545454541</v>
      </c>
      <c r="BH178" s="30">
        <v>18</v>
      </c>
      <c r="BI178" s="30">
        <v>35</v>
      </c>
      <c r="BJ178" s="35">
        <v>0.51428571428571423</v>
      </c>
    </row>
    <row r="179" spans="1:62" x14ac:dyDescent="0.25">
      <c r="A179" s="22"/>
      <c r="B179" s="23"/>
      <c r="C179" s="23"/>
      <c r="D179" s="23" t="s">
        <v>197</v>
      </c>
      <c r="E179" s="24"/>
      <c r="F179" s="184">
        <v>194</v>
      </c>
      <c r="G179" s="185">
        <v>192</v>
      </c>
      <c r="H179" s="186">
        <v>0</v>
      </c>
      <c r="I179" s="186">
        <v>192</v>
      </c>
      <c r="J179" s="187">
        <v>0</v>
      </c>
      <c r="K179" s="185">
        <v>0</v>
      </c>
      <c r="L179" s="186">
        <v>0</v>
      </c>
      <c r="M179" s="186">
        <v>2</v>
      </c>
      <c r="N179" s="186">
        <v>0</v>
      </c>
      <c r="O179" s="186">
        <v>0</v>
      </c>
      <c r="P179" s="186">
        <v>0</v>
      </c>
      <c r="Q179" s="186">
        <v>0</v>
      </c>
      <c r="R179" s="187">
        <v>0</v>
      </c>
      <c r="S179" s="184">
        <v>0</v>
      </c>
      <c r="T179" s="185"/>
      <c r="U179" s="186"/>
      <c r="V179" s="186"/>
      <c r="W179" s="186"/>
      <c r="X179" s="187"/>
      <c r="Y179" s="185">
        <v>0</v>
      </c>
      <c r="Z179" s="187">
        <v>0</v>
      </c>
      <c r="AA179" s="185">
        <v>0</v>
      </c>
      <c r="AB179" s="187">
        <v>0</v>
      </c>
      <c r="AC179" s="185">
        <v>62</v>
      </c>
      <c r="AD179" s="187">
        <v>45</v>
      </c>
      <c r="AE179" s="185">
        <v>147</v>
      </c>
      <c r="AF179" s="186">
        <v>58</v>
      </c>
      <c r="AG179" s="187">
        <v>7</v>
      </c>
      <c r="AH179" s="135"/>
      <c r="AI179" s="26"/>
      <c r="AJ179" s="26"/>
      <c r="AK179" s="26"/>
      <c r="AL179" s="26"/>
      <c r="AM179" s="26"/>
      <c r="AN179" s="27">
        <v>0.32291666666666669</v>
      </c>
      <c r="AO179" s="26">
        <v>0.234375</v>
      </c>
      <c r="AP179" s="26">
        <v>0.30208333333333331</v>
      </c>
      <c r="AQ179" s="26">
        <v>3.6458333333333336E-2</v>
      </c>
      <c r="AR179" s="26">
        <v>0</v>
      </c>
      <c r="AS179" s="135">
        <v>0</v>
      </c>
      <c r="AT179" s="28">
        <v>0</v>
      </c>
      <c r="AU179" s="23">
        <v>0</v>
      </c>
      <c r="AV179" s="23">
        <v>0</v>
      </c>
      <c r="AW179" s="24">
        <v>26</v>
      </c>
      <c r="AX179" s="135"/>
      <c r="AY179" s="26"/>
      <c r="AZ179" s="28"/>
      <c r="BA179" s="22">
        <v>47</v>
      </c>
      <c r="BB179" s="24">
        <v>48</v>
      </c>
      <c r="BC179" s="22">
        <v>3</v>
      </c>
      <c r="BD179" s="24">
        <v>4.5</v>
      </c>
      <c r="BE179" s="22">
        <v>33</v>
      </c>
      <c r="BF179" s="23">
        <v>62</v>
      </c>
      <c r="BG179" s="26">
        <v>0.532258064516129</v>
      </c>
      <c r="BH179" s="23">
        <v>14</v>
      </c>
      <c r="BI179" s="23">
        <v>26</v>
      </c>
      <c r="BJ179" s="28">
        <v>0.53846153846153844</v>
      </c>
    </row>
    <row r="180" spans="1:62" x14ac:dyDescent="0.25">
      <c r="A180" s="29"/>
      <c r="B180" s="30"/>
      <c r="C180" s="30"/>
      <c r="D180" s="30"/>
      <c r="E180" s="31" t="s">
        <v>97</v>
      </c>
      <c r="F180" s="188">
        <v>194</v>
      </c>
      <c r="G180" s="189">
        <v>192</v>
      </c>
      <c r="H180" s="190">
        <v>0</v>
      </c>
      <c r="I180" s="190">
        <v>192</v>
      </c>
      <c r="J180" s="191">
        <v>0</v>
      </c>
      <c r="K180" s="189">
        <v>0</v>
      </c>
      <c r="L180" s="190">
        <v>0</v>
      </c>
      <c r="M180" s="190">
        <v>2</v>
      </c>
      <c r="N180" s="190">
        <v>0</v>
      </c>
      <c r="O180" s="190">
        <v>0</v>
      </c>
      <c r="P180" s="190">
        <v>0</v>
      </c>
      <c r="Q180" s="190">
        <v>0</v>
      </c>
      <c r="R180" s="191">
        <v>0</v>
      </c>
      <c r="S180" s="188">
        <v>0</v>
      </c>
      <c r="T180" s="189"/>
      <c r="U180" s="190"/>
      <c r="V180" s="190"/>
      <c r="W180" s="190"/>
      <c r="X180" s="191"/>
      <c r="Y180" s="189">
        <v>0</v>
      </c>
      <c r="Z180" s="191">
        <v>0</v>
      </c>
      <c r="AA180" s="189">
        <v>0</v>
      </c>
      <c r="AB180" s="191">
        <v>0</v>
      </c>
      <c r="AC180" s="189">
        <v>62</v>
      </c>
      <c r="AD180" s="191">
        <v>45</v>
      </c>
      <c r="AE180" s="189">
        <v>147</v>
      </c>
      <c r="AF180" s="190">
        <v>58</v>
      </c>
      <c r="AG180" s="191">
        <v>7</v>
      </c>
      <c r="AH180" s="136"/>
      <c r="AI180" s="33"/>
      <c r="AJ180" s="33"/>
      <c r="AK180" s="33"/>
      <c r="AL180" s="33"/>
      <c r="AM180" s="33"/>
      <c r="AN180" s="34">
        <v>0.32291666666666669</v>
      </c>
      <c r="AO180" s="33">
        <v>0.234375</v>
      </c>
      <c r="AP180" s="33">
        <v>0.30208333333333331</v>
      </c>
      <c r="AQ180" s="33">
        <v>3.6458333333333336E-2</v>
      </c>
      <c r="AR180" s="33">
        <v>0</v>
      </c>
      <c r="AS180" s="136">
        <v>0</v>
      </c>
      <c r="AT180" s="35">
        <v>0</v>
      </c>
      <c r="AU180" s="30">
        <v>0</v>
      </c>
      <c r="AV180" s="30">
        <v>0</v>
      </c>
      <c r="AW180" s="31">
        <v>26</v>
      </c>
      <c r="AX180" s="136"/>
      <c r="AY180" s="33"/>
      <c r="AZ180" s="35"/>
      <c r="BA180" s="29">
        <v>47</v>
      </c>
      <c r="BB180" s="31">
        <v>48</v>
      </c>
      <c r="BC180" s="29">
        <v>3</v>
      </c>
      <c r="BD180" s="31">
        <v>4.5</v>
      </c>
      <c r="BE180" s="29">
        <v>33</v>
      </c>
      <c r="BF180" s="30">
        <v>62</v>
      </c>
      <c r="BG180" s="33">
        <v>0.532258064516129</v>
      </c>
      <c r="BH180" s="30">
        <v>14</v>
      </c>
      <c r="BI180" s="30">
        <v>26</v>
      </c>
      <c r="BJ180" s="35">
        <v>0.53846153846153844</v>
      </c>
    </row>
    <row r="181" spans="1:62" x14ac:dyDescent="0.25">
      <c r="A181" s="22"/>
      <c r="B181" s="23"/>
      <c r="C181" s="23"/>
      <c r="D181" s="23" t="s">
        <v>198</v>
      </c>
      <c r="E181" s="24"/>
      <c r="F181" s="184">
        <v>73</v>
      </c>
      <c r="G181" s="185">
        <v>72</v>
      </c>
      <c r="H181" s="186">
        <v>0</v>
      </c>
      <c r="I181" s="186">
        <v>72</v>
      </c>
      <c r="J181" s="187">
        <v>0</v>
      </c>
      <c r="K181" s="185">
        <v>0</v>
      </c>
      <c r="L181" s="186">
        <v>0</v>
      </c>
      <c r="M181" s="186">
        <v>0</v>
      </c>
      <c r="N181" s="186">
        <v>0</v>
      </c>
      <c r="O181" s="186">
        <v>1</v>
      </c>
      <c r="P181" s="186">
        <v>0</v>
      </c>
      <c r="Q181" s="186">
        <v>0</v>
      </c>
      <c r="R181" s="187">
        <v>0</v>
      </c>
      <c r="S181" s="184">
        <v>0</v>
      </c>
      <c r="T181" s="185"/>
      <c r="U181" s="186"/>
      <c r="V181" s="186"/>
      <c r="W181" s="186"/>
      <c r="X181" s="187"/>
      <c r="Y181" s="185">
        <v>9</v>
      </c>
      <c r="Z181" s="187">
        <v>4</v>
      </c>
      <c r="AA181" s="185">
        <v>12</v>
      </c>
      <c r="AB181" s="187">
        <v>8</v>
      </c>
      <c r="AC181" s="185">
        <v>16</v>
      </c>
      <c r="AD181" s="187">
        <v>13</v>
      </c>
      <c r="AE181" s="185">
        <v>59</v>
      </c>
      <c r="AF181" s="186">
        <v>34</v>
      </c>
      <c r="AG181" s="187">
        <v>0</v>
      </c>
      <c r="AH181" s="135">
        <v>0.33333333333333331</v>
      </c>
      <c r="AI181" s="26">
        <v>0.77777777777777779</v>
      </c>
      <c r="AJ181" s="26">
        <v>0.33333333333333331</v>
      </c>
      <c r="AK181" s="26">
        <v>1</v>
      </c>
      <c r="AL181" s="26">
        <v>2.25</v>
      </c>
      <c r="AM181" s="26">
        <v>0.625</v>
      </c>
      <c r="AN181" s="27">
        <v>0.22222222222222221</v>
      </c>
      <c r="AO181" s="26">
        <v>0.18055555555555555</v>
      </c>
      <c r="AP181" s="26">
        <v>0.47222222222222221</v>
      </c>
      <c r="AQ181" s="26">
        <v>0</v>
      </c>
      <c r="AR181" s="26">
        <v>0</v>
      </c>
      <c r="AS181" s="135">
        <v>0</v>
      </c>
      <c r="AT181" s="28">
        <v>0</v>
      </c>
      <c r="AU181" s="23">
        <v>8</v>
      </c>
      <c r="AV181" s="23">
        <v>5</v>
      </c>
      <c r="AW181" s="24">
        <v>13</v>
      </c>
      <c r="AX181" s="135">
        <v>-0.375</v>
      </c>
      <c r="AY181" s="26">
        <v>0.625</v>
      </c>
      <c r="AZ181" s="28">
        <v>1.6</v>
      </c>
      <c r="BA181" s="22">
        <v>26</v>
      </c>
      <c r="BB181" s="24">
        <v>28</v>
      </c>
      <c r="BC181" s="22">
        <v>8.5</v>
      </c>
      <c r="BD181" s="24">
        <v>9</v>
      </c>
      <c r="BE181" s="22">
        <v>8</v>
      </c>
      <c r="BF181" s="23">
        <v>16</v>
      </c>
      <c r="BG181" s="26">
        <v>0.5</v>
      </c>
      <c r="BH181" s="23">
        <v>6</v>
      </c>
      <c r="BI181" s="23">
        <v>13</v>
      </c>
      <c r="BJ181" s="28">
        <v>0.46153846153846156</v>
      </c>
    </row>
    <row r="182" spans="1:62" x14ac:dyDescent="0.25">
      <c r="A182" s="29"/>
      <c r="B182" s="30"/>
      <c r="C182" s="30"/>
      <c r="D182" s="30"/>
      <c r="E182" s="31" t="s">
        <v>68</v>
      </c>
      <c r="F182" s="188">
        <v>73</v>
      </c>
      <c r="G182" s="189">
        <v>72</v>
      </c>
      <c r="H182" s="190">
        <v>0</v>
      </c>
      <c r="I182" s="190">
        <v>72</v>
      </c>
      <c r="J182" s="191">
        <v>0</v>
      </c>
      <c r="K182" s="189">
        <v>0</v>
      </c>
      <c r="L182" s="190">
        <v>0</v>
      </c>
      <c r="M182" s="190">
        <v>0</v>
      </c>
      <c r="N182" s="190">
        <v>0</v>
      </c>
      <c r="O182" s="190">
        <v>1</v>
      </c>
      <c r="P182" s="190">
        <v>0</v>
      </c>
      <c r="Q182" s="190">
        <v>0</v>
      </c>
      <c r="R182" s="191">
        <v>0</v>
      </c>
      <c r="S182" s="188">
        <v>0</v>
      </c>
      <c r="T182" s="189"/>
      <c r="U182" s="190"/>
      <c r="V182" s="190"/>
      <c r="W182" s="190"/>
      <c r="X182" s="191"/>
      <c r="Y182" s="189">
        <v>9</v>
      </c>
      <c r="Z182" s="191">
        <v>4</v>
      </c>
      <c r="AA182" s="189">
        <v>12</v>
      </c>
      <c r="AB182" s="191">
        <v>8</v>
      </c>
      <c r="AC182" s="189">
        <v>16</v>
      </c>
      <c r="AD182" s="191">
        <v>13</v>
      </c>
      <c r="AE182" s="189">
        <v>59</v>
      </c>
      <c r="AF182" s="190">
        <v>34</v>
      </c>
      <c r="AG182" s="191">
        <v>0</v>
      </c>
      <c r="AH182" s="136">
        <v>0.33333333333333331</v>
      </c>
      <c r="AI182" s="33">
        <v>0.77777777777777779</v>
      </c>
      <c r="AJ182" s="33">
        <v>0.33333333333333331</v>
      </c>
      <c r="AK182" s="33">
        <v>1</v>
      </c>
      <c r="AL182" s="33">
        <v>2.25</v>
      </c>
      <c r="AM182" s="33">
        <v>0.625</v>
      </c>
      <c r="AN182" s="34">
        <v>0.22222222222222221</v>
      </c>
      <c r="AO182" s="33">
        <v>0.18055555555555555</v>
      </c>
      <c r="AP182" s="33">
        <v>0.47222222222222221</v>
      </c>
      <c r="AQ182" s="33">
        <v>0</v>
      </c>
      <c r="AR182" s="33">
        <v>0</v>
      </c>
      <c r="AS182" s="136">
        <v>0</v>
      </c>
      <c r="AT182" s="35">
        <v>0</v>
      </c>
      <c r="AU182" s="30">
        <v>8</v>
      </c>
      <c r="AV182" s="30">
        <v>5</v>
      </c>
      <c r="AW182" s="31">
        <v>13</v>
      </c>
      <c r="AX182" s="136">
        <v>-0.375</v>
      </c>
      <c r="AY182" s="33">
        <v>0.625</v>
      </c>
      <c r="AZ182" s="35">
        <v>1.6</v>
      </c>
      <c r="BA182" s="29">
        <v>26</v>
      </c>
      <c r="BB182" s="31">
        <v>28</v>
      </c>
      <c r="BC182" s="29">
        <v>8.5</v>
      </c>
      <c r="BD182" s="31">
        <v>9</v>
      </c>
      <c r="BE182" s="29">
        <v>8</v>
      </c>
      <c r="BF182" s="30">
        <v>16</v>
      </c>
      <c r="BG182" s="33">
        <v>0.5</v>
      </c>
      <c r="BH182" s="30">
        <v>6</v>
      </c>
      <c r="BI182" s="30">
        <v>13</v>
      </c>
      <c r="BJ182" s="35">
        <v>0.46153846153846156</v>
      </c>
    </row>
    <row r="183" spans="1:62" x14ac:dyDescent="0.25">
      <c r="A183" s="22"/>
      <c r="B183" s="23"/>
      <c r="C183" s="23"/>
      <c r="D183" s="23" t="s">
        <v>199</v>
      </c>
      <c r="E183" s="24"/>
      <c r="F183" s="184">
        <v>1372</v>
      </c>
      <c r="G183" s="185">
        <v>1337</v>
      </c>
      <c r="H183" s="186">
        <v>0</v>
      </c>
      <c r="I183" s="186">
        <v>1221</v>
      </c>
      <c r="J183" s="187">
        <v>116</v>
      </c>
      <c r="K183" s="185">
        <v>0</v>
      </c>
      <c r="L183" s="186">
        <v>0</v>
      </c>
      <c r="M183" s="186">
        <v>3</v>
      </c>
      <c r="N183" s="186">
        <v>1</v>
      </c>
      <c r="O183" s="186">
        <v>5</v>
      </c>
      <c r="P183" s="186">
        <v>0</v>
      </c>
      <c r="Q183" s="186">
        <v>2</v>
      </c>
      <c r="R183" s="187">
        <v>24</v>
      </c>
      <c r="S183" s="184">
        <v>6</v>
      </c>
      <c r="T183" s="185">
        <v>7</v>
      </c>
      <c r="U183" s="186">
        <v>2</v>
      </c>
      <c r="V183" s="186">
        <v>2</v>
      </c>
      <c r="W183" s="186">
        <v>2</v>
      </c>
      <c r="X183" s="187">
        <v>1</v>
      </c>
      <c r="Y183" s="185">
        <v>540</v>
      </c>
      <c r="Z183" s="187">
        <v>330</v>
      </c>
      <c r="AA183" s="185">
        <v>504</v>
      </c>
      <c r="AB183" s="187">
        <v>261</v>
      </c>
      <c r="AC183" s="185">
        <v>455</v>
      </c>
      <c r="AD183" s="187">
        <v>270</v>
      </c>
      <c r="AE183" s="185">
        <v>1102</v>
      </c>
      <c r="AF183" s="186">
        <v>813</v>
      </c>
      <c r="AG183" s="187">
        <v>70</v>
      </c>
      <c r="AH183" s="135">
        <v>-6.6666666666666666E-2</v>
      </c>
      <c r="AI183" s="26">
        <v>-0.15740740740740741</v>
      </c>
      <c r="AJ183" s="26">
        <v>-9.7222222222222224E-2</v>
      </c>
      <c r="AK183" s="26">
        <v>-0.20909090909090908</v>
      </c>
      <c r="AL183" s="26">
        <v>-0.18181818181818182</v>
      </c>
      <c r="AM183" s="26">
        <v>3.4482758620689655E-2</v>
      </c>
      <c r="AN183" s="27">
        <v>0.34031413612565448</v>
      </c>
      <c r="AO183" s="26">
        <v>0.20194465220643232</v>
      </c>
      <c r="AP183" s="26">
        <v>0.60807778608825724</v>
      </c>
      <c r="AQ183" s="26">
        <v>5.2356020942408377E-2</v>
      </c>
      <c r="AR183" s="26">
        <v>1.763409257898604E-2</v>
      </c>
      <c r="AS183" s="135">
        <v>4.4876589379207179E-3</v>
      </c>
      <c r="AT183" s="28">
        <v>-7.4794315632011965E-4</v>
      </c>
      <c r="AU183" s="23">
        <v>244</v>
      </c>
      <c r="AV183" s="23">
        <v>251</v>
      </c>
      <c r="AW183" s="24">
        <v>231</v>
      </c>
      <c r="AX183" s="135">
        <v>2.8688524590163935E-2</v>
      </c>
      <c r="AY183" s="26">
        <v>-5.3278688524590161E-2</v>
      </c>
      <c r="AZ183" s="28">
        <v>-7.9681274900398405E-2</v>
      </c>
      <c r="BA183" s="22">
        <v>22</v>
      </c>
      <c r="BB183" s="24">
        <v>18</v>
      </c>
      <c r="BC183" s="22">
        <v>3</v>
      </c>
      <c r="BD183" s="24">
        <v>4</v>
      </c>
      <c r="BE183" s="22">
        <v>269</v>
      </c>
      <c r="BF183" s="23">
        <v>455</v>
      </c>
      <c r="BG183" s="26">
        <v>0.59120879120879122</v>
      </c>
      <c r="BH183" s="23">
        <v>151</v>
      </c>
      <c r="BI183" s="23">
        <v>231</v>
      </c>
      <c r="BJ183" s="28">
        <v>0.65367965367965364</v>
      </c>
    </row>
    <row r="184" spans="1:62" x14ac:dyDescent="0.25">
      <c r="A184" s="29"/>
      <c r="B184" s="30"/>
      <c r="C184" s="30"/>
      <c r="D184" s="30"/>
      <c r="E184" s="31" t="s">
        <v>68</v>
      </c>
      <c r="F184" s="188">
        <v>1372</v>
      </c>
      <c r="G184" s="189">
        <v>1337</v>
      </c>
      <c r="H184" s="190">
        <v>0</v>
      </c>
      <c r="I184" s="190">
        <v>1221</v>
      </c>
      <c r="J184" s="191">
        <v>116</v>
      </c>
      <c r="K184" s="189">
        <v>0</v>
      </c>
      <c r="L184" s="190">
        <v>0</v>
      </c>
      <c r="M184" s="190">
        <v>3</v>
      </c>
      <c r="N184" s="190">
        <v>1</v>
      </c>
      <c r="O184" s="190">
        <v>5</v>
      </c>
      <c r="P184" s="190">
        <v>0</v>
      </c>
      <c r="Q184" s="190">
        <v>2</v>
      </c>
      <c r="R184" s="191">
        <v>24</v>
      </c>
      <c r="S184" s="188">
        <v>6</v>
      </c>
      <c r="T184" s="189">
        <v>7</v>
      </c>
      <c r="U184" s="190">
        <v>2</v>
      </c>
      <c r="V184" s="190">
        <v>2</v>
      </c>
      <c r="W184" s="190">
        <v>2</v>
      </c>
      <c r="X184" s="191">
        <v>1</v>
      </c>
      <c r="Y184" s="189">
        <v>540</v>
      </c>
      <c r="Z184" s="191">
        <v>330</v>
      </c>
      <c r="AA184" s="189">
        <v>504</v>
      </c>
      <c r="AB184" s="191">
        <v>261</v>
      </c>
      <c r="AC184" s="189">
        <v>455</v>
      </c>
      <c r="AD184" s="191">
        <v>270</v>
      </c>
      <c r="AE184" s="189">
        <v>1102</v>
      </c>
      <c r="AF184" s="190">
        <v>813</v>
      </c>
      <c r="AG184" s="191">
        <v>70</v>
      </c>
      <c r="AH184" s="136">
        <v>-6.6666666666666666E-2</v>
      </c>
      <c r="AI184" s="33">
        <v>-0.15740740740740741</v>
      </c>
      <c r="AJ184" s="33">
        <v>-9.7222222222222224E-2</v>
      </c>
      <c r="AK184" s="33">
        <v>-0.20909090909090908</v>
      </c>
      <c r="AL184" s="33">
        <v>-0.18181818181818182</v>
      </c>
      <c r="AM184" s="33">
        <v>3.4482758620689655E-2</v>
      </c>
      <c r="AN184" s="34">
        <v>0.34031413612565448</v>
      </c>
      <c r="AO184" s="33">
        <v>0.20194465220643232</v>
      </c>
      <c r="AP184" s="33">
        <v>0.60807778608825724</v>
      </c>
      <c r="AQ184" s="33">
        <v>5.2356020942408377E-2</v>
      </c>
      <c r="AR184" s="33">
        <v>1.763409257898604E-2</v>
      </c>
      <c r="AS184" s="136">
        <v>4.4876589379207179E-3</v>
      </c>
      <c r="AT184" s="35">
        <v>-7.4794315632011965E-4</v>
      </c>
      <c r="AU184" s="30">
        <v>244</v>
      </c>
      <c r="AV184" s="30">
        <v>251</v>
      </c>
      <c r="AW184" s="31">
        <v>231</v>
      </c>
      <c r="AX184" s="136">
        <v>2.8688524590163935E-2</v>
      </c>
      <c r="AY184" s="33">
        <v>-5.3278688524590161E-2</v>
      </c>
      <c r="AZ184" s="35">
        <v>-7.9681274900398405E-2</v>
      </c>
      <c r="BA184" s="29">
        <v>22</v>
      </c>
      <c r="BB184" s="31">
        <v>18</v>
      </c>
      <c r="BC184" s="29">
        <v>3</v>
      </c>
      <c r="BD184" s="31">
        <v>4</v>
      </c>
      <c r="BE184" s="29">
        <v>269</v>
      </c>
      <c r="BF184" s="30">
        <v>455</v>
      </c>
      <c r="BG184" s="33">
        <v>0.59120879120879122</v>
      </c>
      <c r="BH184" s="30">
        <v>151</v>
      </c>
      <c r="BI184" s="30">
        <v>231</v>
      </c>
      <c r="BJ184" s="35">
        <v>0.65367965367965364</v>
      </c>
    </row>
    <row r="185" spans="1:62" x14ac:dyDescent="0.25">
      <c r="A185" s="15"/>
      <c r="B185" s="16"/>
      <c r="C185" s="16" t="s">
        <v>200</v>
      </c>
      <c r="D185" s="16"/>
      <c r="E185" s="17"/>
      <c r="F185" s="180">
        <v>35519</v>
      </c>
      <c r="G185" s="181">
        <v>33610</v>
      </c>
      <c r="H185" s="182">
        <v>838</v>
      </c>
      <c r="I185" s="182">
        <v>27364</v>
      </c>
      <c r="J185" s="183">
        <v>7084</v>
      </c>
      <c r="K185" s="181">
        <v>0</v>
      </c>
      <c r="L185" s="182">
        <v>183</v>
      </c>
      <c r="M185" s="182">
        <v>113</v>
      </c>
      <c r="N185" s="182">
        <v>6</v>
      </c>
      <c r="O185" s="182">
        <v>107</v>
      </c>
      <c r="P185" s="182">
        <v>0</v>
      </c>
      <c r="Q185" s="182">
        <v>390</v>
      </c>
      <c r="R185" s="183">
        <v>240</v>
      </c>
      <c r="S185" s="180">
        <v>919</v>
      </c>
      <c r="T185" s="181">
        <v>2610</v>
      </c>
      <c r="U185" s="182">
        <v>5</v>
      </c>
      <c r="V185" s="182">
        <v>347</v>
      </c>
      <c r="W185" s="182">
        <v>43</v>
      </c>
      <c r="X185" s="183">
        <v>2215</v>
      </c>
      <c r="Y185" s="181">
        <v>36966</v>
      </c>
      <c r="Z185" s="183">
        <v>15791</v>
      </c>
      <c r="AA185" s="181">
        <v>31990</v>
      </c>
      <c r="AB185" s="183">
        <v>14357</v>
      </c>
      <c r="AC185" s="181">
        <v>26294</v>
      </c>
      <c r="AD185" s="183">
        <v>11982</v>
      </c>
      <c r="AE185" s="181">
        <v>22500</v>
      </c>
      <c r="AF185" s="182">
        <v>11783</v>
      </c>
      <c r="AG185" s="183">
        <v>1862</v>
      </c>
      <c r="AH185" s="133">
        <v>-0.13461018232970839</v>
      </c>
      <c r="AI185" s="19">
        <v>-0.28869772223123952</v>
      </c>
      <c r="AJ185" s="19">
        <v>-0.17805564238824634</v>
      </c>
      <c r="AK185" s="19">
        <v>-9.0811221581913751E-2</v>
      </c>
      <c r="AL185" s="19">
        <v>-0.24121334937622696</v>
      </c>
      <c r="AM185" s="19">
        <v>-0.16542453158737899</v>
      </c>
      <c r="AN185" s="20">
        <v>0.78232668848556974</v>
      </c>
      <c r="AO185" s="19">
        <v>0.35650104135673905</v>
      </c>
      <c r="AP185" s="19">
        <v>0.35058018446890804</v>
      </c>
      <c r="AQ185" s="19">
        <v>5.5400178518298128E-2</v>
      </c>
      <c r="AR185" s="19">
        <v>7.0901033973412115E-3</v>
      </c>
      <c r="AS185" s="133">
        <v>2.7343052662897948E-2</v>
      </c>
      <c r="AT185" s="21">
        <v>-5.0312407021719727E-2</v>
      </c>
      <c r="AU185" s="16">
        <v>1320</v>
      </c>
      <c r="AV185" s="16">
        <v>1168</v>
      </c>
      <c r="AW185" s="17">
        <v>1084</v>
      </c>
      <c r="AX185" s="133">
        <v>-0.11515151515151516</v>
      </c>
      <c r="AY185" s="19">
        <v>-0.1787878787878788</v>
      </c>
      <c r="AZ185" s="21">
        <v>-7.1917808219178078E-2</v>
      </c>
      <c r="BA185" s="15">
        <v>52</v>
      </c>
      <c r="BB185" s="17">
        <v>44</v>
      </c>
      <c r="BC185" s="15">
        <v>9</v>
      </c>
      <c r="BD185" s="17">
        <v>5</v>
      </c>
      <c r="BE185" s="15">
        <v>15942</v>
      </c>
      <c r="BF185" s="16">
        <v>26294</v>
      </c>
      <c r="BG185" s="19">
        <v>0.60629801475621814</v>
      </c>
      <c r="BH185" s="16">
        <v>691</v>
      </c>
      <c r="BI185" s="16">
        <v>1084</v>
      </c>
      <c r="BJ185" s="21">
        <v>0.63745387453874536</v>
      </c>
    </row>
    <row r="186" spans="1:62" x14ac:dyDescent="0.25">
      <c r="A186" s="22"/>
      <c r="B186" s="23"/>
      <c r="C186" s="23"/>
      <c r="D186" s="23" t="s">
        <v>201</v>
      </c>
      <c r="E186" s="24"/>
      <c r="F186" s="184">
        <v>750</v>
      </c>
      <c r="G186" s="185">
        <v>738</v>
      </c>
      <c r="H186" s="186">
        <v>0</v>
      </c>
      <c r="I186" s="186">
        <v>481</v>
      </c>
      <c r="J186" s="187">
        <v>257</v>
      </c>
      <c r="K186" s="185">
        <v>0</v>
      </c>
      <c r="L186" s="186">
        <v>0</v>
      </c>
      <c r="M186" s="186">
        <v>1</v>
      </c>
      <c r="N186" s="186">
        <v>0</v>
      </c>
      <c r="O186" s="186">
        <v>2</v>
      </c>
      <c r="P186" s="186">
        <v>0</v>
      </c>
      <c r="Q186" s="186">
        <v>6</v>
      </c>
      <c r="R186" s="187">
        <v>2</v>
      </c>
      <c r="S186" s="184">
        <v>32</v>
      </c>
      <c r="T186" s="185">
        <v>23</v>
      </c>
      <c r="U186" s="186">
        <v>0</v>
      </c>
      <c r="V186" s="186">
        <v>4</v>
      </c>
      <c r="W186" s="186">
        <v>0</v>
      </c>
      <c r="X186" s="187">
        <v>19</v>
      </c>
      <c r="Y186" s="185">
        <v>1279</v>
      </c>
      <c r="Z186" s="187">
        <v>483</v>
      </c>
      <c r="AA186" s="185">
        <v>1089</v>
      </c>
      <c r="AB186" s="187">
        <v>439</v>
      </c>
      <c r="AC186" s="185">
        <v>704</v>
      </c>
      <c r="AD186" s="187">
        <v>329</v>
      </c>
      <c r="AE186" s="185">
        <v>417</v>
      </c>
      <c r="AF186" s="186">
        <v>109</v>
      </c>
      <c r="AG186" s="187">
        <v>38</v>
      </c>
      <c r="AH186" s="135">
        <v>-0.1485535574667709</v>
      </c>
      <c r="AI186" s="26">
        <v>-0.44956997654417513</v>
      </c>
      <c r="AJ186" s="26">
        <v>-0.35353535353535354</v>
      </c>
      <c r="AK186" s="26">
        <v>-9.1097308488612833E-2</v>
      </c>
      <c r="AL186" s="26">
        <v>-0.3188405797101449</v>
      </c>
      <c r="AM186" s="26">
        <v>-0.25056947608200458</v>
      </c>
      <c r="AN186" s="27">
        <v>0.95392953929539293</v>
      </c>
      <c r="AO186" s="26">
        <v>0.44579945799457993</v>
      </c>
      <c r="AP186" s="26">
        <v>0.14769647696476965</v>
      </c>
      <c r="AQ186" s="26">
        <v>5.1490514905149054E-2</v>
      </c>
      <c r="AR186" s="26">
        <v>2.7027027027027029E-3</v>
      </c>
      <c r="AS186" s="135">
        <v>4.3360433604336043E-2</v>
      </c>
      <c r="AT186" s="28">
        <v>1.2195121951219513E-2</v>
      </c>
      <c r="AU186" s="23">
        <v>175</v>
      </c>
      <c r="AV186" s="23">
        <v>158</v>
      </c>
      <c r="AW186" s="24">
        <v>156</v>
      </c>
      <c r="AX186" s="135">
        <v>-9.7142857142857142E-2</v>
      </c>
      <c r="AY186" s="26">
        <v>-0.10857142857142857</v>
      </c>
      <c r="AZ186" s="28">
        <v>-1.2658227848101266E-2</v>
      </c>
      <c r="BA186" s="22">
        <v>59</v>
      </c>
      <c r="BB186" s="24">
        <v>54</v>
      </c>
      <c r="BC186" s="22">
        <v>10</v>
      </c>
      <c r="BD186" s="24">
        <v>7</v>
      </c>
      <c r="BE186" s="22">
        <v>323</v>
      </c>
      <c r="BF186" s="23">
        <v>704</v>
      </c>
      <c r="BG186" s="26">
        <v>0.45880681818181818</v>
      </c>
      <c r="BH186" s="23">
        <v>94</v>
      </c>
      <c r="BI186" s="23">
        <v>156</v>
      </c>
      <c r="BJ186" s="28">
        <v>0.60256410256410253</v>
      </c>
    </row>
    <row r="187" spans="1:62" x14ac:dyDescent="0.25">
      <c r="A187" s="29"/>
      <c r="B187" s="30"/>
      <c r="C187" s="30"/>
      <c r="D187" s="30"/>
      <c r="E187" s="31" t="s">
        <v>82</v>
      </c>
      <c r="F187" s="188">
        <v>713</v>
      </c>
      <c r="G187" s="189">
        <v>702</v>
      </c>
      <c r="H187" s="190">
        <v>0</v>
      </c>
      <c r="I187" s="190">
        <v>445</v>
      </c>
      <c r="J187" s="191">
        <v>257</v>
      </c>
      <c r="K187" s="189">
        <v>0</v>
      </c>
      <c r="L187" s="190">
        <v>0</v>
      </c>
      <c r="M187" s="190">
        <v>0</v>
      </c>
      <c r="N187" s="190">
        <v>0</v>
      </c>
      <c r="O187" s="190">
        <v>2</v>
      </c>
      <c r="P187" s="190">
        <v>0</v>
      </c>
      <c r="Q187" s="190">
        <v>6</v>
      </c>
      <c r="R187" s="191">
        <v>2</v>
      </c>
      <c r="S187" s="188">
        <v>29</v>
      </c>
      <c r="T187" s="189">
        <v>19</v>
      </c>
      <c r="U187" s="190">
        <v>0</v>
      </c>
      <c r="V187" s="190">
        <v>4</v>
      </c>
      <c r="W187" s="190">
        <v>0</v>
      </c>
      <c r="X187" s="191">
        <v>15</v>
      </c>
      <c r="Y187" s="189">
        <v>1272</v>
      </c>
      <c r="Z187" s="191">
        <v>476</v>
      </c>
      <c r="AA187" s="189">
        <v>1088</v>
      </c>
      <c r="AB187" s="191">
        <v>438</v>
      </c>
      <c r="AC187" s="189">
        <v>693</v>
      </c>
      <c r="AD187" s="191">
        <v>322</v>
      </c>
      <c r="AE187" s="189">
        <v>387</v>
      </c>
      <c r="AF187" s="190">
        <v>98</v>
      </c>
      <c r="AG187" s="191">
        <v>37</v>
      </c>
      <c r="AH187" s="136">
        <v>-0.14465408805031446</v>
      </c>
      <c r="AI187" s="33">
        <v>-0.455188679245283</v>
      </c>
      <c r="AJ187" s="33">
        <v>-0.36305147058823528</v>
      </c>
      <c r="AK187" s="33">
        <v>-7.9831932773109238E-2</v>
      </c>
      <c r="AL187" s="33">
        <v>-0.3235294117647059</v>
      </c>
      <c r="AM187" s="33">
        <v>-0.26484018264840181</v>
      </c>
      <c r="AN187" s="34">
        <v>0.98717948717948723</v>
      </c>
      <c r="AO187" s="33">
        <v>0.45868945868945871</v>
      </c>
      <c r="AP187" s="33">
        <v>0.1396011396011396</v>
      </c>
      <c r="AQ187" s="33">
        <v>5.2706552706552709E-2</v>
      </c>
      <c r="AR187" s="33">
        <v>2.840909090909091E-3</v>
      </c>
      <c r="AS187" s="136">
        <v>4.1310541310541307E-2</v>
      </c>
      <c r="AT187" s="35">
        <v>1.4245014245014245E-2</v>
      </c>
      <c r="AU187" s="30">
        <v>174</v>
      </c>
      <c r="AV187" s="30">
        <v>158</v>
      </c>
      <c r="AW187" s="31">
        <v>155</v>
      </c>
      <c r="AX187" s="136">
        <v>-9.1954022988505746E-2</v>
      </c>
      <c r="AY187" s="33">
        <v>-0.10919540229885058</v>
      </c>
      <c r="AZ187" s="35">
        <v>-1.8987341772151899E-2</v>
      </c>
      <c r="BA187" s="29">
        <v>59</v>
      </c>
      <c r="BB187" s="31">
        <v>54</v>
      </c>
      <c r="BC187" s="29">
        <v>10</v>
      </c>
      <c r="BD187" s="31">
        <v>7</v>
      </c>
      <c r="BE187" s="29">
        <v>315</v>
      </c>
      <c r="BF187" s="30">
        <v>693</v>
      </c>
      <c r="BG187" s="33">
        <v>0.45454545454545453</v>
      </c>
      <c r="BH187" s="30">
        <v>92</v>
      </c>
      <c r="BI187" s="30">
        <v>155</v>
      </c>
      <c r="BJ187" s="35">
        <v>0.59354838709677415</v>
      </c>
    </row>
    <row r="188" spans="1:62" x14ac:dyDescent="0.25">
      <c r="A188" s="29"/>
      <c r="B188" s="30"/>
      <c r="C188" s="30"/>
      <c r="D188" s="30"/>
      <c r="E188" s="31" t="s">
        <v>68</v>
      </c>
      <c r="F188" s="188">
        <v>13</v>
      </c>
      <c r="G188" s="189">
        <v>12</v>
      </c>
      <c r="H188" s="190">
        <v>0</v>
      </c>
      <c r="I188" s="190">
        <v>12</v>
      </c>
      <c r="J188" s="191">
        <v>0</v>
      </c>
      <c r="K188" s="189">
        <v>0</v>
      </c>
      <c r="L188" s="190">
        <v>0</v>
      </c>
      <c r="M188" s="190">
        <v>1</v>
      </c>
      <c r="N188" s="190">
        <v>0</v>
      </c>
      <c r="O188" s="190">
        <v>0</v>
      </c>
      <c r="P188" s="190">
        <v>0</v>
      </c>
      <c r="Q188" s="190">
        <v>0</v>
      </c>
      <c r="R188" s="191">
        <v>0</v>
      </c>
      <c r="S188" s="188">
        <v>3</v>
      </c>
      <c r="T188" s="189">
        <v>4</v>
      </c>
      <c r="U188" s="190">
        <v>0</v>
      </c>
      <c r="V188" s="190">
        <v>0</v>
      </c>
      <c r="W188" s="190">
        <v>0</v>
      </c>
      <c r="X188" s="191">
        <v>4</v>
      </c>
      <c r="Y188" s="189">
        <v>7</v>
      </c>
      <c r="Z188" s="191">
        <v>7</v>
      </c>
      <c r="AA188" s="189">
        <v>1</v>
      </c>
      <c r="AB188" s="191">
        <v>1</v>
      </c>
      <c r="AC188" s="189">
        <v>8</v>
      </c>
      <c r="AD188" s="191">
        <v>5</v>
      </c>
      <c r="AE188" s="189">
        <v>8</v>
      </c>
      <c r="AF188" s="190">
        <v>4</v>
      </c>
      <c r="AG188" s="191">
        <v>1</v>
      </c>
      <c r="AH188" s="136">
        <v>-0.8571428571428571</v>
      </c>
      <c r="AI188" s="33">
        <v>0.14285714285714285</v>
      </c>
      <c r="AJ188" s="33">
        <v>7</v>
      </c>
      <c r="AK188" s="33">
        <v>-0.8571428571428571</v>
      </c>
      <c r="AL188" s="33">
        <v>-0.2857142857142857</v>
      </c>
      <c r="AM188" s="33">
        <v>4</v>
      </c>
      <c r="AN188" s="34">
        <v>0.66666666666666663</v>
      </c>
      <c r="AO188" s="33">
        <v>0.41666666666666669</v>
      </c>
      <c r="AP188" s="33">
        <v>0.33333333333333331</v>
      </c>
      <c r="AQ188" s="33">
        <v>8.3333333333333329E-2</v>
      </c>
      <c r="AR188" s="33">
        <v>0</v>
      </c>
      <c r="AS188" s="136">
        <v>0.25</v>
      </c>
      <c r="AT188" s="35">
        <v>-8.3333333333333329E-2</v>
      </c>
      <c r="AU188" s="30">
        <v>4</v>
      </c>
      <c r="AV188" s="30">
        <v>1</v>
      </c>
      <c r="AW188" s="31">
        <v>4</v>
      </c>
      <c r="AX188" s="136">
        <v>-0.75</v>
      </c>
      <c r="AY188" s="33">
        <v>0</v>
      </c>
      <c r="AZ188" s="35">
        <v>3</v>
      </c>
      <c r="BA188" s="29">
        <v>61</v>
      </c>
      <c r="BB188" s="31">
        <v>58</v>
      </c>
      <c r="BC188" s="29">
        <v>6.5</v>
      </c>
      <c r="BD188" s="31">
        <v>11</v>
      </c>
      <c r="BE188" s="29">
        <v>6</v>
      </c>
      <c r="BF188" s="30">
        <v>8</v>
      </c>
      <c r="BG188" s="33">
        <v>0.75</v>
      </c>
      <c r="BH188" s="30">
        <v>2</v>
      </c>
      <c r="BI188" s="30">
        <v>4</v>
      </c>
      <c r="BJ188" s="35">
        <v>0.5</v>
      </c>
    </row>
    <row r="189" spans="1:62" x14ac:dyDescent="0.25">
      <c r="A189" s="29"/>
      <c r="B189" s="30"/>
      <c r="C189" s="30"/>
      <c r="D189" s="30"/>
      <c r="E189" s="31" t="s">
        <v>97</v>
      </c>
      <c r="F189" s="188">
        <v>22</v>
      </c>
      <c r="G189" s="189">
        <v>22</v>
      </c>
      <c r="H189" s="190">
        <v>0</v>
      </c>
      <c r="I189" s="190">
        <v>22</v>
      </c>
      <c r="J189" s="191">
        <v>0</v>
      </c>
      <c r="K189" s="189">
        <v>0</v>
      </c>
      <c r="L189" s="190">
        <v>0</v>
      </c>
      <c r="M189" s="190">
        <v>0</v>
      </c>
      <c r="N189" s="190">
        <v>0</v>
      </c>
      <c r="O189" s="190">
        <v>0</v>
      </c>
      <c r="P189" s="190">
        <v>0</v>
      </c>
      <c r="Q189" s="190">
        <v>0</v>
      </c>
      <c r="R189" s="191">
        <v>0</v>
      </c>
      <c r="S189" s="188">
        <v>0</v>
      </c>
      <c r="T189" s="189"/>
      <c r="U189" s="190"/>
      <c r="V189" s="190"/>
      <c r="W189" s="190"/>
      <c r="X189" s="191"/>
      <c r="Y189" s="189">
        <v>0</v>
      </c>
      <c r="Z189" s="191">
        <v>0</v>
      </c>
      <c r="AA189" s="189">
        <v>0</v>
      </c>
      <c r="AB189" s="191">
        <v>0</v>
      </c>
      <c r="AC189" s="189">
        <v>3</v>
      </c>
      <c r="AD189" s="191">
        <v>2</v>
      </c>
      <c r="AE189" s="189">
        <v>20</v>
      </c>
      <c r="AF189" s="190">
        <v>5</v>
      </c>
      <c r="AG189" s="191">
        <v>0</v>
      </c>
      <c r="AH189" s="136"/>
      <c r="AI189" s="33"/>
      <c r="AJ189" s="33"/>
      <c r="AK189" s="33"/>
      <c r="AL189" s="33"/>
      <c r="AM189" s="33"/>
      <c r="AN189" s="34">
        <v>0.13636363636363635</v>
      </c>
      <c r="AO189" s="33">
        <v>9.0909090909090912E-2</v>
      </c>
      <c r="AP189" s="33">
        <v>0.22727272727272727</v>
      </c>
      <c r="AQ189" s="33">
        <v>0</v>
      </c>
      <c r="AR189" s="33">
        <v>0</v>
      </c>
      <c r="AS189" s="136">
        <v>0</v>
      </c>
      <c r="AT189" s="35">
        <v>0</v>
      </c>
      <c r="AU189" s="30">
        <v>0</v>
      </c>
      <c r="AV189" s="30">
        <v>0</v>
      </c>
      <c r="AW189" s="31">
        <v>3</v>
      </c>
      <c r="AX189" s="136"/>
      <c r="AY189" s="33"/>
      <c r="AZ189" s="35"/>
      <c r="BA189" s="29">
        <v>58</v>
      </c>
      <c r="BB189" s="31">
        <v>58</v>
      </c>
      <c r="BC189" s="29">
        <v>11</v>
      </c>
      <c r="BD189" s="31">
        <v>11</v>
      </c>
      <c r="BE189" s="29">
        <v>2</v>
      </c>
      <c r="BF189" s="30">
        <v>3</v>
      </c>
      <c r="BG189" s="33">
        <v>0.66666666666666663</v>
      </c>
      <c r="BH189" s="30">
        <v>2</v>
      </c>
      <c r="BI189" s="30">
        <v>3</v>
      </c>
      <c r="BJ189" s="35">
        <v>0.66666666666666663</v>
      </c>
    </row>
    <row r="190" spans="1:62" x14ac:dyDescent="0.25">
      <c r="A190" s="22"/>
      <c r="B190" s="23"/>
      <c r="C190" s="23"/>
      <c r="D190" s="23" t="s">
        <v>202</v>
      </c>
      <c r="E190" s="24"/>
      <c r="F190" s="184">
        <v>3564</v>
      </c>
      <c r="G190" s="185">
        <v>3409</v>
      </c>
      <c r="H190" s="186">
        <v>0</v>
      </c>
      <c r="I190" s="186">
        <v>2826</v>
      </c>
      <c r="J190" s="187">
        <v>583</v>
      </c>
      <c r="K190" s="185">
        <v>0</v>
      </c>
      <c r="L190" s="186">
        <v>23</v>
      </c>
      <c r="M190" s="186">
        <v>14</v>
      </c>
      <c r="N190" s="186">
        <v>0</v>
      </c>
      <c r="O190" s="186">
        <v>17</v>
      </c>
      <c r="P190" s="186">
        <v>0</v>
      </c>
      <c r="Q190" s="186">
        <v>45</v>
      </c>
      <c r="R190" s="187">
        <v>43</v>
      </c>
      <c r="S190" s="184">
        <v>159</v>
      </c>
      <c r="T190" s="185">
        <v>287</v>
      </c>
      <c r="U190" s="186">
        <v>2</v>
      </c>
      <c r="V190" s="186">
        <v>37</v>
      </c>
      <c r="W190" s="186">
        <v>9</v>
      </c>
      <c r="X190" s="187">
        <v>239</v>
      </c>
      <c r="Y190" s="185">
        <v>5552</v>
      </c>
      <c r="Z190" s="187">
        <v>2038</v>
      </c>
      <c r="AA190" s="185">
        <v>5708</v>
      </c>
      <c r="AB190" s="187">
        <v>1953</v>
      </c>
      <c r="AC190" s="185">
        <v>5011</v>
      </c>
      <c r="AD190" s="187">
        <v>1799</v>
      </c>
      <c r="AE190" s="185">
        <v>1749</v>
      </c>
      <c r="AF190" s="186">
        <v>578</v>
      </c>
      <c r="AG190" s="187">
        <v>310</v>
      </c>
      <c r="AH190" s="135">
        <v>2.8097982708933718E-2</v>
      </c>
      <c r="AI190" s="26">
        <v>-9.7442363112391933E-2</v>
      </c>
      <c r="AJ190" s="26">
        <v>-0.12210932025227751</v>
      </c>
      <c r="AK190" s="26">
        <v>-4.1707556427870461E-2</v>
      </c>
      <c r="AL190" s="26">
        <v>-0.11727183513248282</v>
      </c>
      <c r="AM190" s="26">
        <v>-7.8853046594982074E-2</v>
      </c>
      <c r="AN190" s="27">
        <v>1.4699325315341742</v>
      </c>
      <c r="AO190" s="26">
        <v>0.52772073921971252</v>
      </c>
      <c r="AP190" s="26">
        <v>0.16955118803168084</v>
      </c>
      <c r="AQ190" s="26">
        <v>9.0935758286887644E-2</v>
      </c>
      <c r="AR190" s="26">
        <v>1.2456546929316338E-2</v>
      </c>
      <c r="AS190" s="135">
        <v>4.6641243766500438E-2</v>
      </c>
      <c r="AT190" s="28">
        <v>-3.7547667937811675E-2</v>
      </c>
      <c r="AU190" s="23">
        <v>605</v>
      </c>
      <c r="AV190" s="23">
        <v>517</v>
      </c>
      <c r="AW190" s="24">
        <v>486</v>
      </c>
      <c r="AX190" s="135">
        <v>-0.14545454545454545</v>
      </c>
      <c r="AY190" s="26">
        <v>-0.19669421487603306</v>
      </c>
      <c r="AZ190" s="28">
        <v>-5.9961315280464215E-2</v>
      </c>
      <c r="BA190" s="22">
        <v>52</v>
      </c>
      <c r="BB190" s="24">
        <v>50</v>
      </c>
      <c r="BC190" s="22">
        <v>13</v>
      </c>
      <c r="BD190" s="24">
        <v>7</v>
      </c>
      <c r="BE190" s="22">
        <v>3444</v>
      </c>
      <c r="BF190" s="23">
        <v>5011</v>
      </c>
      <c r="BG190" s="26">
        <v>0.68728796647375778</v>
      </c>
      <c r="BH190" s="23">
        <v>293</v>
      </c>
      <c r="BI190" s="23">
        <v>486</v>
      </c>
      <c r="BJ190" s="28">
        <v>0.60288065843621397</v>
      </c>
    </row>
    <row r="191" spans="1:62" x14ac:dyDescent="0.25">
      <c r="A191" s="29"/>
      <c r="B191" s="30"/>
      <c r="C191" s="30"/>
      <c r="D191" s="30"/>
      <c r="E191" s="31" t="s">
        <v>82</v>
      </c>
      <c r="F191" s="188">
        <v>3162</v>
      </c>
      <c r="G191" s="189">
        <v>3033</v>
      </c>
      <c r="H191" s="190">
        <v>0</v>
      </c>
      <c r="I191" s="190">
        <v>2450</v>
      </c>
      <c r="J191" s="191">
        <v>583</v>
      </c>
      <c r="K191" s="189">
        <v>0</v>
      </c>
      <c r="L191" s="190">
        <v>23</v>
      </c>
      <c r="M191" s="190">
        <v>12</v>
      </c>
      <c r="N191" s="190">
        <v>0</v>
      </c>
      <c r="O191" s="190">
        <v>10</v>
      </c>
      <c r="P191" s="190">
        <v>0</v>
      </c>
      <c r="Q191" s="190">
        <v>31</v>
      </c>
      <c r="R191" s="191">
        <v>40</v>
      </c>
      <c r="S191" s="188">
        <v>141</v>
      </c>
      <c r="T191" s="189">
        <v>232</v>
      </c>
      <c r="U191" s="190">
        <v>2</v>
      </c>
      <c r="V191" s="190">
        <v>24</v>
      </c>
      <c r="W191" s="190">
        <v>8</v>
      </c>
      <c r="X191" s="191">
        <v>198</v>
      </c>
      <c r="Y191" s="189">
        <v>5409</v>
      </c>
      <c r="Z191" s="191">
        <v>1956</v>
      </c>
      <c r="AA191" s="189">
        <v>5572</v>
      </c>
      <c r="AB191" s="191">
        <v>1885</v>
      </c>
      <c r="AC191" s="189">
        <v>4823</v>
      </c>
      <c r="AD191" s="191">
        <v>1690</v>
      </c>
      <c r="AE191" s="189">
        <v>1457</v>
      </c>
      <c r="AF191" s="190">
        <v>394</v>
      </c>
      <c r="AG191" s="191">
        <v>288</v>
      </c>
      <c r="AH191" s="136">
        <v>3.0134960251432797E-2</v>
      </c>
      <c r="AI191" s="33">
        <v>-0.10833795525975226</v>
      </c>
      <c r="AJ191" s="33">
        <v>-0.13442211055276382</v>
      </c>
      <c r="AK191" s="33">
        <v>-3.6298568507157465E-2</v>
      </c>
      <c r="AL191" s="33">
        <v>-0.1359918200408998</v>
      </c>
      <c r="AM191" s="33">
        <v>-0.10344827586206896</v>
      </c>
      <c r="AN191" s="34">
        <v>1.590174744477415</v>
      </c>
      <c r="AO191" s="33">
        <v>0.55720408836135837</v>
      </c>
      <c r="AP191" s="33">
        <v>0.12990438509726343</v>
      </c>
      <c r="AQ191" s="33">
        <v>9.4955489614243327E-2</v>
      </c>
      <c r="AR191" s="33">
        <v>1.3016596160104133E-2</v>
      </c>
      <c r="AS191" s="136">
        <v>4.6488625123639958E-2</v>
      </c>
      <c r="AT191" s="35">
        <v>-3.0003297065611605E-2</v>
      </c>
      <c r="AU191" s="30">
        <v>557</v>
      </c>
      <c r="AV191" s="30">
        <v>470</v>
      </c>
      <c r="AW191" s="31">
        <v>433</v>
      </c>
      <c r="AX191" s="136">
        <v>-0.15619389587073609</v>
      </c>
      <c r="AY191" s="33">
        <v>-0.22262118491921004</v>
      </c>
      <c r="AZ191" s="35">
        <v>-7.8723404255319152E-2</v>
      </c>
      <c r="BA191" s="29">
        <v>52</v>
      </c>
      <c r="BB191" s="31">
        <v>50</v>
      </c>
      <c r="BC191" s="29">
        <v>13</v>
      </c>
      <c r="BD191" s="31">
        <v>7</v>
      </c>
      <c r="BE191" s="29">
        <v>3319</v>
      </c>
      <c r="BF191" s="30">
        <v>4823</v>
      </c>
      <c r="BG191" s="33">
        <v>0.68816089570806549</v>
      </c>
      <c r="BH191" s="30">
        <v>260</v>
      </c>
      <c r="BI191" s="30">
        <v>433</v>
      </c>
      <c r="BJ191" s="35">
        <v>0.60046189376443415</v>
      </c>
    </row>
    <row r="192" spans="1:62" x14ac:dyDescent="0.25">
      <c r="A192" s="29"/>
      <c r="B192" s="30"/>
      <c r="C192" s="30"/>
      <c r="D192" s="30"/>
      <c r="E192" s="31" t="s">
        <v>203</v>
      </c>
      <c r="F192" s="188">
        <v>94</v>
      </c>
      <c r="G192" s="189">
        <v>94</v>
      </c>
      <c r="H192" s="190">
        <v>0</v>
      </c>
      <c r="I192" s="190">
        <v>94</v>
      </c>
      <c r="J192" s="191">
        <v>0</v>
      </c>
      <c r="K192" s="189">
        <v>0</v>
      </c>
      <c r="L192" s="190">
        <v>0</v>
      </c>
      <c r="M192" s="190">
        <v>0</v>
      </c>
      <c r="N192" s="190">
        <v>0</v>
      </c>
      <c r="O192" s="190">
        <v>0</v>
      </c>
      <c r="P192" s="190">
        <v>0</v>
      </c>
      <c r="Q192" s="190">
        <v>0</v>
      </c>
      <c r="R192" s="191">
        <v>0</v>
      </c>
      <c r="S192" s="188">
        <v>0</v>
      </c>
      <c r="T192" s="189"/>
      <c r="U192" s="190"/>
      <c r="V192" s="190"/>
      <c r="W192" s="190"/>
      <c r="X192" s="191"/>
      <c r="Y192" s="189">
        <v>0</v>
      </c>
      <c r="Z192" s="191">
        <v>0</v>
      </c>
      <c r="AA192" s="189">
        <v>0</v>
      </c>
      <c r="AB192" s="191">
        <v>0</v>
      </c>
      <c r="AC192" s="189">
        <v>0</v>
      </c>
      <c r="AD192" s="191">
        <v>0</v>
      </c>
      <c r="AE192" s="189">
        <v>94</v>
      </c>
      <c r="AF192" s="190">
        <v>93</v>
      </c>
      <c r="AG192" s="191">
        <v>0</v>
      </c>
      <c r="AH192" s="136"/>
      <c r="AI192" s="33"/>
      <c r="AJ192" s="33"/>
      <c r="AK192" s="33"/>
      <c r="AL192" s="33"/>
      <c r="AM192" s="33"/>
      <c r="AN192" s="34">
        <v>0</v>
      </c>
      <c r="AO192" s="33">
        <v>0</v>
      </c>
      <c r="AP192" s="33">
        <v>0.98936170212765961</v>
      </c>
      <c r="AQ192" s="33">
        <v>0</v>
      </c>
      <c r="AR192" s="33">
        <v>0</v>
      </c>
      <c r="AS192" s="136">
        <v>0</v>
      </c>
      <c r="AT192" s="35">
        <v>0</v>
      </c>
      <c r="AU192" s="30">
        <v>0</v>
      </c>
      <c r="AV192" s="30">
        <v>0</v>
      </c>
      <c r="AW192" s="31">
        <v>0</v>
      </c>
      <c r="AX192" s="136"/>
      <c r="AY192" s="33"/>
      <c r="AZ192" s="35"/>
      <c r="BA192" s="29"/>
      <c r="BB192" s="31"/>
      <c r="BC192" s="29"/>
      <c r="BD192" s="31"/>
      <c r="BE192" s="29">
        <v>0</v>
      </c>
      <c r="BF192" s="30">
        <v>0</v>
      </c>
      <c r="BG192" s="33"/>
      <c r="BH192" s="30">
        <v>0</v>
      </c>
      <c r="BI192" s="30">
        <v>0</v>
      </c>
      <c r="BJ192" s="35"/>
    </row>
    <row r="193" spans="1:62" x14ac:dyDescent="0.25">
      <c r="A193" s="29"/>
      <c r="B193" s="30"/>
      <c r="C193" s="30"/>
      <c r="D193" s="30"/>
      <c r="E193" s="31" t="s">
        <v>68</v>
      </c>
      <c r="F193" s="188">
        <v>209</v>
      </c>
      <c r="G193" s="189">
        <v>184</v>
      </c>
      <c r="H193" s="190">
        <v>0</v>
      </c>
      <c r="I193" s="190">
        <v>184</v>
      </c>
      <c r="J193" s="191">
        <v>0</v>
      </c>
      <c r="K193" s="189">
        <v>0</v>
      </c>
      <c r="L193" s="190">
        <v>0</v>
      </c>
      <c r="M193" s="190">
        <v>1</v>
      </c>
      <c r="N193" s="190">
        <v>0</v>
      </c>
      <c r="O193" s="190">
        <v>7</v>
      </c>
      <c r="P193" s="190">
        <v>0</v>
      </c>
      <c r="Q193" s="190">
        <v>14</v>
      </c>
      <c r="R193" s="191">
        <v>3</v>
      </c>
      <c r="S193" s="188">
        <v>10</v>
      </c>
      <c r="T193" s="189">
        <v>54</v>
      </c>
      <c r="U193" s="190">
        <v>0</v>
      </c>
      <c r="V193" s="190">
        <v>13</v>
      </c>
      <c r="W193" s="190">
        <v>0</v>
      </c>
      <c r="X193" s="191">
        <v>41</v>
      </c>
      <c r="Y193" s="189">
        <v>139</v>
      </c>
      <c r="Z193" s="191">
        <v>80</v>
      </c>
      <c r="AA193" s="189">
        <v>129</v>
      </c>
      <c r="AB193" s="191">
        <v>65</v>
      </c>
      <c r="AC193" s="189">
        <v>110</v>
      </c>
      <c r="AD193" s="191">
        <v>60</v>
      </c>
      <c r="AE193" s="189">
        <v>149</v>
      </c>
      <c r="AF193" s="190">
        <v>70</v>
      </c>
      <c r="AG193" s="191">
        <v>9</v>
      </c>
      <c r="AH193" s="136">
        <v>-7.1942446043165464E-2</v>
      </c>
      <c r="AI193" s="33">
        <v>-0.20863309352517986</v>
      </c>
      <c r="AJ193" s="33">
        <v>-0.14728682170542637</v>
      </c>
      <c r="AK193" s="33">
        <v>-0.1875</v>
      </c>
      <c r="AL193" s="33">
        <v>-0.25</v>
      </c>
      <c r="AM193" s="33">
        <v>-7.6923076923076927E-2</v>
      </c>
      <c r="AN193" s="34">
        <v>0.59782608695652173</v>
      </c>
      <c r="AO193" s="33">
        <v>0.32608695652173914</v>
      </c>
      <c r="AP193" s="33">
        <v>0.38043478260869568</v>
      </c>
      <c r="AQ193" s="33">
        <v>4.8913043478260872E-2</v>
      </c>
      <c r="AR193" s="33">
        <v>1.6042780748663103E-2</v>
      </c>
      <c r="AS193" s="136">
        <v>5.434782608695652E-2</v>
      </c>
      <c r="AT193" s="35">
        <v>-0.2391304347826087</v>
      </c>
      <c r="AU193" s="30">
        <v>68</v>
      </c>
      <c r="AV193" s="30">
        <v>65</v>
      </c>
      <c r="AW193" s="31">
        <v>74</v>
      </c>
      <c r="AX193" s="136">
        <v>-4.4117647058823532E-2</v>
      </c>
      <c r="AY193" s="33">
        <v>8.8235294117647065E-2</v>
      </c>
      <c r="AZ193" s="35">
        <v>0.13846153846153847</v>
      </c>
      <c r="BA193" s="29">
        <v>52</v>
      </c>
      <c r="BB193" s="31">
        <v>52</v>
      </c>
      <c r="BC193" s="29">
        <v>9</v>
      </c>
      <c r="BD193" s="31">
        <v>7.5</v>
      </c>
      <c r="BE193" s="29">
        <v>70</v>
      </c>
      <c r="BF193" s="30">
        <v>110</v>
      </c>
      <c r="BG193" s="33">
        <v>0.63636363636363635</v>
      </c>
      <c r="BH193" s="30">
        <v>46</v>
      </c>
      <c r="BI193" s="30">
        <v>74</v>
      </c>
      <c r="BJ193" s="35">
        <v>0.6216216216216216</v>
      </c>
    </row>
    <row r="194" spans="1:62" x14ac:dyDescent="0.25">
      <c r="A194" s="29"/>
      <c r="B194" s="30"/>
      <c r="C194" s="30"/>
      <c r="D194" s="30"/>
      <c r="E194" s="31" t="s">
        <v>97</v>
      </c>
      <c r="F194" s="188">
        <v>97</v>
      </c>
      <c r="G194" s="189">
        <v>96</v>
      </c>
      <c r="H194" s="190">
        <v>0</v>
      </c>
      <c r="I194" s="190">
        <v>96</v>
      </c>
      <c r="J194" s="191">
        <v>0</v>
      </c>
      <c r="K194" s="189">
        <v>0</v>
      </c>
      <c r="L194" s="190">
        <v>0</v>
      </c>
      <c r="M194" s="190">
        <v>1</v>
      </c>
      <c r="N194" s="190">
        <v>0</v>
      </c>
      <c r="O194" s="190">
        <v>0</v>
      </c>
      <c r="P194" s="190">
        <v>0</v>
      </c>
      <c r="Q194" s="190">
        <v>0</v>
      </c>
      <c r="R194" s="191">
        <v>0</v>
      </c>
      <c r="S194" s="188">
        <v>7</v>
      </c>
      <c r="T194" s="189">
        <v>1</v>
      </c>
      <c r="U194" s="190">
        <v>0</v>
      </c>
      <c r="V194" s="190">
        <v>0</v>
      </c>
      <c r="W194" s="190">
        <v>1</v>
      </c>
      <c r="X194" s="191">
        <v>0</v>
      </c>
      <c r="Y194" s="189">
        <v>4</v>
      </c>
      <c r="Z194" s="191">
        <v>2</v>
      </c>
      <c r="AA194" s="189">
        <v>5</v>
      </c>
      <c r="AB194" s="191">
        <v>2</v>
      </c>
      <c r="AC194" s="189">
        <v>78</v>
      </c>
      <c r="AD194" s="191">
        <v>49</v>
      </c>
      <c r="AE194" s="189">
        <v>47</v>
      </c>
      <c r="AF194" s="190">
        <v>20</v>
      </c>
      <c r="AG194" s="191">
        <v>13</v>
      </c>
      <c r="AH194" s="136">
        <v>0.25</v>
      </c>
      <c r="AI194" s="33">
        <v>18.5</v>
      </c>
      <c r="AJ194" s="33">
        <v>14.6</v>
      </c>
      <c r="AK194" s="33">
        <v>0</v>
      </c>
      <c r="AL194" s="33">
        <v>23.5</v>
      </c>
      <c r="AM194" s="33">
        <v>23.5</v>
      </c>
      <c r="AN194" s="34">
        <v>0.8125</v>
      </c>
      <c r="AO194" s="33">
        <v>0.51041666666666663</v>
      </c>
      <c r="AP194" s="33">
        <v>0.20833333333333334</v>
      </c>
      <c r="AQ194" s="33">
        <v>0.13541666666666666</v>
      </c>
      <c r="AR194" s="33">
        <v>0</v>
      </c>
      <c r="AS194" s="136">
        <v>7.2916666666666671E-2</v>
      </c>
      <c r="AT194" s="35">
        <v>6.25E-2</v>
      </c>
      <c r="AU194" s="30">
        <v>4</v>
      </c>
      <c r="AV194" s="30">
        <v>2</v>
      </c>
      <c r="AW194" s="31">
        <v>26</v>
      </c>
      <c r="AX194" s="136">
        <v>-0.5</v>
      </c>
      <c r="AY194" s="33">
        <v>5.5</v>
      </c>
      <c r="AZ194" s="35">
        <v>12</v>
      </c>
      <c r="BA194" s="29">
        <v>65</v>
      </c>
      <c r="BB194" s="31">
        <v>55.5</v>
      </c>
      <c r="BC194" s="29">
        <v>4</v>
      </c>
      <c r="BD194" s="31">
        <v>5</v>
      </c>
      <c r="BE194" s="29">
        <v>55</v>
      </c>
      <c r="BF194" s="30">
        <v>78</v>
      </c>
      <c r="BG194" s="33">
        <v>0.70512820512820518</v>
      </c>
      <c r="BH194" s="30">
        <v>15</v>
      </c>
      <c r="BI194" s="30">
        <v>26</v>
      </c>
      <c r="BJ194" s="35">
        <v>0.57692307692307687</v>
      </c>
    </row>
    <row r="195" spans="1:62" x14ac:dyDescent="0.25">
      <c r="A195" s="22"/>
      <c r="B195" s="23"/>
      <c r="C195" s="23"/>
      <c r="D195" s="23" t="s">
        <v>204</v>
      </c>
      <c r="E195" s="24"/>
      <c r="F195" s="184">
        <v>2750</v>
      </c>
      <c r="G195" s="185">
        <v>2699</v>
      </c>
      <c r="H195" s="186">
        <v>0</v>
      </c>
      <c r="I195" s="186">
        <v>2187</v>
      </c>
      <c r="J195" s="187">
        <v>512</v>
      </c>
      <c r="K195" s="185">
        <v>0</v>
      </c>
      <c r="L195" s="186">
        <v>4</v>
      </c>
      <c r="M195" s="186">
        <v>9</v>
      </c>
      <c r="N195" s="186">
        <v>0</v>
      </c>
      <c r="O195" s="186">
        <v>4</v>
      </c>
      <c r="P195" s="186">
        <v>0</v>
      </c>
      <c r="Q195" s="186">
        <v>23</v>
      </c>
      <c r="R195" s="187">
        <v>10</v>
      </c>
      <c r="S195" s="184">
        <v>84</v>
      </c>
      <c r="T195" s="185">
        <v>265</v>
      </c>
      <c r="U195" s="186">
        <v>1</v>
      </c>
      <c r="V195" s="186">
        <v>18</v>
      </c>
      <c r="W195" s="186">
        <v>4</v>
      </c>
      <c r="X195" s="187">
        <v>242</v>
      </c>
      <c r="Y195" s="185">
        <v>4097</v>
      </c>
      <c r="Z195" s="187">
        <v>1765</v>
      </c>
      <c r="AA195" s="185">
        <v>2553</v>
      </c>
      <c r="AB195" s="187">
        <v>1294</v>
      </c>
      <c r="AC195" s="185">
        <v>2214</v>
      </c>
      <c r="AD195" s="187">
        <v>1128</v>
      </c>
      <c r="AE195" s="185">
        <v>1622</v>
      </c>
      <c r="AF195" s="186">
        <v>450</v>
      </c>
      <c r="AG195" s="187">
        <v>161</v>
      </c>
      <c r="AH195" s="135">
        <v>-0.37686111789113985</v>
      </c>
      <c r="AI195" s="26">
        <v>-0.45960458872345616</v>
      </c>
      <c r="AJ195" s="26">
        <v>-0.13278495887191538</v>
      </c>
      <c r="AK195" s="26">
        <v>-0.26685552407932012</v>
      </c>
      <c r="AL195" s="26">
        <v>-0.36090651558073655</v>
      </c>
      <c r="AM195" s="26">
        <v>-0.12828438948995363</v>
      </c>
      <c r="AN195" s="27">
        <v>0.82030381622823267</v>
      </c>
      <c r="AO195" s="26">
        <v>0.41793256761763614</v>
      </c>
      <c r="AP195" s="26">
        <v>0.16672841793256762</v>
      </c>
      <c r="AQ195" s="26">
        <v>5.9651722860318633E-2</v>
      </c>
      <c r="AR195" s="26">
        <v>3.6913990402362494E-3</v>
      </c>
      <c r="AS195" s="135">
        <v>3.1122638014079287E-2</v>
      </c>
      <c r="AT195" s="28">
        <v>-6.7061874768432755E-2</v>
      </c>
      <c r="AU195" s="23">
        <v>393</v>
      </c>
      <c r="AV195" s="23">
        <v>297</v>
      </c>
      <c r="AW195" s="24">
        <v>287</v>
      </c>
      <c r="AX195" s="135">
        <v>-0.24427480916030533</v>
      </c>
      <c r="AY195" s="26">
        <v>-0.26972010178117051</v>
      </c>
      <c r="AZ195" s="28">
        <v>-3.3670033670033669E-2</v>
      </c>
      <c r="BA195" s="22">
        <v>55</v>
      </c>
      <c r="BB195" s="24">
        <v>50</v>
      </c>
      <c r="BC195" s="22">
        <v>9</v>
      </c>
      <c r="BD195" s="24">
        <v>7</v>
      </c>
      <c r="BE195" s="22">
        <v>1319</v>
      </c>
      <c r="BF195" s="23">
        <v>2214</v>
      </c>
      <c r="BG195" s="26">
        <v>0.5957542908762421</v>
      </c>
      <c r="BH195" s="23">
        <v>174</v>
      </c>
      <c r="BI195" s="23">
        <v>287</v>
      </c>
      <c r="BJ195" s="28">
        <v>0.60627177700348434</v>
      </c>
    </row>
    <row r="196" spans="1:62" x14ac:dyDescent="0.25">
      <c r="A196" s="29"/>
      <c r="B196" s="30"/>
      <c r="C196" s="30"/>
      <c r="D196" s="30"/>
      <c r="E196" s="31" t="s">
        <v>82</v>
      </c>
      <c r="F196" s="188">
        <v>2612</v>
      </c>
      <c r="G196" s="189">
        <v>2565</v>
      </c>
      <c r="H196" s="190">
        <v>0</v>
      </c>
      <c r="I196" s="190">
        <v>2053</v>
      </c>
      <c r="J196" s="191">
        <v>512</v>
      </c>
      <c r="K196" s="189">
        <v>0</v>
      </c>
      <c r="L196" s="190">
        <v>4</v>
      </c>
      <c r="M196" s="190">
        <v>8</v>
      </c>
      <c r="N196" s="190">
        <v>0</v>
      </c>
      <c r="O196" s="190">
        <v>2</v>
      </c>
      <c r="P196" s="190">
        <v>0</v>
      </c>
      <c r="Q196" s="190">
        <v>22</v>
      </c>
      <c r="R196" s="191">
        <v>10</v>
      </c>
      <c r="S196" s="188">
        <v>76</v>
      </c>
      <c r="T196" s="189">
        <v>245</v>
      </c>
      <c r="U196" s="190">
        <v>1</v>
      </c>
      <c r="V196" s="190">
        <v>17</v>
      </c>
      <c r="W196" s="190">
        <v>4</v>
      </c>
      <c r="X196" s="191">
        <v>223</v>
      </c>
      <c r="Y196" s="189">
        <v>4078</v>
      </c>
      <c r="Z196" s="191">
        <v>1753</v>
      </c>
      <c r="AA196" s="189">
        <v>2525</v>
      </c>
      <c r="AB196" s="191">
        <v>1277</v>
      </c>
      <c r="AC196" s="189">
        <v>2156</v>
      </c>
      <c r="AD196" s="191">
        <v>1100</v>
      </c>
      <c r="AE196" s="189">
        <v>1511</v>
      </c>
      <c r="AF196" s="190">
        <v>387</v>
      </c>
      <c r="AG196" s="191">
        <v>159</v>
      </c>
      <c r="AH196" s="136">
        <v>-0.38082393330063757</v>
      </c>
      <c r="AI196" s="33">
        <v>-0.47130946542422758</v>
      </c>
      <c r="AJ196" s="33">
        <v>-0.14613861386138613</v>
      </c>
      <c r="AK196" s="33">
        <v>-0.27153451226468911</v>
      </c>
      <c r="AL196" s="33">
        <v>-0.37250427837992012</v>
      </c>
      <c r="AM196" s="33">
        <v>-0.13860610806577917</v>
      </c>
      <c r="AN196" s="34">
        <v>0.8405458089668616</v>
      </c>
      <c r="AO196" s="33">
        <v>0.42884990253411304</v>
      </c>
      <c r="AP196" s="33">
        <v>0.15087719298245614</v>
      </c>
      <c r="AQ196" s="33">
        <v>6.1988304093567252E-2</v>
      </c>
      <c r="AR196" s="33">
        <v>3.8834951456310678E-3</v>
      </c>
      <c r="AS196" s="136">
        <v>2.9629629629629631E-2</v>
      </c>
      <c r="AT196" s="35">
        <v>-6.5886939571150091E-2</v>
      </c>
      <c r="AU196" s="30">
        <v>389</v>
      </c>
      <c r="AV196" s="30">
        <v>288</v>
      </c>
      <c r="AW196" s="31">
        <v>276</v>
      </c>
      <c r="AX196" s="136">
        <v>-0.25964010282776351</v>
      </c>
      <c r="AY196" s="33">
        <v>-0.29048843187660667</v>
      </c>
      <c r="AZ196" s="35">
        <v>-4.1666666666666664E-2</v>
      </c>
      <c r="BA196" s="29">
        <v>55</v>
      </c>
      <c r="BB196" s="31">
        <v>50</v>
      </c>
      <c r="BC196" s="29">
        <v>9</v>
      </c>
      <c r="BD196" s="31">
        <v>7</v>
      </c>
      <c r="BE196" s="29">
        <v>1286</v>
      </c>
      <c r="BF196" s="30">
        <v>2156</v>
      </c>
      <c r="BG196" s="33">
        <v>0.59647495361781078</v>
      </c>
      <c r="BH196" s="30">
        <v>166</v>
      </c>
      <c r="BI196" s="30">
        <v>276</v>
      </c>
      <c r="BJ196" s="35">
        <v>0.60144927536231885</v>
      </c>
    </row>
    <row r="197" spans="1:62" x14ac:dyDescent="0.25">
      <c r="A197" s="29"/>
      <c r="B197" s="30"/>
      <c r="C197" s="30"/>
      <c r="D197" s="30"/>
      <c r="E197" s="31" t="s">
        <v>68</v>
      </c>
      <c r="F197" s="188">
        <v>59</v>
      </c>
      <c r="G197" s="189">
        <v>56</v>
      </c>
      <c r="H197" s="190">
        <v>0</v>
      </c>
      <c r="I197" s="190">
        <v>56</v>
      </c>
      <c r="J197" s="191">
        <v>0</v>
      </c>
      <c r="K197" s="189">
        <v>0</v>
      </c>
      <c r="L197" s="190">
        <v>0</v>
      </c>
      <c r="M197" s="190">
        <v>0</v>
      </c>
      <c r="N197" s="190">
        <v>0</v>
      </c>
      <c r="O197" s="190">
        <v>2</v>
      </c>
      <c r="P197" s="190">
        <v>0</v>
      </c>
      <c r="Q197" s="190">
        <v>1</v>
      </c>
      <c r="R197" s="191">
        <v>0</v>
      </c>
      <c r="S197" s="188">
        <v>4</v>
      </c>
      <c r="T197" s="189">
        <v>20</v>
      </c>
      <c r="U197" s="190">
        <v>0</v>
      </c>
      <c r="V197" s="190">
        <v>1</v>
      </c>
      <c r="W197" s="190">
        <v>0</v>
      </c>
      <c r="X197" s="191">
        <v>19</v>
      </c>
      <c r="Y197" s="189">
        <v>19</v>
      </c>
      <c r="Z197" s="191">
        <v>12</v>
      </c>
      <c r="AA197" s="189">
        <v>27</v>
      </c>
      <c r="AB197" s="191">
        <v>16</v>
      </c>
      <c r="AC197" s="189">
        <v>21</v>
      </c>
      <c r="AD197" s="191">
        <v>13</v>
      </c>
      <c r="AE197" s="189">
        <v>47</v>
      </c>
      <c r="AF197" s="190">
        <v>28</v>
      </c>
      <c r="AG197" s="191">
        <v>0</v>
      </c>
      <c r="AH197" s="136">
        <v>0.42105263157894735</v>
      </c>
      <c r="AI197" s="33">
        <v>0.10526315789473684</v>
      </c>
      <c r="AJ197" s="33">
        <v>-0.22222222222222221</v>
      </c>
      <c r="AK197" s="33">
        <v>0.33333333333333331</v>
      </c>
      <c r="AL197" s="33">
        <v>8.3333333333333329E-2</v>
      </c>
      <c r="AM197" s="33">
        <v>-0.1875</v>
      </c>
      <c r="AN197" s="34">
        <v>0.375</v>
      </c>
      <c r="AO197" s="33">
        <v>0.23214285714285715</v>
      </c>
      <c r="AP197" s="33">
        <v>0.5</v>
      </c>
      <c r="AQ197" s="33">
        <v>0</v>
      </c>
      <c r="AR197" s="33">
        <v>0</v>
      </c>
      <c r="AS197" s="136">
        <v>7.1428571428571425E-2</v>
      </c>
      <c r="AT197" s="35">
        <v>-0.2857142857142857</v>
      </c>
      <c r="AU197" s="30">
        <v>12</v>
      </c>
      <c r="AV197" s="30">
        <v>17</v>
      </c>
      <c r="AW197" s="31">
        <v>10</v>
      </c>
      <c r="AX197" s="136">
        <v>0.41666666666666669</v>
      </c>
      <c r="AY197" s="33">
        <v>-0.16666666666666666</v>
      </c>
      <c r="AZ197" s="35">
        <v>-0.41176470588235292</v>
      </c>
      <c r="BA197" s="29">
        <v>49</v>
      </c>
      <c r="BB197" s="31">
        <v>46.5</v>
      </c>
      <c r="BC197" s="29">
        <v>10</v>
      </c>
      <c r="BD197" s="31">
        <v>8.5</v>
      </c>
      <c r="BE197" s="29">
        <v>9</v>
      </c>
      <c r="BF197" s="30">
        <v>21</v>
      </c>
      <c r="BG197" s="33">
        <v>0.42857142857142855</v>
      </c>
      <c r="BH197" s="30">
        <v>7</v>
      </c>
      <c r="BI197" s="30">
        <v>10</v>
      </c>
      <c r="BJ197" s="35">
        <v>0.7</v>
      </c>
    </row>
    <row r="198" spans="1:62" x14ac:dyDescent="0.25">
      <c r="A198" s="29"/>
      <c r="B198" s="30"/>
      <c r="C198" s="30"/>
      <c r="D198" s="30"/>
      <c r="E198" s="31" t="s">
        <v>97</v>
      </c>
      <c r="F198" s="188">
        <v>72</v>
      </c>
      <c r="G198" s="189">
        <v>71</v>
      </c>
      <c r="H198" s="190">
        <v>0</v>
      </c>
      <c r="I198" s="190">
        <v>71</v>
      </c>
      <c r="J198" s="191">
        <v>0</v>
      </c>
      <c r="K198" s="189">
        <v>0</v>
      </c>
      <c r="L198" s="190">
        <v>0</v>
      </c>
      <c r="M198" s="190">
        <v>1</v>
      </c>
      <c r="N198" s="190">
        <v>0</v>
      </c>
      <c r="O198" s="190">
        <v>0</v>
      </c>
      <c r="P198" s="190">
        <v>0</v>
      </c>
      <c r="Q198" s="190">
        <v>0</v>
      </c>
      <c r="R198" s="191">
        <v>0</v>
      </c>
      <c r="S198" s="188">
        <v>3</v>
      </c>
      <c r="T198" s="189"/>
      <c r="U198" s="190"/>
      <c r="V198" s="190"/>
      <c r="W198" s="190"/>
      <c r="X198" s="191"/>
      <c r="Y198" s="189">
        <v>0</v>
      </c>
      <c r="Z198" s="191">
        <v>0</v>
      </c>
      <c r="AA198" s="189">
        <v>0</v>
      </c>
      <c r="AB198" s="191">
        <v>0</v>
      </c>
      <c r="AC198" s="189">
        <v>32</v>
      </c>
      <c r="AD198" s="191">
        <v>14</v>
      </c>
      <c r="AE198" s="189">
        <v>58</v>
      </c>
      <c r="AF198" s="190">
        <v>30</v>
      </c>
      <c r="AG198" s="191">
        <v>1</v>
      </c>
      <c r="AH198" s="136"/>
      <c r="AI198" s="33"/>
      <c r="AJ198" s="33"/>
      <c r="AK198" s="33"/>
      <c r="AL198" s="33"/>
      <c r="AM198" s="33"/>
      <c r="AN198" s="34">
        <v>0.45070422535211269</v>
      </c>
      <c r="AO198" s="33">
        <v>0.19718309859154928</v>
      </c>
      <c r="AP198" s="33">
        <v>0.42253521126760563</v>
      </c>
      <c r="AQ198" s="33">
        <v>1.4084507042253521E-2</v>
      </c>
      <c r="AR198" s="33">
        <v>0</v>
      </c>
      <c r="AS198" s="136">
        <v>4.2253521126760563E-2</v>
      </c>
      <c r="AT198" s="35">
        <v>4.2253521126760563E-2</v>
      </c>
      <c r="AU198" s="30">
        <v>0</v>
      </c>
      <c r="AV198" s="30">
        <v>0</v>
      </c>
      <c r="AW198" s="31">
        <v>23</v>
      </c>
      <c r="AX198" s="136"/>
      <c r="AY198" s="33"/>
      <c r="AZ198" s="35"/>
      <c r="BA198" s="29">
        <v>54.5</v>
      </c>
      <c r="BB198" s="31">
        <v>55</v>
      </c>
      <c r="BC198" s="29">
        <v>4</v>
      </c>
      <c r="BD198" s="31">
        <v>4</v>
      </c>
      <c r="BE198" s="29">
        <v>22</v>
      </c>
      <c r="BF198" s="30">
        <v>32</v>
      </c>
      <c r="BG198" s="33">
        <v>0.6875</v>
      </c>
      <c r="BH198" s="30">
        <v>16</v>
      </c>
      <c r="BI198" s="30">
        <v>23</v>
      </c>
      <c r="BJ198" s="35">
        <v>0.69565217391304346</v>
      </c>
    </row>
    <row r="199" spans="1:62" x14ac:dyDescent="0.25">
      <c r="A199" s="22"/>
      <c r="B199" s="23"/>
      <c r="C199" s="23"/>
      <c r="D199" s="23" t="s">
        <v>205</v>
      </c>
      <c r="E199" s="24"/>
      <c r="F199" s="184">
        <v>841</v>
      </c>
      <c r="G199" s="185">
        <v>822</v>
      </c>
      <c r="H199" s="186">
        <v>0</v>
      </c>
      <c r="I199" s="186">
        <v>531</v>
      </c>
      <c r="J199" s="187">
        <v>291</v>
      </c>
      <c r="K199" s="185">
        <v>0</v>
      </c>
      <c r="L199" s="186">
        <v>0</v>
      </c>
      <c r="M199" s="186">
        <v>2</v>
      </c>
      <c r="N199" s="186">
        <v>1</v>
      </c>
      <c r="O199" s="186">
        <v>0</v>
      </c>
      <c r="P199" s="186">
        <v>0</v>
      </c>
      <c r="Q199" s="186">
        <v>14</v>
      </c>
      <c r="R199" s="187">
        <v>1</v>
      </c>
      <c r="S199" s="184">
        <v>22</v>
      </c>
      <c r="T199" s="185">
        <v>48</v>
      </c>
      <c r="U199" s="186">
        <v>0</v>
      </c>
      <c r="V199" s="186">
        <v>14</v>
      </c>
      <c r="W199" s="186">
        <v>0</v>
      </c>
      <c r="X199" s="187">
        <v>34</v>
      </c>
      <c r="Y199" s="185">
        <v>1083</v>
      </c>
      <c r="Z199" s="187">
        <v>431</v>
      </c>
      <c r="AA199" s="185">
        <v>1077</v>
      </c>
      <c r="AB199" s="187">
        <v>446</v>
      </c>
      <c r="AC199" s="185">
        <v>836</v>
      </c>
      <c r="AD199" s="187">
        <v>412</v>
      </c>
      <c r="AE199" s="185">
        <v>426</v>
      </c>
      <c r="AF199" s="186">
        <v>149</v>
      </c>
      <c r="AG199" s="187">
        <v>51</v>
      </c>
      <c r="AH199" s="135">
        <v>-5.5401662049861496E-3</v>
      </c>
      <c r="AI199" s="26">
        <v>-0.22807017543859648</v>
      </c>
      <c r="AJ199" s="26">
        <v>-0.22376973073351902</v>
      </c>
      <c r="AK199" s="26">
        <v>3.4802784222737818E-2</v>
      </c>
      <c r="AL199" s="26">
        <v>-4.4083526682134569E-2</v>
      </c>
      <c r="AM199" s="26">
        <v>-7.623318385650224E-2</v>
      </c>
      <c r="AN199" s="27">
        <v>1.0170316301703164</v>
      </c>
      <c r="AO199" s="26">
        <v>0.5012165450121655</v>
      </c>
      <c r="AP199" s="26">
        <v>0.18126520681265207</v>
      </c>
      <c r="AQ199" s="26">
        <v>6.2043795620437957E-2</v>
      </c>
      <c r="AR199" s="26">
        <v>1.215066828675577E-3</v>
      </c>
      <c r="AS199" s="135">
        <v>2.6763990267639901E-2</v>
      </c>
      <c r="AT199" s="28">
        <v>-3.1630170316301706E-2</v>
      </c>
      <c r="AU199" s="23">
        <v>159</v>
      </c>
      <c r="AV199" s="23">
        <v>131</v>
      </c>
      <c r="AW199" s="24">
        <v>126</v>
      </c>
      <c r="AX199" s="135">
        <v>-0.1761006289308176</v>
      </c>
      <c r="AY199" s="26">
        <v>-0.20754716981132076</v>
      </c>
      <c r="AZ199" s="28">
        <v>-3.8167938931297711E-2</v>
      </c>
      <c r="BA199" s="22">
        <v>48</v>
      </c>
      <c r="BB199" s="24">
        <v>49</v>
      </c>
      <c r="BC199" s="22">
        <v>4.5</v>
      </c>
      <c r="BD199" s="24">
        <v>7</v>
      </c>
      <c r="BE199" s="22">
        <v>536</v>
      </c>
      <c r="BF199" s="23">
        <v>836</v>
      </c>
      <c r="BG199" s="26">
        <v>0.64114832535885169</v>
      </c>
      <c r="BH199" s="23">
        <v>79</v>
      </c>
      <c r="BI199" s="23">
        <v>126</v>
      </c>
      <c r="BJ199" s="28">
        <v>0.62698412698412698</v>
      </c>
    </row>
    <row r="200" spans="1:62" x14ac:dyDescent="0.25">
      <c r="A200" s="29"/>
      <c r="B200" s="30"/>
      <c r="C200" s="30"/>
      <c r="D200" s="30"/>
      <c r="E200" s="31" t="s">
        <v>82</v>
      </c>
      <c r="F200" s="188">
        <v>807</v>
      </c>
      <c r="G200" s="189">
        <v>789</v>
      </c>
      <c r="H200" s="190">
        <v>0</v>
      </c>
      <c r="I200" s="190">
        <v>498</v>
      </c>
      <c r="J200" s="191">
        <v>291</v>
      </c>
      <c r="K200" s="189">
        <v>0</v>
      </c>
      <c r="L200" s="190">
        <v>0</v>
      </c>
      <c r="M200" s="190">
        <v>2</v>
      </c>
      <c r="N200" s="190">
        <v>0</v>
      </c>
      <c r="O200" s="190">
        <v>0</v>
      </c>
      <c r="P200" s="190">
        <v>0</v>
      </c>
      <c r="Q200" s="190">
        <v>14</v>
      </c>
      <c r="R200" s="191">
        <v>1</v>
      </c>
      <c r="S200" s="188">
        <v>22</v>
      </c>
      <c r="T200" s="189">
        <v>48</v>
      </c>
      <c r="U200" s="190">
        <v>0</v>
      </c>
      <c r="V200" s="190">
        <v>14</v>
      </c>
      <c r="W200" s="190">
        <v>0</v>
      </c>
      <c r="X200" s="191">
        <v>34</v>
      </c>
      <c r="Y200" s="189">
        <v>1083</v>
      </c>
      <c r="Z200" s="191">
        <v>431</v>
      </c>
      <c r="AA200" s="189">
        <v>1077</v>
      </c>
      <c r="AB200" s="191">
        <v>446</v>
      </c>
      <c r="AC200" s="189">
        <v>818</v>
      </c>
      <c r="AD200" s="191">
        <v>397</v>
      </c>
      <c r="AE200" s="189">
        <v>407</v>
      </c>
      <c r="AF200" s="190">
        <v>135</v>
      </c>
      <c r="AG200" s="191">
        <v>48</v>
      </c>
      <c r="AH200" s="136">
        <v>-5.5401662049861496E-3</v>
      </c>
      <c r="AI200" s="33">
        <v>-0.24469067405355494</v>
      </c>
      <c r="AJ200" s="33">
        <v>-0.24048282265552459</v>
      </c>
      <c r="AK200" s="33">
        <v>3.4802784222737818E-2</v>
      </c>
      <c r="AL200" s="33">
        <v>-7.8886310904872387E-2</v>
      </c>
      <c r="AM200" s="33">
        <v>-0.10986547085201794</v>
      </c>
      <c r="AN200" s="34">
        <v>1.0367553865652726</v>
      </c>
      <c r="AO200" s="33">
        <v>0.50316856780735109</v>
      </c>
      <c r="AP200" s="33">
        <v>0.17110266159695817</v>
      </c>
      <c r="AQ200" s="33">
        <v>6.0836501901140684E-2</v>
      </c>
      <c r="AR200" s="33">
        <v>1.2658227848101266E-3</v>
      </c>
      <c r="AS200" s="136">
        <v>2.7883396704689482E-2</v>
      </c>
      <c r="AT200" s="35">
        <v>-3.2953105196451206E-2</v>
      </c>
      <c r="AU200" s="30">
        <v>159</v>
      </c>
      <c r="AV200" s="30">
        <v>131</v>
      </c>
      <c r="AW200" s="31">
        <v>124</v>
      </c>
      <c r="AX200" s="136">
        <v>-0.1761006289308176</v>
      </c>
      <c r="AY200" s="33">
        <v>-0.22012578616352202</v>
      </c>
      <c r="AZ200" s="35">
        <v>-5.3435114503816793E-2</v>
      </c>
      <c r="BA200" s="29">
        <v>48</v>
      </c>
      <c r="BB200" s="31">
        <v>49</v>
      </c>
      <c r="BC200" s="29">
        <v>4.5</v>
      </c>
      <c r="BD200" s="31">
        <v>7.5</v>
      </c>
      <c r="BE200" s="29">
        <v>520</v>
      </c>
      <c r="BF200" s="30">
        <v>818</v>
      </c>
      <c r="BG200" s="33">
        <v>0.63569682151589246</v>
      </c>
      <c r="BH200" s="30">
        <v>77</v>
      </c>
      <c r="BI200" s="30">
        <v>124</v>
      </c>
      <c r="BJ200" s="35">
        <v>0.62096774193548387</v>
      </c>
    </row>
    <row r="201" spans="1:62" x14ac:dyDescent="0.25">
      <c r="A201" s="29"/>
      <c r="B201" s="30"/>
      <c r="C201" s="30"/>
      <c r="D201" s="30"/>
      <c r="E201" s="31" t="s">
        <v>97</v>
      </c>
      <c r="F201" s="188">
        <v>34</v>
      </c>
      <c r="G201" s="189">
        <v>33</v>
      </c>
      <c r="H201" s="190">
        <v>0</v>
      </c>
      <c r="I201" s="190">
        <v>33</v>
      </c>
      <c r="J201" s="191">
        <v>0</v>
      </c>
      <c r="K201" s="189">
        <v>0</v>
      </c>
      <c r="L201" s="190">
        <v>0</v>
      </c>
      <c r="M201" s="190">
        <v>0</v>
      </c>
      <c r="N201" s="190">
        <v>1</v>
      </c>
      <c r="O201" s="190">
        <v>0</v>
      </c>
      <c r="P201" s="190">
        <v>0</v>
      </c>
      <c r="Q201" s="190">
        <v>0</v>
      </c>
      <c r="R201" s="191">
        <v>0</v>
      </c>
      <c r="S201" s="188">
        <v>0</v>
      </c>
      <c r="T201" s="189"/>
      <c r="U201" s="190"/>
      <c r="V201" s="190"/>
      <c r="W201" s="190"/>
      <c r="X201" s="191"/>
      <c r="Y201" s="189">
        <v>0</v>
      </c>
      <c r="Z201" s="191">
        <v>0</v>
      </c>
      <c r="AA201" s="189">
        <v>0</v>
      </c>
      <c r="AB201" s="191">
        <v>0</v>
      </c>
      <c r="AC201" s="189">
        <v>18</v>
      </c>
      <c r="AD201" s="191">
        <v>15</v>
      </c>
      <c r="AE201" s="189">
        <v>19</v>
      </c>
      <c r="AF201" s="190">
        <v>14</v>
      </c>
      <c r="AG201" s="191">
        <v>3</v>
      </c>
      <c r="AH201" s="136"/>
      <c r="AI201" s="33"/>
      <c r="AJ201" s="33"/>
      <c r="AK201" s="33"/>
      <c r="AL201" s="33"/>
      <c r="AM201" s="33"/>
      <c r="AN201" s="34">
        <v>0.54545454545454541</v>
      </c>
      <c r="AO201" s="33">
        <v>0.45454545454545453</v>
      </c>
      <c r="AP201" s="33">
        <v>0.42424242424242425</v>
      </c>
      <c r="AQ201" s="33">
        <v>9.0909090909090912E-2</v>
      </c>
      <c r="AR201" s="33">
        <v>0</v>
      </c>
      <c r="AS201" s="136">
        <v>0</v>
      </c>
      <c r="AT201" s="35">
        <v>0</v>
      </c>
      <c r="AU201" s="30">
        <v>0</v>
      </c>
      <c r="AV201" s="30">
        <v>0</v>
      </c>
      <c r="AW201" s="31">
        <v>9</v>
      </c>
      <c r="AX201" s="136"/>
      <c r="AY201" s="33"/>
      <c r="AZ201" s="35"/>
      <c r="BA201" s="29">
        <v>41</v>
      </c>
      <c r="BB201" s="31">
        <v>41</v>
      </c>
      <c r="BC201" s="29">
        <v>4.5</v>
      </c>
      <c r="BD201" s="31">
        <v>4</v>
      </c>
      <c r="BE201" s="29">
        <v>16</v>
      </c>
      <c r="BF201" s="30">
        <v>18</v>
      </c>
      <c r="BG201" s="33">
        <v>0.88888888888888884</v>
      </c>
      <c r="BH201" s="30">
        <v>7</v>
      </c>
      <c r="BI201" s="30">
        <v>9</v>
      </c>
      <c r="BJ201" s="35">
        <v>0.77777777777777779</v>
      </c>
    </row>
    <row r="202" spans="1:62" x14ac:dyDescent="0.25">
      <c r="A202" s="22"/>
      <c r="B202" s="23"/>
      <c r="C202" s="23"/>
      <c r="D202" s="23" t="s">
        <v>206</v>
      </c>
      <c r="E202" s="24"/>
      <c r="F202" s="184">
        <v>3406</v>
      </c>
      <c r="G202" s="185">
        <v>3309</v>
      </c>
      <c r="H202" s="186">
        <v>0</v>
      </c>
      <c r="I202" s="186">
        <v>2515</v>
      </c>
      <c r="J202" s="187">
        <v>794</v>
      </c>
      <c r="K202" s="185">
        <v>0</v>
      </c>
      <c r="L202" s="186">
        <v>31</v>
      </c>
      <c r="M202" s="186">
        <v>13</v>
      </c>
      <c r="N202" s="186">
        <v>0</v>
      </c>
      <c r="O202" s="186">
        <v>13</v>
      </c>
      <c r="P202" s="186">
        <v>0</v>
      </c>
      <c r="Q202" s="186">
        <v>22</v>
      </c>
      <c r="R202" s="187">
        <v>16</v>
      </c>
      <c r="S202" s="184">
        <v>60</v>
      </c>
      <c r="T202" s="185">
        <v>277</v>
      </c>
      <c r="U202" s="186">
        <v>0</v>
      </c>
      <c r="V202" s="186">
        <v>22</v>
      </c>
      <c r="W202" s="186">
        <v>7</v>
      </c>
      <c r="X202" s="187">
        <v>248</v>
      </c>
      <c r="Y202" s="185">
        <v>2140</v>
      </c>
      <c r="Z202" s="187">
        <v>1302</v>
      </c>
      <c r="AA202" s="185">
        <v>2545</v>
      </c>
      <c r="AB202" s="187">
        <v>1536</v>
      </c>
      <c r="AC202" s="185">
        <v>1821</v>
      </c>
      <c r="AD202" s="187">
        <v>1087</v>
      </c>
      <c r="AE202" s="185">
        <v>2279</v>
      </c>
      <c r="AF202" s="186">
        <v>1037</v>
      </c>
      <c r="AG202" s="187">
        <v>167</v>
      </c>
      <c r="AH202" s="135">
        <v>0.18925233644859812</v>
      </c>
      <c r="AI202" s="26">
        <v>-0.14906542056074767</v>
      </c>
      <c r="AJ202" s="26">
        <v>-0.28447937131630646</v>
      </c>
      <c r="AK202" s="26">
        <v>0.17972350230414746</v>
      </c>
      <c r="AL202" s="26">
        <v>-0.1651305683563748</v>
      </c>
      <c r="AM202" s="26">
        <v>-0.29231770833333331</v>
      </c>
      <c r="AN202" s="27">
        <v>0.55031731640979142</v>
      </c>
      <c r="AO202" s="26">
        <v>0.32849803566032032</v>
      </c>
      <c r="AP202" s="26">
        <v>0.31338773043215473</v>
      </c>
      <c r="AQ202" s="26">
        <v>5.0468419462073137E-2</v>
      </c>
      <c r="AR202" s="26">
        <v>4.8120300751879697E-3</v>
      </c>
      <c r="AS202" s="135">
        <v>1.8132366273798731E-2</v>
      </c>
      <c r="AT202" s="28">
        <v>-6.5578724690238746E-2</v>
      </c>
      <c r="AU202" s="23">
        <v>352</v>
      </c>
      <c r="AV202" s="23">
        <v>322</v>
      </c>
      <c r="AW202" s="24">
        <v>300</v>
      </c>
      <c r="AX202" s="135">
        <v>-8.5227272727272721E-2</v>
      </c>
      <c r="AY202" s="26">
        <v>-0.14772727272727273</v>
      </c>
      <c r="AZ202" s="28">
        <v>-6.8322981366459631E-2</v>
      </c>
      <c r="BA202" s="22">
        <v>57</v>
      </c>
      <c r="BB202" s="24">
        <v>52</v>
      </c>
      <c r="BC202" s="22">
        <v>9</v>
      </c>
      <c r="BD202" s="24">
        <v>7</v>
      </c>
      <c r="BE202" s="22">
        <v>881</v>
      </c>
      <c r="BF202" s="23">
        <v>1821</v>
      </c>
      <c r="BG202" s="26">
        <v>0.48380010982976385</v>
      </c>
      <c r="BH202" s="23">
        <v>166</v>
      </c>
      <c r="BI202" s="23">
        <v>300</v>
      </c>
      <c r="BJ202" s="28">
        <v>0.55333333333333334</v>
      </c>
    </row>
    <row r="203" spans="1:62" x14ac:dyDescent="0.25">
      <c r="A203" s="29"/>
      <c r="B203" s="30"/>
      <c r="C203" s="30"/>
      <c r="D203" s="30"/>
      <c r="E203" s="31" t="s">
        <v>82</v>
      </c>
      <c r="F203" s="188">
        <v>3171</v>
      </c>
      <c r="G203" s="189">
        <v>3087</v>
      </c>
      <c r="H203" s="190">
        <v>0</v>
      </c>
      <c r="I203" s="190">
        <v>2293</v>
      </c>
      <c r="J203" s="191">
        <v>794</v>
      </c>
      <c r="K203" s="189">
        <v>0</v>
      </c>
      <c r="L203" s="190">
        <v>30</v>
      </c>
      <c r="M203" s="190">
        <v>13</v>
      </c>
      <c r="N203" s="190">
        <v>0</v>
      </c>
      <c r="O203" s="190">
        <v>3</v>
      </c>
      <c r="P203" s="190">
        <v>0</v>
      </c>
      <c r="Q203" s="190">
        <v>20</v>
      </c>
      <c r="R203" s="191">
        <v>16</v>
      </c>
      <c r="S203" s="188">
        <v>55</v>
      </c>
      <c r="T203" s="189">
        <v>227</v>
      </c>
      <c r="U203" s="190">
        <v>0</v>
      </c>
      <c r="V203" s="190">
        <v>20</v>
      </c>
      <c r="W203" s="190">
        <v>7</v>
      </c>
      <c r="X203" s="191">
        <v>200</v>
      </c>
      <c r="Y203" s="189">
        <v>2081</v>
      </c>
      <c r="Z203" s="191">
        <v>1257</v>
      </c>
      <c r="AA203" s="189">
        <v>2476</v>
      </c>
      <c r="AB203" s="191">
        <v>1489</v>
      </c>
      <c r="AC203" s="189">
        <v>1757</v>
      </c>
      <c r="AD203" s="191">
        <v>1043</v>
      </c>
      <c r="AE203" s="189">
        <v>2089</v>
      </c>
      <c r="AF203" s="190">
        <v>920</v>
      </c>
      <c r="AG203" s="191">
        <v>164</v>
      </c>
      <c r="AH203" s="136">
        <v>0.18981259010091303</v>
      </c>
      <c r="AI203" s="33">
        <v>-0.15569437770302738</v>
      </c>
      <c r="AJ203" s="33">
        <v>-0.29038772213247172</v>
      </c>
      <c r="AK203" s="33">
        <v>0.18456642800318218</v>
      </c>
      <c r="AL203" s="33">
        <v>-0.17024661893396978</v>
      </c>
      <c r="AM203" s="33">
        <v>-0.2995298858294157</v>
      </c>
      <c r="AN203" s="34">
        <v>0.56916099773242634</v>
      </c>
      <c r="AO203" s="33">
        <v>0.33786848072562359</v>
      </c>
      <c r="AP203" s="33">
        <v>0.29802397149335924</v>
      </c>
      <c r="AQ203" s="33">
        <v>5.3126012309685777E-2</v>
      </c>
      <c r="AR203" s="33">
        <v>5.1563003544956498E-3</v>
      </c>
      <c r="AS203" s="136">
        <v>1.7816650469711693E-2</v>
      </c>
      <c r="AT203" s="35">
        <v>-5.5717525105280205E-2</v>
      </c>
      <c r="AU203" s="30">
        <v>337</v>
      </c>
      <c r="AV203" s="30">
        <v>304</v>
      </c>
      <c r="AW203" s="31">
        <v>277</v>
      </c>
      <c r="AX203" s="136">
        <v>-9.7922848664688422E-2</v>
      </c>
      <c r="AY203" s="33">
        <v>-0.17804154302670624</v>
      </c>
      <c r="AZ203" s="35">
        <v>-8.8815789473684209E-2</v>
      </c>
      <c r="BA203" s="29">
        <v>57</v>
      </c>
      <c r="BB203" s="31">
        <v>52</v>
      </c>
      <c r="BC203" s="29">
        <v>9</v>
      </c>
      <c r="BD203" s="31">
        <v>7</v>
      </c>
      <c r="BE203" s="29">
        <v>857</v>
      </c>
      <c r="BF203" s="30">
        <v>1757</v>
      </c>
      <c r="BG203" s="33">
        <v>0.48776323278315309</v>
      </c>
      <c r="BH203" s="30">
        <v>151</v>
      </c>
      <c r="BI203" s="30">
        <v>277</v>
      </c>
      <c r="BJ203" s="35">
        <v>0.54512635379061369</v>
      </c>
    </row>
    <row r="204" spans="1:62" x14ac:dyDescent="0.25">
      <c r="A204" s="29"/>
      <c r="B204" s="30"/>
      <c r="C204" s="30"/>
      <c r="D204" s="30"/>
      <c r="E204" s="31" t="s">
        <v>68</v>
      </c>
      <c r="F204" s="188">
        <v>141</v>
      </c>
      <c r="G204" s="189">
        <v>128</v>
      </c>
      <c r="H204" s="190">
        <v>0</v>
      </c>
      <c r="I204" s="190">
        <v>128</v>
      </c>
      <c r="J204" s="191">
        <v>0</v>
      </c>
      <c r="K204" s="189">
        <v>0</v>
      </c>
      <c r="L204" s="190">
        <v>1</v>
      </c>
      <c r="M204" s="190">
        <v>0</v>
      </c>
      <c r="N204" s="190">
        <v>0</v>
      </c>
      <c r="O204" s="190">
        <v>10</v>
      </c>
      <c r="P204" s="190">
        <v>0</v>
      </c>
      <c r="Q204" s="190">
        <v>2</v>
      </c>
      <c r="R204" s="191">
        <v>0</v>
      </c>
      <c r="S204" s="188">
        <v>2</v>
      </c>
      <c r="T204" s="189">
        <v>50</v>
      </c>
      <c r="U204" s="190">
        <v>0</v>
      </c>
      <c r="V204" s="190">
        <v>2</v>
      </c>
      <c r="W204" s="190">
        <v>0</v>
      </c>
      <c r="X204" s="191">
        <v>48</v>
      </c>
      <c r="Y204" s="189">
        <v>54</v>
      </c>
      <c r="Z204" s="191">
        <v>43</v>
      </c>
      <c r="AA204" s="189">
        <v>62</v>
      </c>
      <c r="AB204" s="191">
        <v>43</v>
      </c>
      <c r="AC204" s="189">
        <v>49</v>
      </c>
      <c r="AD204" s="191">
        <v>36</v>
      </c>
      <c r="AE204" s="189">
        <v>104</v>
      </c>
      <c r="AF204" s="190">
        <v>62</v>
      </c>
      <c r="AG204" s="191">
        <v>2</v>
      </c>
      <c r="AH204" s="136">
        <v>0.14814814814814814</v>
      </c>
      <c r="AI204" s="33">
        <v>-9.2592592592592587E-2</v>
      </c>
      <c r="AJ204" s="33">
        <v>-0.20967741935483872</v>
      </c>
      <c r="AK204" s="33">
        <v>0</v>
      </c>
      <c r="AL204" s="33">
        <v>-0.16279069767441862</v>
      </c>
      <c r="AM204" s="33">
        <v>-0.16279069767441862</v>
      </c>
      <c r="AN204" s="34">
        <v>0.3828125</v>
      </c>
      <c r="AO204" s="33">
        <v>0.28125</v>
      </c>
      <c r="AP204" s="33">
        <v>0.484375</v>
      </c>
      <c r="AQ204" s="33">
        <v>1.5625E-2</v>
      </c>
      <c r="AR204" s="33">
        <v>0</v>
      </c>
      <c r="AS204" s="136">
        <v>1.5625E-2</v>
      </c>
      <c r="AT204" s="35">
        <v>-0.375</v>
      </c>
      <c r="AU204" s="30">
        <v>25</v>
      </c>
      <c r="AV204" s="30">
        <v>31</v>
      </c>
      <c r="AW204" s="31">
        <v>25</v>
      </c>
      <c r="AX204" s="136">
        <v>0.24</v>
      </c>
      <c r="AY204" s="33">
        <v>0</v>
      </c>
      <c r="AZ204" s="35">
        <v>-0.19354838709677419</v>
      </c>
      <c r="BA204" s="29">
        <v>31</v>
      </c>
      <c r="BB204" s="31">
        <v>42</v>
      </c>
      <c r="BC204" s="29">
        <v>5</v>
      </c>
      <c r="BD204" s="31">
        <v>8</v>
      </c>
      <c r="BE204" s="29">
        <v>16</v>
      </c>
      <c r="BF204" s="30">
        <v>49</v>
      </c>
      <c r="BG204" s="33">
        <v>0.32653061224489793</v>
      </c>
      <c r="BH204" s="30">
        <v>13</v>
      </c>
      <c r="BI204" s="30">
        <v>25</v>
      </c>
      <c r="BJ204" s="35">
        <v>0.52</v>
      </c>
    </row>
    <row r="205" spans="1:62" x14ac:dyDescent="0.25">
      <c r="A205" s="29"/>
      <c r="B205" s="30"/>
      <c r="C205" s="30"/>
      <c r="D205" s="30"/>
      <c r="E205" s="31" t="s">
        <v>97</v>
      </c>
      <c r="F205" s="188">
        <v>87</v>
      </c>
      <c r="G205" s="189">
        <v>87</v>
      </c>
      <c r="H205" s="190">
        <v>0</v>
      </c>
      <c r="I205" s="190">
        <v>87</v>
      </c>
      <c r="J205" s="191">
        <v>0</v>
      </c>
      <c r="K205" s="189">
        <v>0</v>
      </c>
      <c r="L205" s="190">
        <v>0</v>
      </c>
      <c r="M205" s="190">
        <v>0</v>
      </c>
      <c r="N205" s="190">
        <v>0</v>
      </c>
      <c r="O205" s="190">
        <v>0</v>
      </c>
      <c r="P205" s="190">
        <v>0</v>
      </c>
      <c r="Q205" s="190">
        <v>0</v>
      </c>
      <c r="R205" s="191">
        <v>0</v>
      </c>
      <c r="S205" s="188">
        <v>3</v>
      </c>
      <c r="T205" s="189"/>
      <c r="U205" s="190"/>
      <c r="V205" s="190"/>
      <c r="W205" s="190"/>
      <c r="X205" s="191"/>
      <c r="Y205" s="189">
        <v>2</v>
      </c>
      <c r="Z205" s="191">
        <v>1</v>
      </c>
      <c r="AA205" s="189">
        <v>4</v>
      </c>
      <c r="AB205" s="191">
        <v>3</v>
      </c>
      <c r="AC205" s="189">
        <v>12</v>
      </c>
      <c r="AD205" s="191">
        <v>7</v>
      </c>
      <c r="AE205" s="189">
        <v>80</v>
      </c>
      <c r="AF205" s="190">
        <v>49</v>
      </c>
      <c r="AG205" s="191">
        <v>1</v>
      </c>
      <c r="AH205" s="136">
        <v>1</v>
      </c>
      <c r="AI205" s="33">
        <v>5</v>
      </c>
      <c r="AJ205" s="33">
        <v>2</v>
      </c>
      <c r="AK205" s="33">
        <v>2</v>
      </c>
      <c r="AL205" s="33">
        <v>6</v>
      </c>
      <c r="AM205" s="33">
        <v>1.3333333333333333</v>
      </c>
      <c r="AN205" s="34">
        <v>0.13793103448275862</v>
      </c>
      <c r="AO205" s="33">
        <v>8.0459770114942528E-2</v>
      </c>
      <c r="AP205" s="33">
        <v>0.56321839080459768</v>
      </c>
      <c r="AQ205" s="33">
        <v>1.1494252873563218E-2</v>
      </c>
      <c r="AR205" s="33">
        <v>0</v>
      </c>
      <c r="AS205" s="136">
        <v>3.4482758620689655E-2</v>
      </c>
      <c r="AT205" s="35">
        <v>3.4482758620689655E-2</v>
      </c>
      <c r="AU205" s="30">
        <v>2</v>
      </c>
      <c r="AV205" s="30">
        <v>4</v>
      </c>
      <c r="AW205" s="31">
        <v>7</v>
      </c>
      <c r="AX205" s="136">
        <v>1</v>
      </c>
      <c r="AY205" s="33">
        <v>2.5</v>
      </c>
      <c r="AZ205" s="35">
        <v>0.75</v>
      </c>
      <c r="BA205" s="29">
        <v>45</v>
      </c>
      <c r="BB205" s="31">
        <v>51</v>
      </c>
      <c r="BC205" s="29">
        <v>9</v>
      </c>
      <c r="BD205" s="31">
        <v>10</v>
      </c>
      <c r="BE205" s="29">
        <v>5</v>
      </c>
      <c r="BF205" s="30">
        <v>12</v>
      </c>
      <c r="BG205" s="33">
        <v>0.41666666666666669</v>
      </c>
      <c r="BH205" s="30">
        <v>3</v>
      </c>
      <c r="BI205" s="30">
        <v>7</v>
      </c>
      <c r="BJ205" s="35">
        <v>0.42857142857142855</v>
      </c>
    </row>
    <row r="206" spans="1:62" x14ac:dyDescent="0.25">
      <c r="A206" s="22"/>
      <c r="B206" s="23"/>
      <c r="C206" s="23"/>
      <c r="D206" s="23" t="s">
        <v>207</v>
      </c>
      <c r="E206" s="24"/>
      <c r="F206" s="184">
        <v>737</v>
      </c>
      <c r="G206" s="185">
        <v>729</v>
      </c>
      <c r="H206" s="186">
        <v>0</v>
      </c>
      <c r="I206" s="186">
        <v>460</v>
      </c>
      <c r="J206" s="187">
        <v>269</v>
      </c>
      <c r="K206" s="185">
        <v>0</v>
      </c>
      <c r="L206" s="186">
        <v>4</v>
      </c>
      <c r="M206" s="186">
        <v>0</v>
      </c>
      <c r="N206" s="186">
        <v>0</v>
      </c>
      <c r="O206" s="186">
        <v>0</v>
      </c>
      <c r="P206" s="186">
        <v>0</v>
      </c>
      <c r="Q206" s="186">
        <v>4</v>
      </c>
      <c r="R206" s="187">
        <v>0</v>
      </c>
      <c r="S206" s="184">
        <v>6</v>
      </c>
      <c r="T206" s="185">
        <v>85</v>
      </c>
      <c r="U206" s="186">
        <v>0</v>
      </c>
      <c r="V206" s="186">
        <v>4</v>
      </c>
      <c r="W206" s="186">
        <v>0</v>
      </c>
      <c r="X206" s="187">
        <v>81</v>
      </c>
      <c r="Y206" s="185">
        <v>532</v>
      </c>
      <c r="Z206" s="187">
        <v>301</v>
      </c>
      <c r="AA206" s="185">
        <v>520</v>
      </c>
      <c r="AB206" s="187">
        <v>326</v>
      </c>
      <c r="AC206" s="185">
        <v>391</v>
      </c>
      <c r="AD206" s="187">
        <v>247</v>
      </c>
      <c r="AE206" s="185">
        <v>481</v>
      </c>
      <c r="AF206" s="186">
        <v>202</v>
      </c>
      <c r="AG206" s="187">
        <v>29</v>
      </c>
      <c r="AH206" s="135">
        <v>-2.2556390977443608E-2</v>
      </c>
      <c r="AI206" s="26">
        <v>-0.26503759398496241</v>
      </c>
      <c r="AJ206" s="26">
        <v>-0.24807692307692308</v>
      </c>
      <c r="AK206" s="26">
        <v>8.3056478405315617E-2</v>
      </c>
      <c r="AL206" s="26">
        <v>-0.17940199335548174</v>
      </c>
      <c r="AM206" s="26">
        <v>-0.24233128834355827</v>
      </c>
      <c r="AN206" s="27">
        <v>0.53635116598079557</v>
      </c>
      <c r="AO206" s="26">
        <v>0.33882030178326472</v>
      </c>
      <c r="AP206" s="26">
        <v>0.27709190672153633</v>
      </c>
      <c r="AQ206" s="26">
        <v>3.9780521262002745E-2</v>
      </c>
      <c r="AR206" s="26">
        <v>0</v>
      </c>
      <c r="AS206" s="135">
        <v>8.23045267489712E-3</v>
      </c>
      <c r="AT206" s="28">
        <v>-0.1083676268861454</v>
      </c>
      <c r="AU206" s="23">
        <v>139</v>
      </c>
      <c r="AV206" s="23">
        <v>131</v>
      </c>
      <c r="AW206" s="24">
        <v>104</v>
      </c>
      <c r="AX206" s="135">
        <v>-5.7553956834532377E-2</v>
      </c>
      <c r="AY206" s="26">
        <v>-0.25179856115107913</v>
      </c>
      <c r="AZ206" s="28">
        <v>-0.20610687022900764</v>
      </c>
      <c r="BA206" s="22">
        <v>57</v>
      </c>
      <c r="BB206" s="24">
        <v>55.5</v>
      </c>
      <c r="BC206" s="22">
        <v>7</v>
      </c>
      <c r="BD206" s="24">
        <v>9</v>
      </c>
      <c r="BE206" s="22">
        <v>225</v>
      </c>
      <c r="BF206" s="23">
        <v>391</v>
      </c>
      <c r="BG206" s="26">
        <v>0.57544757033248084</v>
      </c>
      <c r="BH206" s="23">
        <v>55</v>
      </c>
      <c r="BI206" s="23">
        <v>104</v>
      </c>
      <c r="BJ206" s="28">
        <v>0.52884615384615385</v>
      </c>
    </row>
    <row r="207" spans="1:62" x14ac:dyDescent="0.25">
      <c r="A207" s="29"/>
      <c r="B207" s="30"/>
      <c r="C207" s="30"/>
      <c r="D207" s="30"/>
      <c r="E207" s="31" t="s">
        <v>82</v>
      </c>
      <c r="F207" s="188">
        <v>725</v>
      </c>
      <c r="G207" s="189">
        <v>717</v>
      </c>
      <c r="H207" s="190">
        <v>0</v>
      </c>
      <c r="I207" s="190">
        <v>448</v>
      </c>
      <c r="J207" s="191">
        <v>269</v>
      </c>
      <c r="K207" s="189">
        <v>0</v>
      </c>
      <c r="L207" s="190">
        <v>4</v>
      </c>
      <c r="M207" s="190">
        <v>0</v>
      </c>
      <c r="N207" s="190">
        <v>0</v>
      </c>
      <c r="O207" s="190">
        <v>0</v>
      </c>
      <c r="P207" s="190">
        <v>0</v>
      </c>
      <c r="Q207" s="190">
        <v>4</v>
      </c>
      <c r="R207" s="191">
        <v>0</v>
      </c>
      <c r="S207" s="188">
        <v>6</v>
      </c>
      <c r="T207" s="189">
        <v>85</v>
      </c>
      <c r="U207" s="190">
        <v>0</v>
      </c>
      <c r="V207" s="190">
        <v>4</v>
      </c>
      <c r="W207" s="190">
        <v>0</v>
      </c>
      <c r="X207" s="191">
        <v>81</v>
      </c>
      <c r="Y207" s="189">
        <v>532</v>
      </c>
      <c r="Z207" s="191">
        <v>301</v>
      </c>
      <c r="AA207" s="189">
        <v>520</v>
      </c>
      <c r="AB207" s="191">
        <v>326</v>
      </c>
      <c r="AC207" s="189">
        <v>387</v>
      </c>
      <c r="AD207" s="191">
        <v>246</v>
      </c>
      <c r="AE207" s="189">
        <v>470</v>
      </c>
      <c r="AF207" s="190">
        <v>194</v>
      </c>
      <c r="AG207" s="191">
        <v>29</v>
      </c>
      <c r="AH207" s="136">
        <v>-2.2556390977443608E-2</v>
      </c>
      <c r="AI207" s="33">
        <v>-0.27255639097744361</v>
      </c>
      <c r="AJ207" s="33">
        <v>-0.25576923076923075</v>
      </c>
      <c r="AK207" s="33">
        <v>8.3056478405315617E-2</v>
      </c>
      <c r="AL207" s="33">
        <v>-0.18272425249169436</v>
      </c>
      <c r="AM207" s="33">
        <v>-0.24539877300613497</v>
      </c>
      <c r="AN207" s="34">
        <v>0.53974895397489542</v>
      </c>
      <c r="AO207" s="33">
        <v>0.34309623430962344</v>
      </c>
      <c r="AP207" s="33">
        <v>0.27057182705718269</v>
      </c>
      <c r="AQ207" s="33">
        <v>4.0446304044630406E-2</v>
      </c>
      <c r="AR207" s="33">
        <v>0</v>
      </c>
      <c r="AS207" s="136">
        <v>8.368200836820083E-3</v>
      </c>
      <c r="AT207" s="35">
        <v>-0.1101813110181311</v>
      </c>
      <c r="AU207" s="30">
        <v>138</v>
      </c>
      <c r="AV207" s="30">
        <v>131</v>
      </c>
      <c r="AW207" s="31">
        <v>102</v>
      </c>
      <c r="AX207" s="136">
        <v>-5.0724637681159424E-2</v>
      </c>
      <c r="AY207" s="33">
        <v>-0.2608695652173913</v>
      </c>
      <c r="AZ207" s="35">
        <v>-0.22137404580152673</v>
      </c>
      <c r="BA207" s="29">
        <v>57</v>
      </c>
      <c r="BB207" s="31">
        <v>55.5</v>
      </c>
      <c r="BC207" s="29">
        <v>7</v>
      </c>
      <c r="BD207" s="31">
        <v>9</v>
      </c>
      <c r="BE207" s="29">
        <v>221</v>
      </c>
      <c r="BF207" s="30">
        <v>387</v>
      </c>
      <c r="BG207" s="33">
        <v>0.57105943152454786</v>
      </c>
      <c r="BH207" s="30">
        <v>53</v>
      </c>
      <c r="BI207" s="30">
        <v>102</v>
      </c>
      <c r="BJ207" s="35">
        <v>0.51960784313725494</v>
      </c>
    </row>
    <row r="208" spans="1:62" x14ac:dyDescent="0.25">
      <c r="A208" s="22"/>
      <c r="B208" s="23"/>
      <c r="C208" s="23"/>
      <c r="D208" s="23" t="s">
        <v>208</v>
      </c>
      <c r="E208" s="24"/>
      <c r="F208" s="184">
        <v>616</v>
      </c>
      <c r="G208" s="185">
        <v>598</v>
      </c>
      <c r="H208" s="186">
        <v>0</v>
      </c>
      <c r="I208" s="186">
        <v>476</v>
      </c>
      <c r="J208" s="187">
        <v>122</v>
      </c>
      <c r="K208" s="185">
        <v>0</v>
      </c>
      <c r="L208" s="186">
        <v>1</v>
      </c>
      <c r="M208" s="186">
        <v>4</v>
      </c>
      <c r="N208" s="186">
        <v>0</v>
      </c>
      <c r="O208" s="186">
        <v>3</v>
      </c>
      <c r="P208" s="186">
        <v>0</v>
      </c>
      <c r="Q208" s="186">
        <v>6</v>
      </c>
      <c r="R208" s="187">
        <v>4</v>
      </c>
      <c r="S208" s="184">
        <v>16</v>
      </c>
      <c r="T208" s="185">
        <v>36</v>
      </c>
      <c r="U208" s="186">
        <v>0</v>
      </c>
      <c r="V208" s="186">
        <v>5</v>
      </c>
      <c r="W208" s="186">
        <v>2</v>
      </c>
      <c r="X208" s="187">
        <v>29</v>
      </c>
      <c r="Y208" s="185">
        <v>650</v>
      </c>
      <c r="Z208" s="187">
        <v>323</v>
      </c>
      <c r="AA208" s="185">
        <v>543</v>
      </c>
      <c r="AB208" s="187">
        <v>261</v>
      </c>
      <c r="AC208" s="185">
        <v>545</v>
      </c>
      <c r="AD208" s="187">
        <v>283</v>
      </c>
      <c r="AE208" s="185">
        <v>333</v>
      </c>
      <c r="AF208" s="186">
        <v>164</v>
      </c>
      <c r="AG208" s="187">
        <v>54</v>
      </c>
      <c r="AH208" s="135">
        <v>-0.16461538461538461</v>
      </c>
      <c r="AI208" s="26">
        <v>-0.16153846153846155</v>
      </c>
      <c r="AJ208" s="26">
        <v>3.6832412523020259E-3</v>
      </c>
      <c r="AK208" s="26">
        <v>-0.19195046439628483</v>
      </c>
      <c r="AL208" s="26">
        <v>-0.1238390092879257</v>
      </c>
      <c r="AM208" s="26">
        <v>8.4291187739463605E-2</v>
      </c>
      <c r="AN208" s="27">
        <v>0.91137123745819393</v>
      </c>
      <c r="AO208" s="26">
        <v>0.47324414715719065</v>
      </c>
      <c r="AP208" s="26">
        <v>0.27424749163879597</v>
      </c>
      <c r="AQ208" s="26">
        <v>9.0301003344481601E-2</v>
      </c>
      <c r="AR208" s="26">
        <v>6.6445182724252493E-3</v>
      </c>
      <c r="AS208" s="135">
        <v>2.6755852842809364E-2</v>
      </c>
      <c r="AT208" s="28">
        <v>-3.3444816053511704E-2</v>
      </c>
      <c r="AU208" s="23">
        <v>217</v>
      </c>
      <c r="AV208" s="23">
        <v>172</v>
      </c>
      <c r="AW208" s="24">
        <v>161</v>
      </c>
      <c r="AX208" s="135">
        <v>-0.20737327188940091</v>
      </c>
      <c r="AY208" s="26">
        <v>-0.25806451612903225</v>
      </c>
      <c r="AZ208" s="28">
        <v>-6.3953488372093026E-2</v>
      </c>
      <c r="BA208" s="22">
        <v>48</v>
      </c>
      <c r="BB208" s="24">
        <v>52</v>
      </c>
      <c r="BC208" s="22">
        <v>5</v>
      </c>
      <c r="BD208" s="24">
        <v>7</v>
      </c>
      <c r="BE208" s="22">
        <v>339</v>
      </c>
      <c r="BF208" s="23">
        <v>545</v>
      </c>
      <c r="BG208" s="26">
        <v>0.62201834862385319</v>
      </c>
      <c r="BH208" s="23">
        <v>98</v>
      </c>
      <c r="BI208" s="23">
        <v>161</v>
      </c>
      <c r="BJ208" s="28">
        <v>0.60869565217391308</v>
      </c>
    </row>
    <row r="209" spans="1:62" x14ac:dyDescent="0.25">
      <c r="A209" s="29"/>
      <c r="B209" s="30"/>
      <c r="C209" s="30"/>
      <c r="D209" s="30"/>
      <c r="E209" s="31" t="s">
        <v>82</v>
      </c>
      <c r="F209" s="188">
        <v>575</v>
      </c>
      <c r="G209" s="189">
        <v>558</v>
      </c>
      <c r="H209" s="190">
        <v>0</v>
      </c>
      <c r="I209" s="190">
        <v>436</v>
      </c>
      <c r="J209" s="191">
        <v>122</v>
      </c>
      <c r="K209" s="189">
        <v>0</v>
      </c>
      <c r="L209" s="190">
        <v>1</v>
      </c>
      <c r="M209" s="190">
        <v>4</v>
      </c>
      <c r="N209" s="190">
        <v>0</v>
      </c>
      <c r="O209" s="190">
        <v>2</v>
      </c>
      <c r="P209" s="190">
        <v>0</v>
      </c>
      <c r="Q209" s="190">
        <v>6</v>
      </c>
      <c r="R209" s="191">
        <v>4</v>
      </c>
      <c r="S209" s="188">
        <v>16</v>
      </c>
      <c r="T209" s="189">
        <v>36</v>
      </c>
      <c r="U209" s="190">
        <v>0</v>
      </c>
      <c r="V209" s="190">
        <v>5</v>
      </c>
      <c r="W209" s="190">
        <v>2</v>
      </c>
      <c r="X209" s="191">
        <v>29</v>
      </c>
      <c r="Y209" s="189">
        <v>650</v>
      </c>
      <c r="Z209" s="191">
        <v>323</v>
      </c>
      <c r="AA209" s="189">
        <v>541</v>
      </c>
      <c r="AB209" s="191">
        <v>259</v>
      </c>
      <c r="AC209" s="189">
        <v>534</v>
      </c>
      <c r="AD209" s="191">
        <v>275</v>
      </c>
      <c r="AE209" s="189">
        <v>300</v>
      </c>
      <c r="AF209" s="190">
        <v>137</v>
      </c>
      <c r="AG209" s="191">
        <v>54</v>
      </c>
      <c r="AH209" s="136">
        <v>-0.1676923076923077</v>
      </c>
      <c r="AI209" s="33">
        <v>-0.17846153846153845</v>
      </c>
      <c r="AJ209" s="33">
        <v>-1.2939001848428836E-2</v>
      </c>
      <c r="AK209" s="33">
        <v>-0.19814241486068113</v>
      </c>
      <c r="AL209" s="33">
        <v>-0.14860681114551083</v>
      </c>
      <c r="AM209" s="33">
        <v>6.1776061776061778E-2</v>
      </c>
      <c r="AN209" s="34">
        <v>0.956989247311828</v>
      </c>
      <c r="AO209" s="33">
        <v>0.49283154121863798</v>
      </c>
      <c r="AP209" s="33">
        <v>0.24551971326164876</v>
      </c>
      <c r="AQ209" s="33">
        <v>9.6774193548387094E-2</v>
      </c>
      <c r="AR209" s="33">
        <v>7.1174377224199285E-3</v>
      </c>
      <c r="AS209" s="136">
        <v>2.8673835125448029E-2</v>
      </c>
      <c r="AT209" s="35">
        <v>-3.5842293906810034E-2</v>
      </c>
      <c r="AU209" s="30">
        <v>217</v>
      </c>
      <c r="AV209" s="30">
        <v>171</v>
      </c>
      <c r="AW209" s="31">
        <v>155</v>
      </c>
      <c r="AX209" s="136">
        <v>-0.2119815668202765</v>
      </c>
      <c r="AY209" s="33">
        <v>-0.2857142857142857</v>
      </c>
      <c r="AZ209" s="35">
        <v>-9.3567251461988299E-2</v>
      </c>
      <c r="BA209" s="29">
        <v>48</v>
      </c>
      <c r="BB209" s="31">
        <v>52</v>
      </c>
      <c r="BC209" s="29">
        <v>5</v>
      </c>
      <c r="BD209" s="31">
        <v>7</v>
      </c>
      <c r="BE209" s="29">
        <v>333</v>
      </c>
      <c r="BF209" s="30">
        <v>534</v>
      </c>
      <c r="BG209" s="33">
        <v>0.6235955056179775</v>
      </c>
      <c r="BH209" s="30">
        <v>96</v>
      </c>
      <c r="BI209" s="30">
        <v>155</v>
      </c>
      <c r="BJ209" s="35">
        <v>0.61935483870967745</v>
      </c>
    </row>
    <row r="210" spans="1:62" x14ac:dyDescent="0.25">
      <c r="A210" s="29"/>
      <c r="B210" s="30"/>
      <c r="C210" s="30"/>
      <c r="D210" s="30"/>
      <c r="E210" s="31" t="s">
        <v>203</v>
      </c>
      <c r="F210" s="188">
        <v>24</v>
      </c>
      <c r="G210" s="189">
        <v>24</v>
      </c>
      <c r="H210" s="190">
        <v>0</v>
      </c>
      <c r="I210" s="190">
        <v>24</v>
      </c>
      <c r="J210" s="191">
        <v>0</v>
      </c>
      <c r="K210" s="189">
        <v>0</v>
      </c>
      <c r="L210" s="190">
        <v>0</v>
      </c>
      <c r="M210" s="190">
        <v>0</v>
      </c>
      <c r="N210" s="190">
        <v>0</v>
      </c>
      <c r="O210" s="190">
        <v>0</v>
      </c>
      <c r="P210" s="190">
        <v>0</v>
      </c>
      <c r="Q210" s="190">
        <v>0</v>
      </c>
      <c r="R210" s="191">
        <v>0</v>
      </c>
      <c r="S210" s="188">
        <v>0</v>
      </c>
      <c r="T210" s="189"/>
      <c r="U210" s="190"/>
      <c r="V210" s="190"/>
      <c r="W210" s="190"/>
      <c r="X210" s="191"/>
      <c r="Y210" s="189">
        <v>0</v>
      </c>
      <c r="Z210" s="191">
        <v>0</v>
      </c>
      <c r="AA210" s="189">
        <v>2</v>
      </c>
      <c r="AB210" s="191">
        <v>2</v>
      </c>
      <c r="AC210" s="189">
        <v>5</v>
      </c>
      <c r="AD210" s="191">
        <v>5</v>
      </c>
      <c r="AE210" s="189">
        <v>19</v>
      </c>
      <c r="AF210" s="190">
        <v>18</v>
      </c>
      <c r="AG210" s="191">
        <v>0</v>
      </c>
      <c r="AH210" s="136"/>
      <c r="AI210" s="33"/>
      <c r="AJ210" s="33">
        <v>1.5</v>
      </c>
      <c r="AK210" s="33"/>
      <c r="AL210" s="33"/>
      <c r="AM210" s="33">
        <v>1.5</v>
      </c>
      <c r="AN210" s="34">
        <v>0.20833333333333334</v>
      </c>
      <c r="AO210" s="33">
        <v>0.20833333333333334</v>
      </c>
      <c r="AP210" s="33">
        <v>0.75</v>
      </c>
      <c r="AQ210" s="33">
        <v>0</v>
      </c>
      <c r="AR210" s="33">
        <v>0</v>
      </c>
      <c r="AS210" s="136">
        <v>0</v>
      </c>
      <c r="AT210" s="35">
        <v>0</v>
      </c>
      <c r="AU210" s="30">
        <v>0</v>
      </c>
      <c r="AV210" s="30">
        <v>2</v>
      </c>
      <c r="AW210" s="31">
        <v>4</v>
      </c>
      <c r="AX210" s="136"/>
      <c r="AY210" s="33"/>
      <c r="AZ210" s="35">
        <v>1</v>
      </c>
      <c r="BA210" s="29">
        <v>38</v>
      </c>
      <c r="BB210" s="31">
        <v>29</v>
      </c>
      <c r="BC210" s="29">
        <v>1</v>
      </c>
      <c r="BD210" s="31">
        <v>1</v>
      </c>
      <c r="BE210" s="29">
        <v>2</v>
      </c>
      <c r="BF210" s="30">
        <v>5</v>
      </c>
      <c r="BG210" s="33">
        <v>0.4</v>
      </c>
      <c r="BH210" s="30">
        <v>2</v>
      </c>
      <c r="BI210" s="30">
        <v>4</v>
      </c>
      <c r="BJ210" s="35">
        <v>0.5</v>
      </c>
    </row>
    <row r="211" spans="1:62" x14ac:dyDescent="0.25">
      <c r="A211" s="29"/>
      <c r="B211" s="30"/>
      <c r="C211" s="30"/>
      <c r="D211" s="30"/>
      <c r="E211" s="31" t="s">
        <v>97</v>
      </c>
      <c r="F211" s="188">
        <v>16</v>
      </c>
      <c r="G211" s="189">
        <v>15</v>
      </c>
      <c r="H211" s="190">
        <v>0</v>
      </c>
      <c r="I211" s="190">
        <v>15</v>
      </c>
      <c r="J211" s="191">
        <v>0</v>
      </c>
      <c r="K211" s="189">
        <v>0</v>
      </c>
      <c r="L211" s="190">
        <v>0</v>
      </c>
      <c r="M211" s="190">
        <v>0</v>
      </c>
      <c r="N211" s="190">
        <v>0</v>
      </c>
      <c r="O211" s="190">
        <v>1</v>
      </c>
      <c r="P211" s="190">
        <v>0</v>
      </c>
      <c r="Q211" s="190">
        <v>0</v>
      </c>
      <c r="R211" s="191">
        <v>0</v>
      </c>
      <c r="S211" s="188">
        <v>0</v>
      </c>
      <c r="T211" s="189"/>
      <c r="U211" s="190"/>
      <c r="V211" s="190"/>
      <c r="W211" s="190"/>
      <c r="X211" s="191"/>
      <c r="Y211" s="189">
        <v>0</v>
      </c>
      <c r="Z211" s="191">
        <v>0</v>
      </c>
      <c r="AA211" s="189">
        <v>0</v>
      </c>
      <c r="AB211" s="191">
        <v>0</v>
      </c>
      <c r="AC211" s="189">
        <v>3</v>
      </c>
      <c r="AD211" s="191">
        <v>2</v>
      </c>
      <c r="AE211" s="189">
        <v>14</v>
      </c>
      <c r="AF211" s="190">
        <v>9</v>
      </c>
      <c r="AG211" s="191">
        <v>0</v>
      </c>
      <c r="AH211" s="136"/>
      <c r="AI211" s="33"/>
      <c r="AJ211" s="33"/>
      <c r="AK211" s="33"/>
      <c r="AL211" s="33"/>
      <c r="AM211" s="33"/>
      <c r="AN211" s="34">
        <v>0.2</v>
      </c>
      <c r="AO211" s="33">
        <v>0.13333333333333333</v>
      </c>
      <c r="AP211" s="33">
        <v>0.6</v>
      </c>
      <c r="AQ211" s="33">
        <v>0</v>
      </c>
      <c r="AR211" s="33">
        <v>0</v>
      </c>
      <c r="AS211" s="136">
        <v>0</v>
      </c>
      <c r="AT211" s="35">
        <v>0</v>
      </c>
      <c r="AU211" s="30">
        <v>0</v>
      </c>
      <c r="AV211" s="30">
        <v>0</v>
      </c>
      <c r="AW211" s="31">
        <v>3</v>
      </c>
      <c r="AX211" s="136"/>
      <c r="AY211" s="33"/>
      <c r="AZ211" s="35"/>
      <c r="BA211" s="29">
        <v>59</v>
      </c>
      <c r="BB211" s="31">
        <v>59</v>
      </c>
      <c r="BC211" s="29">
        <v>9</v>
      </c>
      <c r="BD211" s="31">
        <v>9</v>
      </c>
      <c r="BE211" s="29">
        <v>1</v>
      </c>
      <c r="BF211" s="30">
        <v>3</v>
      </c>
      <c r="BG211" s="33">
        <v>0.33333333333333331</v>
      </c>
      <c r="BH211" s="30">
        <v>1</v>
      </c>
      <c r="BI211" s="30">
        <v>3</v>
      </c>
      <c r="BJ211" s="35">
        <v>0.33333333333333331</v>
      </c>
    </row>
    <row r="212" spans="1:62" x14ac:dyDescent="0.25">
      <c r="A212" s="22"/>
      <c r="B212" s="23"/>
      <c r="C212" s="23"/>
      <c r="D212" s="23" t="s">
        <v>209</v>
      </c>
      <c r="E212" s="24"/>
      <c r="F212" s="184">
        <v>716</v>
      </c>
      <c r="G212" s="185">
        <v>683</v>
      </c>
      <c r="H212" s="186">
        <v>0</v>
      </c>
      <c r="I212" s="186">
        <v>445</v>
      </c>
      <c r="J212" s="187">
        <v>238</v>
      </c>
      <c r="K212" s="185">
        <v>0</v>
      </c>
      <c r="L212" s="186">
        <v>0</v>
      </c>
      <c r="M212" s="186">
        <v>7</v>
      </c>
      <c r="N212" s="186">
        <v>0</v>
      </c>
      <c r="O212" s="186">
        <v>1</v>
      </c>
      <c r="P212" s="186">
        <v>0</v>
      </c>
      <c r="Q212" s="186">
        <v>22</v>
      </c>
      <c r="R212" s="187">
        <v>3</v>
      </c>
      <c r="S212" s="184">
        <v>19</v>
      </c>
      <c r="T212" s="185">
        <v>124</v>
      </c>
      <c r="U212" s="186">
        <v>0</v>
      </c>
      <c r="V212" s="186">
        <v>18</v>
      </c>
      <c r="W212" s="186">
        <v>4</v>
      </c>
      <c r="X212" s="187">
        <v>102</v>
      </c>
      <c r="Y212" s="185">
        <v>830</v>
      </c>
      <c r="Z212" s="187">
        <v>379</v>
      </c>
      <c r="AA212" s="185">
        <v>713</v>
      </c>
      <c r="AB212" s="187">
        <v>343</v>
      </c>
      <c r="AC212" s="185">
        <v>605</v>
      </c>
      <c r="AD212" s="187">
        <v>302</v>
      </c>
      <c r="AE212" s="185">
        <v>414</v>
      </c>
      <c r="AF212" s="186">
        <v>143</v>
      </c>
      <c r="AG212" s="187">
        <v>39</v>
      </c>
      <c r="AH212" s="135">
        <v>-0.14096385542168674</v>
      </c>
      <c r="AI212" s="26">
        <v>-0.27108433734939757</v>
      </c>
      <c r="AJ212" s="26">
        <v>-0.1514726507713885</v>
      </c>
      <c r="AK212" s="26">
        <v>-9.498680738786279E-2</v>
      </c>
      <c r="AL212" s="26">
        <v>-0.20316622691292877</v>
      </c>
      <c r="AM212" s="26">
        <v>-0.119533527696793</v>
      </c>
      <c r="AN212" s="27">
        <v>0.88579795021961938</v>
      </c>
      <c r="AO212" s="26">
        <v>0.44216691068814057</v>
      </c>
      <c r="AP212" s="26">
        <v>0.20937042459736457</v>
      </c>
      <c r="AQ212" s="26">
        <v>5.7101024890190338E-2</v>
      </c>
      <c r="AR212" s="26">
        <v>4.3731778425655978E-3</v>
      </c>
      <c r="AS212" s="135">
        <v>2.7818448023426062E-2</v>
      </c>
      <c r="AT212" s="28">
        <v>-0.15373352855051245</v>
      </c>
      <c r="AU212" s="23">
        <v>229</v>
      </c>
      <c r="AV212" s="23">
        <v>210</v>
      </c>
      <c r="AW212" s="24">
        <v>162</v>
      </c>
      <c r="AX212" s="135">
        <v>-8.296943231441048E-2</v>
      </c>
      <c r="AY212" s="26">
        <v>-0.29257641921397382</v>
      </c>
      <c r="AZ212" s="28">
        <v>-0.22857142857142856</v>
      </c>
      <c r="BA212" s="22">
        <v>52</v>
      </c>
      <c r="BB212" s="24">
        <v>49</v>
      </c>
      <c r="BC212" s="22">
        <v>9</v>
      </c>
      <c r="BD212" s="24">
        <v>8</v>
      </c>
      <c r="BE212" s="22">
        <v>353</v>
      </c>
      <c r="BF212" s="23">
        <v>605</v>
      </c>
      <c r="BG212" s="26">
        <v>0.58347107438016532</v>
      </c>
      <c r="BH212" s="23">
        <v>91</v>
      </c>
      <c r="BI212" s="23">
        <v>162</v>
      </c>
      <c r="BJ212" s="28">
        <v>0.56172839506172845</v>
      </c>
    </row>
    <row r="213" spans="1:62" x14ac:dyDescent="0.25">
      <c r="A213" s="29"/>
      <c r="B213" s="30"/>
      <c r="C213" s="30"/>
      <c r="D213" s="30"/>
      <c r="E213" s="31" t="s">
        <v>82</v>
      </c>
      <c r="F213" s="188">
        <v>712</v>
      </c>
      <c r="G213" s="189">
        <v>679</v>
      </c>
      <c r="H213" s="190">
        <v>0</v>
      </c>
      <c r="I213" s="190">
        <v>441</v>
      </c>
      <c r="J213" s="191">
        <v>238</v>
      </c>
      <c r="K213" s="189">
        <v>0</v>
      </c>
      <c r="L213" s="190">
        <v>0</v>
      </c>
      <c r="M213" s="190">
        <v>7</v>
      </c>
      <c r="N213" s="190">
        <v>0</v>
      </c>
      <c r="O213" s="190">
        <v>1</v>
      </c>
      <c r="P213" s="190">
        <v>0</v>
      </c>
      <c r="Q213" s="190">
        <v>22</v>
      </c>
      <c r="R213" s="191">
        <v>3</v>
      </c>
      <c r="S213" s="188">
        <v>18</v>
      </c>
      <c r="T213" s="189">
        <v>124</v>
      </c>
      <c r="U213" s="190">
        <v>0</v>
      </c>
      <c r="V213" s="190">
        <v>18</v>
      </c>
      <c r="W213" s="190">
        <v>4</v>
      </c>
      <c r="X213" s="191">
        <v>102</v>
      </c>
      <c r="Y213" s="189">
        <v>826</v>
      </c>
      <c r="Z213" s="191">
        <v>377</v>
      </c>
      <c r="AA213" s="189">
        <v>711</v>
      </c>
      <c r="AB213" s="191">
        <v>342</v>
      </c>
      <c r="AC213" s="189">
        <v>597</v>
      </c>
      <c r="AD213" s="191">
        <v>299</v>
      </c>
      <c r="AE213" s="189">
        <v>413</v>
      </c>
      <c r="AF213" s="190">
        <v>142</v>
      </c>
      <c r="AG213" s="191">
        <v>38</v>
      </c>
      <c r="AH213" s="136">
        <v>-0.13922518159806296</v>
      </c>
      <c r="AI213" s="33">
        <v>-0.27723970944309928</v>
      </c>
      <c r="AJ213" s="33">
        <v>-0.16033755274261605</v>
      </c>
      <c r="AK213" s="33">
        <v>-9.2838196286472149E-2</v>
      </c>
      <c r="AL213" s="33">
        <v>-0.20689655172413793</v>
      </c>
      <c r="AM213" s="33">
        <v>-0.12573099415204678</v>
      </c>
      <c r="AN213" s="34">
        <v>0.87923416789396169</v>
      </c>
      <c r="AO213" s="33">
        <v>0.44035346097201766</v>
      </c>
      <c r="AP213" s="33">
        <v>0.20913107511045656</v>
      </c>
      <c r="AQ213" s="33">
        <v>5.5964653902798235E-2</v>
      </c>
      <c r="AR213" s="33">
        <v>4.3988269794721412E-3</v>
      </c>
      <c r="AS213" s="136">
        <v>2.6509572901325478E-2</v>
      </c>
      <c r="AT213" s="35">
        <v>-0.1561119293078056</v>
      </c>
      <c r="AU213" s="30">
        <v>225</v>
      </c>
      <c r="AV213" s="30">
        <v>208</v>
      </c>
      <c r="AW213" s="31">
        <v>157</v>
      </c>
      <c r="AX213" s="136">
        <v>-7.5555555555555556E-2</v>
      </c>
      <c r="AY213" s="33">
        <v>-0.30222222222222223</v>
      </c>
      <c r="AZ213" s="35">
        <v>-0.24519230769230768</v>
      </c>
      <c r="BA213" s="29">
        <v>52</v>
      </c>
      <c r="BB213" s="31">
        <v>50</v>
      </c>
      <c r="BC213" s="29">
        <v>9</v>
      </c>
      <c r="BD213" s="31">
        <v>8</v>
      </c>
      <c r="BE213" s="29">
        <v>347</v>
      </c>
      <c r="BF213" s="30">
        <v>597</v>
      </c>
      <c r="BG213" s="33">
        <v>0.58123953098827474</v>
      </c>
      <c r="BH213" s="30">
        <v>86</v>
      </c>
      <c r="BI213" s="30">
        <v>157</v>
      </c>
      <c r="BJ213" s="35">
        <v>0.54777070063694266</v>
      </c>
    </row>
    <row r="214" spans="1:62" x14ac:dyDescent="0.25">
      <c r="A214" s="22"/>
      <c r="B214" s="23"/>
      <c r="C214" s="23"/>
      <c r="D214" s="23" t="s">
        <v>210</v>
      </c>
      <c r="E214" s="24"/>
      <c r="F214" s="184">
        <v>178</v>
      </c>
      <c r="G214" s="185">
        <v>143</v>
      </c>
      <c r="H214" s="186">
        <v>6</v>
      </c>
      <c r="I214" s="186">
        <v>149</v>
      </c>
      <c r="J214" s="187">
        <v>0</v>
      </c>
      <c r="K214" s="185">
        <v>0</v>
      </c>
      <c r="L214" s="186">
        <v>0</v>
      </c>
      <c r="M214" s="186">
        <v>0</v>
      </c>
      <c r="N214" s="186">
        <v>0</v>
      </c>
      <c r="O214" s="186">
        <v>7</v>
      </c>
      <c r="P214" s="186">
        <v>0</v>
      </c>
      <c r="Q214" s="186">
        <v>19</v>
      </c>
      <c r="R214" s="187">
        <v>3</v>
      </c>
      <c r="S214" s="184">
        <v>32</v>
      </c>
      <c r="T214" s="185">
        <v>67</v>
      </c>
      <c r="U214" s="186">
        <v>0</v>
      </c>
      <c r="V214" s="186">
        <v>17</v>
      </c>
      <c r="W214" s="186">
        <v>0</v>
      </c>
      <c r="X214" s="187">
        <v>50</v>
      </c>
      <c r="Y214" s="185">
        <v>102</v>
      </c>
      <c r="Z214" s="187">
        <v>66</v>
      </c>
      <c r="AA214" s="185">
        <v>157</v>
      </c>
      <c r="AB214" s="187">
        <v>81</v>
      </c>
      <c r="AC214" s="185">
        <v>146</v>
      </c>
      <c r="AD214" s="187">
        <v>70</v>
      </c>
      <c r="AE214" s="185">
        <v>109</v>
      </c>
      <c r="AF214" s="186">
        <v>59</v>
      </c>
      <c r="AG214" s="187">
        <v>14</v>
      </c>
      <c r="AH214" s="135">
        <v>0.53921568627450978</v>
      </c>
      <c r="AI214" s="26">
        <v>0.43137254901960786</v>
      </c>
      <c r="AJ214" s="26">
        <v>-7.0063694267515922E-2</v>
      </c>
      <c r="AK214" s="26">
        <v>0.22727272727272727</v>
      </c>
      <c r="AL214" s="26">
        <v>6.0606060606060608E-2</v>
      </c>
      <c r="AM214" s="26">
        <v>-0.13580246913580246</v>
      </c>
      <c r="AN214" s="27">
        <v>1.020979020979021</v>
      </c>
      <c r="AO214" s="26">
        <v>0.48951048951048953</v>
      </c>
      <c r="AP214" s="26">
        <v>0.41258741258741261</v>
      </c>
      <c r="AQ214" s="26">
        <v>9.7902097902097904E-2</v>
      </c>
      <c r="AR214" s="26">
        <v>2.0547945205479451E-2</v>
      </c>
      <c r="AS214" s="135">
        <v>0.22377622377622378</v>
      </c>
      <c r="AT214" s="28">
        <v>-0.24475524475524477</v>
      </c>
      <c r="AU214" s="23">
        <v>53</v>
      </c>
      <c r="AV214" s="23">
        <v>62</v>
      </c>
      <c r="AW214" s="24">
        <v>77</v>
      </c>
      <c r="AX214" s="135">
        <v>0.16981132075471697</v>
      </c>
      <c r="AY214" s="26">
        <v>0.45283018867924529</v>
      </c>
      <c r="AZ214" s="28">
        <v>0.24193548387096775</v>
      </c>
      <c r="BA214" s="22">
        <v>50</v>
      </c>
      <c r="BB214" s="24">
        <v>50</v>
      </c>
      <c r="BC214" s="22">
        <v>7</v>
      </c>
      <c r="BD214" s="24">
        <v>7</v>
      </c>
      <c r="BE214" s="22">
        <v>59</v>
      </c>
      <c r="BF214" s="23">
        <v>146</v>
      </c>
      <c r="BG214" s="26">
        <v>0.4041095890410959</v>
      </c>
      <c r="BH214" s="23">
        <v>40</v>
      </c>
      <c r="BI214" s="23">
        <v>77</v>
      </c>
      <c r="BJ214" s="28">
        <v>0.51948051948051943</v>
      </c>
    </row>
    <row r="215" spans="1:62" x14ac:dyDescent="0.25">
      <c r="A215" s="29"/>
      <c r="B215" s="30"/>
      <c r="C215" s="30"/>
      <c r="D215" s="30"/>
      <c r="E215" s="31" t="s">
        <v>68</v>
      </c>
      <c r="F215" s="188">
        <v>135</v>
      </c>
      <c r="G215" s="189">
        <v>106</v>
      </c>
      <c r="H215" s="190">
        <v>0</v>
      </c>
      <c r="I215" s="190">
        <v>106</v>
      </c>
      <c r="J215" s="191">
        <v>0</v>
      </c>
      <c r="K215" s="189">
        <v>0</v>
      </c>
      <c r="L215" s="190">
        <v>0</v>
      </c>
      <c r="M215" s="190">
        <v>0</v>
      </c>
      <c r="N215" s="190">
        <v>0</v>
      </c>
      <c r="O215" s="190">
        <v>7</v>
      </c>
      <c r="P215" s="190">
        <v>0</v>
      </c>
      <c r="Q215" s="190">
        <v>19</v>
      </c>
      <c r="R215" s="191">
        <v>3</v>
      </c>
      <c r="S215" s="188">
        <v>9</v>
      </c>
      <c r="T215" s="189">
        <v>35</v>
      </c>
      <c r="U215" s="190">
        <v>0</v>
      </c>
      <c r="V215" s="190">
        <v>17</v>
      </c>
      <c r="W215" s="190">
        <v>0</v>
      </c>
      <c r="X215" s="191">
        <v>18</v>
      </c>
      <c r="Y215" s="189">
        <v>61</v>
      </c>
      <c r="Z215" s="191">
        <v>39</v>
      </c>
      <c r="AA215" s="189">
        <v>80</v>
      </c>
      <c r="AB215" s="191">
        <v>40</v>
      </c>
      <c r="AC215" s="189">
        <v>67</v>
      </c>
      <c r="AD215" s="191">
        <v>38</v>
      </c>
      <c r="AE215" s="189">
        <v>96</v>
      </c>
      <c r="AF215" s="190">
        <v>51</v>
      </c>
      <c r="AG215" s="191">
        <v>11</v>
      </c>
      <c r="AH215" s="136">
        <v>0.31147540983606559</v>
      </c>
      <c r="AI215" s="33">
        <v>9.8360655737704916E-2</v>
      </c>
      <c r="AJ215" s="33">
        <v>-0.16250000000000001</v>
      </c>
      <c r="AK215" s="33">
        <v>2.564102564102564E-2</v>
      </c>
      <c r="AL215" s="33">
        <v>-2.564102564102564E-2</v>
      </c>
      <c r="AM215" s="33">
        <v>-0.05</v>
      </c>
      <c r="AN215" s="34">
        <v>0.63207547169811318</v>
      </c>
      <c r="AO215" s="33">
        <v>0.35849056603773582</v>
      </c>
      <c r="AP215" s="33">
        <v>0.48113207547169812</v>
      </c>
      <c r="AQ215" s="33">
        <v>0.10377358490566038</v>
      </c>
      <c r="AR215" s="33">
        <v>2.7522935779816515E-2</v>
      </c>
      <c r="AS215" s="136">
        <v>8.4905660377358486E-2</v>
      </c>
      <c r="AT215" s="35">
        <v>-0.24528301886792453</v>
      </c>
      <c r="AU215" s="30">
        <v>42</v>
      </c>
      <c r="AV215" s="30">
        <v>48</v>
      </c>
      <c r="AW215" s="31">
        <v>46</v>
      </c>
      <c r="AX215" s="136">
        <v>0.14285714285714285</v>
      </c>
      <c r="AY215" s="33">
        <v>9.5238095238095233E-2</v>
      </c>
      <c r="AZ215" s="35">
        <v>-4.1666666666666664E-2</v>
      </c>
      <c r="BA215" s="29">
        <v>50</v>
      </c>
      <c r="BB215" s="31">
        <v>50</v>
      </c>
      <c r="BC215" s="29">
        <v>6</v>
      </c>
      <c r="BD215" s="31">
        <v>5</v>
      </c>
      <c r="BE215" s="29">
        <v>37</v>
      </c>
      <c r="BF215" s="30">
        <v>67</v>
      </c>
      <c r="BG215" s="33">
        <v>0.55223880597014929</v>
      </c>
      <c r="BH215" s="30">
        <v>26</v>
      </c>
      <c r="BI215" s="30">
        <v>46</v>
      </c>
      <c r="BJ215" s="35">
        <v>0.56521739130434778</v>
      </c>
    </row>
    <row r="216" spans="1:62" x14ac:dyDescent="0.25">
      <c r="A216" s="29"/>
      <c r="B216" s="30"/>
      <c r="C216" s="30"/>
      <c r="D216" s="30"/>
      <c r="E216" s="31" t="s">
        <v>148</v>
      </c>
      <c r="F216" s="188">
        <v>39</v>
      </c>
      <c r="G216" s="189">
        <v>33</v>
      </c>
      <c r="H216" s="190">
        <v>6</v>
      </c>
      <c r="I216" s="190">
        <v>39</v>
      </c>
      <c r="J216" s="191">
        <v>0</v>
      </c>
      <c r="K216" s="189">
        <v>0</v>
      </c>
      <c r="L216" s="190">
        <v>0</v>
      </c>
      <c r="M216" s="190">
        <v>0</v>
      </c>
      <c r="N216" s="190">
        <v>0</v>
      </c>
      <c r="O216" s="190">
        <v>0</v>
      </c>
      <c r="P216" s="190">
        <v>0</v>
      </c>
      <c r="Q216" s="190">
        <v>0</v>
      </c>
      <c r="R216" s="191">
        <v>0</v>
      </c>
      <c r="S216" s="188">
        <v>23</v>
      </c>
      <c r="T216" s="189">
        <v>32</v>
      </c>
      <c r="U216" s="190">
        <v>0</v>
      </c>
      <c r="V216" s="190">
        <v>0</v>
      </c>
      <c r="W216" s="190">
        <v>0</v>
      </c>
      <c r="X216" s="191">
        <v>32</v>
      </c>
      <c r="Y216" s="189">
        <v>41</v>
      </c>
      <c r="Z216" s="191">
        <v>27</v>
      </c>
      <c r="AA216" s="189">
        <v>74</v>
      </c>
      <c r="AB216" s="191">
        <v>40</v>
      </c>
      <c r="AC216" s="189">
        <v>70</v>
      </c>
      <c r="AD216" s="191">
        <v>31</v>
      </c>
      <c r="AE216" s="189">
        <v>10</v>
      </c>
      <c r="AF216" s="190">
        <v>5</v>
      </c>
      <c r="AG216" s="191">
        <v>3</v>
      </c>
      <c r="AH216" s="136">
        <v>0.80487804878048785</v>
      </c>
      <c r="AI216" s="33">
        <v>0.70731707317073167</v>
      </c>
      <c r="AJ216" s="33">
        <v>-5.4054054054054057E-2</v>
      </c>
      <c r="AK216" s="33">
        <v>0.48148148148148145</v>
      </c>
      <c r="AL216" s="33">
        <v>0.14814814814814814</v>
      </c>
      <c r="AM216" s="33">
        <v>-0.22500000000000001</v>
      </c>
      <c r="AN216" s="34">
        <v>2.1212121212121211</v>
      </c>
      <c r="AO216" s="33">
        <v>0.93939393939393945</v>
      </c>
      <c r="AP216" s="33">
        <v>0.15151515151515152</v>
      </c>
      <c r="AQ216" s="33">
        <v>9.0909090909090912E-2</v>
      </c>
      <c r="AR216" s="33">
        <v>0</v>
      </c>
      <c r="AS216" s="136">
        <v>0.69696969696969702</v>
      </c>
      <c r="AT216" s="35">
        <v>-0.27272727272727271</v>
      </c>
      <c r="AU216" s="30">
        <v>12</v>
      </c>
      <c r="AV216" s="30">
        <v>15</v>
      </c>
      <c r="AW216" s="31">
        <v>27</v>
      </c>
      <c r="AX216" s="136">
        <v>0.25</v>
      </c>
      <c r="AY216" s="33">
        <v>1.25</v>
      </c>
      <c r="AZ216" s="35">
        <v>0.8</v>
      </c>
      <c r="BA216" s="29">
        <v>53.5</v>
      </c>
      <c r="BB216" s="31">
        <v>50</v>
      </c>
      <c r="BC216" s="29">
        <v>7</v>
      </c>
      <c r="BD216" s="31">
        <v>8</v>
      </c>
      <c r="BE216" s="29">
        <v>16</v>
      </c>
      <c r="BF216" s="30">
        <v>70</v>
      </c>
      <c r="BG216" s="33">
        <v>0.22857142857142856</v>
      </c>
      <c r="BH216" s="30">
        <v>9</v>
      </c>
      <c r="BI216" s="30">
        <v>27</v>
      </c>
      <c r="BJ216" s="35">
        <v>0.33333333333333331</v>
      </c>
    </row>
    <row r="217" spans="1:62" x14ac:dyDescent="0.25">
      <c r="A217" s="22"/>
      <c r="B217" s="23"/>
      <c r="C217" s="23"/>
      <c r="D217" s="23" t="s">
        <v>211</v>
      </c>
      <c r="E217" s="24"/>
      <c r="F217" s="184">
        <v>625</v>
      </c>
      <c r="G217" s="185">
        <v>574</v>
      </c>
      <c r="H217" s="186">
        <v>0</v>
      </c>
      <c r="I217" s="186">
        <v>573</v>
      </c>
      <c r="J217" s="187">
        <v>1</v>
      </c>
      <c r="K217" s="185">
        <v>0</v>
      </c>
      <c r="L217" s="186">
        <v>0</v>
      </c>
      <c r="M217" s="186">
        <v>4</v>
      </c>
      <c r="N217" s="186">
        <v>0</v>
      </c>
      <c r="O217" s="186">
        <v>3</v>
      </c>
      <c r="P217" s="186">
        <v>0</v>
      </c>
      <c r="Q217" s="186">
        <v>11</v>
      </c>
      <c r="R217" s="187">
        <v>33</v>
      </c>
      <c r="S217" s="184">
        <v>53</v>
      </c>
      <c r="T217" s="185">
        <v>13</v>
      </c>
      <c r="U217" s="186">
        <v>0</v>
      </c>
      <c r="V217" s="186">
        <v>10</v>
      </c>
      <c r="W217" s="186">
        <v>0</v>
      </c>
      <c r="X217" s="187">
        <v>3</v>
      </c>
      <c r="Y217" s="185">
        <v>938</v>
      </c>
      <c r="Z217" s="187">
        <v>368</v>
      </c>
      <c r="AA217" s="185">
        <v>841</v>
      </c>
      <c r="AB217" s="187">
        <v>363</v>
      </c>
      <c r="AC217" s="185">
        <v>700</v>
      </c>
      <c r="AD217" s="187">
        <v>295</v>
      </c>
      <c r="AE217" s="185">
        <v>330</v>
      </c>
      <c r="AF217" s="186">
        <v>77</v>
      </c>
      <c r="AG217" s="187">
        <v>77</v>
      </c>
      <c r="AH217" s="135">
        <v>-0.10341151385927505</v>
      </c>
      <c r="AI217" s="26">
        <v>-0.2537313432835821</v>
      </c>
      <c r="AJ217" s="26">
        <v>-0.16765755053507728</v>
      </c>
      <c r="AK217" s="26">
        <v>-1.358695652173913E-2</v>
      </c>
      <c r="AL217" s="26">
        <v>-0.1983695652173913</v>
      </c>
      <c r="AM217" s="26">
        <v>-0.18732782369146006</v>
      </c>
      <c r="AN217" s="27">
        <v>1.2195121951219512</v>
      </c>
      <c r="AO217" s="26">
        <v>0.51393728222996515</v>
      </c>
      <c r="AP217" s="26">
        <v>0.13414634146341464</v>
      </c>
      <c r="AQ217" s="26">
        <v>0.13414634146341464</v>
      </c>
      <c r="AR217" s="26">
        <v>5.4365733113673806E-2</v>
      </c>
      <c r="AS217" s="135">
        <v>9.2334494773519168E-2</v>
      </c>
      <c r="AT217" s="28">
        <v>6.968641114982578E-2</v>
      </c>
      <c r="AU217" s="23">
        <v>169</v>
      </c>
      <c r="AV217" s="23">
        <v>175</v>
      </c>
      <c r="AW217" s="24">
        <v>172</v>
      </c>
      <c r="AX217" s="135">
        <v>3.5502958579881658E-2</v>
      </c>
      <c r="AY217" s="26">
        <v>1.7751479289940829E-2</v>
      </c>
      <c r="AZ217" s="28">
        <v>-1.7142857142857144E-2</v>
      </c>
      <c r="BA217" s="22">
        <v>37</v>
      </c>
      <c r="BB217" s="24">
        <v>38</v>
      </c>
      <c r="BC217" s="22">
        <v>3</v>
      </c>
      <c r="BD217" s="24">
        <v>3</v>
      </c>
      <c r="BE217" s="22">
        <v>502</v>
      </c>
      <c r="BF217" s="23">
        <v>700</v>
      </c>
      <c r="BG217" s="26">
        <v>0.71714285714285719</v>
      </c>
      <c r="BH217" s="23">
        <v>125</v>
      </c>
      <c r="BI217" s="23">
        <v>172</v>
      </c>
      <c r="BJ217" s="28">
        <v>0.72674418604651159</v>
      </c>
    </row>
    <row r="218" spans="1:62" x14ac:dyDescent="0.25">
      <c r="A218" s="29"/>
      <c r="B218" s="30"/>
      <c r="C218" s="30"/>
      <c r="D218" s="30"/>
      <c r="E218" s="31" t="s">
        <v>82</v>
      </c>
      <c r="F218" s="188">
        <v>590</v>
      </c>
      <c r="G218" s="189">
        <v>543</v>
      </c>
      <c r="H218" s="190">
        <v>0</v>
      </c>
      <c r="I218" s="190">
        <v>542</v>
      </c>
      <c r="J218" s="191">
        <v>1</v>
      </c>
      <c r="K218" s="189">
        <v>0</v>
      </c>
      <c r="L218" s="190">
        <v>0</v>
      </c>
      <c r="M218" s="190">
        <v>4</v>
      </c>
      <c r="N218" s="190">
        <v>0</v>
      </c>
      <c r="O218" s="190">
        <v>1</v>
      </c>
      <c r="P218" s="190">
        <v>0</v>
      </c>
      <c r="Q218" s="190">
        <v>11</v>
      </c>
      <c r="R218" s="191">
        <v>31</v>
      </c>
      <c r="S218" s="188">
        <v>49</v>
      </c>
      <c r="T218" s="189">
        <v>11</v>
      </c>
      <c r="U218" s="190">
        <v>0</v>
      </c>
      <c r="V218" s="190">
        <v>10</v>
      </c>
      <c r="W218" s="190">
        <v>0</v>
      </c>
      <c r="X218" s="191">
        <v>1</v>
      </c>
      <c r="Y218" s="189">
        <v>919</v>
      </c>
      <c r="Z218" s="191">
        <v>354</v>
      </c>
      <c r="AA218" s="189">
        <v>812</v>
      </c>
      <c r="AB218" s="191">
        <v>347</v>
      </c>
      <c r="AC218" s="189">
        <v>671</v>
      </c>
      <c r="AD218" s="191">
        <v>279</v>
      </c>
      <c r="AE218" s="189">
        <v>311</v>
      </c>
      <c r="AF218" s="190">
        <v>71</v>
      </c>
      <c r="AG218" s="191">
        <v>72</v>
      </c>
      <c r="AH218" s="136">
        <v>-0.11643090315560392</v>
      </c>
      <c r="AI218" s="33">
        <v>-0.26985854189336234</v>
      </c>
      <c r="AJ218" s="33">
        <v>-0.17364532019704434</v>
      </c>
      <c r="AK218" s="33">
        <v>-1.977401129943503E-2</v>
      </c>
      <c r="AL218" s="33">
        <v>-0.21186440677966101</v>
      </c>
      <c r="AM218" s="33">
        <v>-0.19596541786743515</v>
      </c>
      <c r="AN218" s="34">
        <v>1.2357274401473297</v>
      </c>
      <c r="AO218" s="33">
        <v>0.51381215469613262</v>
      </c>
      <c r="AP218" s="33">
        <v>0.13075506445672191</v>
      </c>
      <c r="AQ218" s="33">
        <v>0.13259668508287292</v>
      </c>
      <c r="AR218" s="33">
        <v>5.4006968641114983E-2</v>
      </c>
      <c r="AS218" s="136">
        <v>9.0239410681399637E-2</v>
      </c>
      <c r="AT218" s="35">
        <v>6.9981583793738492E-2</v>
      </c>
      <c r="AU218" s="30">
        <v>160</v>
      </c>
      <c r="AV218" s="30">
        <v>162</v>
      </c>
      <c r="AW218" s="31">
        <v>158</v>
      </c>
      <c r="AX218" s="136">
        <v>1.2500000000000001E-2</v>
      </c>
      <c r="AY218" s="33">
        <v>-1.2500000000000001E-2</v>
      </c>
      <c r="AZ218" s="35">
        <v>-2.4691358024691357E-2</v>
      </c>
      <c r="BA218" s="29">
        <v>37</v>
      </c>
      <c r="BB218" s="31">
        <v>39</v>
      </c>
      <c r="BC218" s="29">
        <v>3</v>
      </c>
      <c r="BD218" s="31">
        <v>4</v>
      </c>
      <c r="BE218" s="29">
        <v>485</v>
      </c>
      <c r="BF218" s="30">
        <v>671</v>
      </c>
      <c r="BG218" s="33">
        <v>0.72280178837555886</v>
      </c>
      <c r="BH218" s="30">
        <v>115</v>
      </c>
      <c r="BI218" s="30">
        <v>158</v>
      </c>
      <c r="BJ218" s="35">
        <v>0.72784810126582278</v>
      </c>
    </row>
    <row r="219" spans="1:62" x14ac:dyDescent="0.25">
      <c r="A219" s="29"/>
      <c r="B219" s="30"/>
      <c r="C219" s="30"/>
      <c r="D219" s="30"/>
      <c r="E219" s="31" t="s">
        <v>68</v>
      </c>
      <c r="F219" s="188">
        <v>31</v>
      </c>
      <c r="G219" s="189">
        <v>27</v>
      </c>
      <c r="H219" s="190">
        <v>0</v>
      </c>
      <c r="I219" s="190">
        <v>27</v>
      </c>
      <c r="J219" s="191">
        <v>0</v>
      </c>
      <c r="K219" s="189">
        <v>0</v>
      </c>
      <c r="L219" s="190">
        <v>0</v>
      </c>
      <c r="M219" s="190">
        <v>0</v>
      </c>
      <c r="N219" s="190">
        <v>0</v>
      </c>
      <c r="O219" s="190">
        <v>2</v>
      </c>
      <c r="P219" s="190">
        <v>0</v>
      </c>
      <c r="Q219" s="190">
        <v>0</v>
      </c>
      <c r="R219" s="191">
        <v>2</v>
      </c>
      <c r="S219" s="188">
        <v>3</v>
      </c>
      <c r="T219" s="189">
        <v>2</v>
      </c>
      <c r="U219" s="190">
        <v>0</v>
      </c>
      <c r="V219" s="190">
        <v>0</v>
      </c>
      <c r="W219" s="190">
        <v>0</v>
      </c>
      <c r="X219" s="191">
        <v>2</v>
      </c>
      <c r="Y219" s="189">
        <v>19</v>
      </c>
      <c r="Z219" s="191">
        <v>14</v>
      </c>
      <c r="AA219" s="189">
        <v>29</v>
      </c>
      <c r="AB219" s="191">
        <v>16</v>
      </c>
      <c r="AC219" s="189">
        <v>24</v>
      </c>
      <c r="AD219" s="191">
        <v>15</v>
      </c>
      <c r="AE219" s="189">
        <v>16</v>
      </c>
      <c r="AF219" s="190">
        <v>4</v>
      </c>
      <c r="AG219" s="191">
        <v>4</v>
      </c>
      <c r="AH219" s="136">
        <v>0.52631578947368418</v>
      </c>
      <c r="AI219" s="33">
        <v>0.26315789473684209</v>
      </c>
      <c r="AJ219" s="33">
        <v>-0.17241379310344829</v>
      </c>
      <c r="AK219" s="33">
        <v>0.14285714285714285</v>
      </c>
      <c r="AL219" s="33">
        <v>7.1428571428571425E-2</v>
      </c>
      <c r="AM219" s="33">
        <v>-6.25E-2</v>
      </c>
      <c r="AN219" s="34">
        <v>0.88888888888888884</v>
      </c>
      <c r="AO219" s="33">
        <v>0.55555555555555558</v>
      </c>
      <c r="AP219" s="33">
        <v>0.14814814814814814</v>
      </c>
      <c r="AQ219" s="33">
        <v>0.14814814814814814</v>
      </c>
      <c r="AR219" s="33">
        <v>6.8965517241379309E-2</v>
      </c>
      <c r="AS219" s="136">
        <v>0.1111111111111111</v>
      </c>
      <c r="AT219" s="35">
        <v>3.7037037037037035E-2</v>
      </c>
      <c r="AU219" s="30">
        <v>13</v>
      </c>
      <c r="AV219" s="30">
        <v>18</v>
      </c>
      <c r="AW219" s="31">
        <v>16</v>
      </c>
      <c r="AX219" s="136">
        <v>0.38461538461538464</v>
      </c>
      <c r="AY219" s="33">
        <v>0.23076923076923078</v>
      </c>
      <c r="AZ219" s="35">
        <v>-0.1111111111111111</v>
      </c>
      <c r="BA219" s="29">
        <v>35</v>
      </c>
      <c r="BB219" s="31">
        <v>33.5</v>
      </c>
      <c r="BC219" s="29">
        <v>1</v>
      </c>
      <c r="BD219" s="31">
        <v>1</v>
      </c>
      <c r="BE219" s="29">
        <v>16</v>
      </c>
      <c r="BF219" s="30">
        <v>24</v>
      </c>
      <c r="BG219" s="33">
        <v>0.66666666666666663</v>
      </c>
      <c r="BH219" s="30">
        <v>11</v>
      </c>
      <c r="BI219" s="30">
        <v>16</v>
      </c>
      <c r="BJ219" s="35">
        <v>0.6875</v>
      </c>
    </row>
    <row r="220" spans="1:62" x14ac:dyDescent="0.25">
      <c r="A220" s="22"/>
      <c r="B220" s="23"/>
      <c r="C220" s="23"/>
      <c r="D220" s="23" t="s">
        <v>212</v>
      </c>
      <c r="E220" s="24"/>
      <c r="F220" s="184">
        <v>550</v>
      </c>
      <c r="G220" s="185">
        <v>532</v>
      </c>
      <c r="H220" s="186">
        <v>0</v>
      </c>
      <c r="I220" s="186">
        <v>514</v>
      </c>
      <c r="J220" s="187">
        <v>18</v>
      </c>
      <c r="K220" s="185">
        <v>0</v>
      </c>
      <c r="L220" s="186">
        <v>0</v>
      </c>
      <c r="M220" s="186">
        <v>2</v>
      </c>
      <c r="N220" s="186">
        <v>0</v>
      </c>
      <c r="O220" s="186">
        <v>0</v>
      </c>
      <c r="P220" s="186">
        <v>0</v>
      </c>
      <c r="Q220" s="186">
        <v>6</v>
      </c>
      <c r="R220" s="187">
        <v>10</v>
      </c>
      <c r="S220" s="184">
        <v>16</v>
      </c>
      <c r="T220" s="185">
        <v>27</v>
      </c>
      <c r="U220" s="186">
        <v>1</v>
      </c>
      <c r="V220" s="186">
        <v>6</v>
      </c>
      <c r="W220" s="186">
        <v>1</v>
      </c>
      <c r="X220" s="187">
        <v>19</v>
      </c>
      <c r="Y220" s="185">
        <v>779</v>
      </c>
      <c r="Z220" s="187">
        <v>292</v>
      </c>
      <c r="AA220" s="185">
        <v>769</v>
      </c>
      <c r="AB220" s="187">
        <v>325</v>
      </c>
      <c r="AC220" s="185">
        <v>459</v>
      </c>
      <c r="AD220" s="187">
        <v>228</v>
      </c>
      <c r="AE220" s="185">
        <v>323</v>
      </c>
      <c r="AF220" s="186">
        <v>87</v>
      </c>
      <c r="AG220" s="187">
        <v>26</v>
      </c>
      <c r="AH220" s="135">
        <v>-1.2836970474967908E-2</v>
      </c>
      <c r="AI220" s="26">
        <v>-0.41078305519897307</v>
      </c>
      <c r="AJ220" s="26">
        <v>-0.40312093628088425</v>
      </c>
      <c r="AK220" s="26">
        <v>0.11301369863013698</v>
      </c>
      <c r="AL220" s="26">
        <v>-0.21917808219178081</v>
      </c>
      <c r="AM220" s="26">
        <v>-0.29846153846153844</v>
      </c>
      <c r="AN220" s="27">
        <v>0.86278195488721809</v>
      </c>
      <c r="AO220" s="26">
        <v>0.42857142857142855</v>
      </c>
      <c r="AP220" s="26">
        <v>0.16353383458646617</v>
      </c>
      <c r="AQ220" s="26">
        <v>4.8872180451127817E-2</v>
      </c>
      <c r="AR220" s="26">
        <v>1.8450184501845018E-2</v>
      </c>
      <c r="AS220" s="135">
        <v>3.007518796992481E-2</v>
      </c>
      <c r="AT220" s="28">
        <v>-2.0676691729323307E-2</v>
      </c>
      <c r="AU220" s="23">
        <v>158</v>
      </c>
      <c r="AV220" s="23">
        <v>140</v>
      </c>
      <c r="AW220" s="24">
        <v>123</v>
      </c>
      <c r="AX220" s="135">
        <v>-0.11392405063291139</v>
      </c>
      <c r="AY220" s="26">
        <v>-0.22151898734177214</v>
      </c>
      <c r="AZ220" s="28">
        <v>-0.12142857142857143</v>
      </c>
      <c r="BA220" s="22">
        <v>49</v>
      </c>
      <c r="BB220" s="24">
        <v>48.5</v>
      </c>
      <c r="BC220" s="22">
        <v>5</v>
      </c>
      <c r="BD220" s="24">
        <v>6</v>
      </c>
      <c r="BE220" s="22">
        <v>336</v>
      </c>
      <c r="BF220" s="23">
        <v>459</v>
      </c>
      <c r="BG220" s="26">
        <v>0.73202614379084963</v>
      </c>
      <c r="BH220" s="23">
        <v>85</v>
      </c>
      <c r="BI220" s="23">
        <v>123</v>
      </c>
      <c r="BJ220" s="28">
        <v>0.69105691056910568</v>
      </c>
    </row>
    <row r="221" spans="1:62" x14ac:dyDescent="0.25">
      <c r="A221" s="29"/>
      <c r="B221" s="30"/>
      <c r="C221" s="30"/>
      <c r="D221" s="30"/>
      <c r="E221" s="31" t="s">
        <v>82</v>
      </c>
      <c r="F221" s="188">
        <v>548</v>
      </c>
      <c r="G221" s="189">
        <v>530</v>
      </c>
      <c r="H221" s="190">
        <v>0</v>
      </c>
      <c r="I221" s="190">
        <v>512</v>
      </c>
      <c r="J221" s="191">
        <v>18</v>
      </c>
      <c r="K221" s="189">
        <v>0</v>
      </c>
      <c r="L221" s="190">
        <v>0</v>
      </c>
      <c r="M221" s="190">
        <v>2</v>
      </c>
      <c r="N221" s="190">
        <v>0</v>
      </c>
      <c r="O221" s="190">
        <v>0</v>
      </c>
      <c r="P221" s="190">
        <v>0</v>
      </c>
      <c r="Q221" s="190">
        <v>6</v>
      </c>
      <c r="R221" s="191">
        <v>10</v>
      </c>
      <c r="S221" s="188">
        <v>14</v>
      </c>
      <c r="T221" s="189">
        <v>27</v>
      </c>
      <c r="U221" s="190">
        <v>1</v>
      </c>
      <c r="V221" s="190">
        <v>6</v>
      </c>
      <c r="W221" s="190">
        <v>1</v>
      </c>
      <c r="X221" s="191">
        <v>19</v>
      </c>
      <c r="Y221" s="189">
        <v>779</v>
      </c>
      <c r="Z221" s="191">
        <v>292</v>
      </c>
      <c r="AA221" s="189">
        <v>769</v>
      </c>
      <c r="AB221" s="191">
        <v>325</v>
      </c>
      <c r="AC221" s="189">
        <v>457</v>
      </c>
      <c r="AD221" s="191">
        <v>226</v>
      </c>
      <c r="AE221" s="189">
        <v>323</v>
      </c>
      <c r="AF221" s="190">
        <v>87</v>
      </c>
      <c r="AG221" s="191">
        <v>24</v>
      </c>
      <c r="AH221" s="136">
        <v>-1.2836970474967908E-2</v>
      </c>
      <c r="AI221" s="33">
        <v>-0.41335044929396664</v>
      </c>
      <c r="AJ221" s="33">
        <v>-0.40572171651495448</v>
      </c>
      <c r="AK221" s="33">
        <v>0.11301369863013698</v>
      </c>
      <c r="AL221" s="33">
        <v>-0.22602739726027396</v>
      </c>
      <c r="AM221" s="33">
        <v>-0.30461538461538462</v>
      </c>
      <c r="AN221" s="34">
        <v>0.86226415094339626</v>
      </c>
      <c r="AO221" s="33">
        <v>0.42641509433962266</v>
      </c>
      <c r="AP221" s="33">
        <v>0.16415094339622641</v>
      </c>
      <c r="AQ221" s="33">
        <v>4.5283018867924525E-2</v>
      </c>
      <c r="AR221" s="33">
        <v>1.8518518518518517E-2</v>
      </c>
      <c r="AS221" s="136">
        <v>2.6415094339622643E-2</v>
      </c>
      <c r="AT221" s="35">
        <v>-2.4528301886792454E-2</v>
      </c>
      <c r="AU221" s="30">
        <v>158</v>
      </c>
      <c r="AV221" s="30">
        <v>140</v>
      </c>
      <c r="AW221" s="31">
        <v>122</v>
      </c>
      <c r="AX221" s="136">
        <v>-0.11392405063291139</v>
      </c>
      <c r="AY221" s="33">
        <v>-0.22784810126582278</v>
      </c>
      <c r="AZ221" s="35">
        <v>-0.12857142857142856</v>
      </c>
      <c r="BA221" s="29">
        <v>49</v>
      </c>
      <c r="BB221" s="31">
        <v>48</v>
      </c>
      <c r="BC221" s="29">
        <v>5</v>
      </c>
      <c r="BD221" s="31">
        <v>6</v>
      </c>
      <c r="BE221" s="29">
        <v>334</v>
      </c>
      <c r="BF221" s="30">
        <v>457</v>
      </c>
      <c r="BG221" s="33">
        <v>0.73085339168490149</v>
      </c>
      <c r="BH221" s="30">
        <v>84</v>
      </c>
      <c r="BI221" s="30">
        <v>122</v>
      </c>
      <c r="BJ221" s="35">
        <v>0.68852459016393441</v>
      </c>
    </row>
    <row r="222" spans="1:62" x14ac:dyDescent="0.25">
      <c r="A222" s="22"/>
      <c r="B222" s="23"/>
      <c r="C222" s="23"/>
      <c r="D222" s="23" t="s">
        <v>213</v>
      </c>
      <c r="E222" s="24"/>
      <c r="F222" s="184">
        <v>5230</v>
      </c>
      <c r="G222" s="185">
        <v>5095</v>
      </c>
      <c r="H222" s="186">
        <v>0</v>
      </c>
      <c r="I222" s="186">
        <v>3547</v>
      </c>
      <c r="J222" s="187">
        <v>1548</v>
      </c>
      <c r="K222" s="185">
        <v>0</v>
      </c>
      <c r="L222" s="186">
        <v>15</v>
      </c>
      <c r="M222" s="186">
        <v>28</v>
      </c>
      <c r="N222" s="186">
        <v>1</v>
      </c>
      <c r="O222" s="186">
        <v>21</v>
      </c>
      <c r="P222" s="186">
        <v>0</v>
      </c>
      <c r="Q222" s="186">
        <v>45</v>
      </c>
      <c r="R222" s="187">
        <v>23</v>
      </c>
      <c r="S222" s="184">
        <v>159</v>
      </c>
      <c r="T222" s="185">
        <v>260</v>
      </c>
      <c r="U222" s="186">
        <v>0</v>
      </c>
      <c r="V222" s="186">
        <v>39</v>
      </c>
      <c r="W222" s="186">
        <v>6</v>
      </c>
      <c r="X222" s="187">
        <v>215</v>
      </c>
      <c r="Y222" s="185">
        <v>9534</v>
      </c>
      <c r="Z222" s="187">
        <v>3488</v>
      </c>
      <c r="AA222" s="185">
        <v>7157</v>
      </c>
      <c r="AB222" s="187">
        <v>2955</v>
      </c>
      <c r="AC222" s="185">
        <v>5904</v>
      </c>
      <c r="AD222" s="187">
        <v>2420</v>
      </c>
      <c r="AE222" s="185">
        <v>2791</v>
      </c>
      <c r="AF222" s="186">
        <v>865</v>
      </c>
      <c r="AG222" s="187">
        <v>323</v>
      </c>
      <c r="AH222" s="135">
        <v>-0.24931822949444093</v>
      </c>
      <c r="AI222" s="26">
        <v>-0.38074260541220895</v>
      </c>
      <c r="AJ222" s="26">
        <v>-0.17507335475757999</v>
      </c>
      <c r="AK222" s="26">
        <v>-0.15280963302752293</v>
      </c>
      <c r="AL222" s="26">
        <v>-0.30619266055045874</v>
      </c>
      <c r="AM222" s="26">
        <v>-0.18104906937394247</v>
      </c>
      <c r="AN222" s="27">
        <v>1.1587831207065751</v>
      </c>
      <c r="AO222" s="26">
        <v>0.47497546614327774</v>
      </c>
      <c r="AP222" s="26">
        <v>0.16977428851815504</v>
      </c>
      <c r="AQ222" s="26">
        <v>6.3395485770363094E-2</v>
      </c>
      <c r="AR222" s="26">
        <v>4.4939429464634622E-3</v>
      </c>
      <c r="AS222" s="135">
        <v>3.1207065750736014E-2</v>
      </c>
      <c r="AT222" s="28">
        <v>-1.9823356231599608E-2</v>
      </c>
      <c r="AU222" s="23">
        <v>622</v>
      </c>
      <c r="AV222" s="23">
        <v>497</v>
      </c>
      <c r="AW222" s="24">
        <v>481</v>
      </c>
      <c r="AX222" s="135">
        <v>-0.20096463022508038</v>
      </c>
      <c r="AY222" s="26">
        <v>-0.22668810289389069</v>
      </c>
      <c r="AZ222" s="28">
        <v>-3.2193158953722337E-2</v>
      </c>
      <c r="BA222" s="22">
        <v>53</v>
      </c>
      <c r="BB222" s="24">
        <v>49</v>
      </c>
      <c r="BC222" s="22">
        <v>9</v>
      </c>
      <c r="BD222" s="24">
        <v>7</v>
      </c>
      <c r="BE222" s="22">
        <v>3342</v>
      </c>
      <c r="BF222" s="23">
        <v>5904</v>
      </c>
      <c r="BG222" s="26">
        <v>0.56605691056910568</v>
      </c>
      <c r="BH222" s="23">
        <v>304</v>
      </c>
      <c r="BI222" s="23">
        <v>481</v>
      </c>
      <c r="BJ222" s="28">
        <v>0.63201663201663205</v>
      </c>
    </row>
    <row r="223" spans="1:62" x14ac:dyDescent="0.25">
      <c r="A223" s="29"/>
      <c r="B223" s="30"/>
      <c r="C223" s="30"/>
      <c r="D223" s="30"/>
      <c r="E223" s="31" t="s">
        <v>82</v>
      </c>
      <c r="F223" s="188">
        <v>4829</v>
      </c>
      <c r="G223" s="189">
        <v>4710</v>
      </c>
      <c r="H223" s="190">
        <v>0</v>
      </c>
      <c r="I223" s="190">
        <v>3162</v>
      </c>
      <c r="J223" s="191">
        <v>1548</v>
      </c>
      <c r="K223" s="189">
        <v>0</v>
      </c>
      <c r="L223" s="190">
        <v>13</v>
      </c>
      <c r="M223" s="190">
        <v>25</v>
      </c>
      <c r="N223" s="190">
        <v>1</v>
      </c>
      <c r="O223" s="190">
        <v>11</v>
      </c>
      <c r="P223" s="190">
        <v>0</v>
      </c>
      <c r="Q223" s="190">
        <v>45</v>
      </c>
      <c r="R223" s="191">
        <v>22</v>
      </c>
      <c r="S223" s="188">
        <v>143</v>
      </c>
      <c r="T223" s="189">
        <v>217</v>
      </c>
      <c r="U223" s="190">
        <v>0</v>
      </c>
      <c r="V223" s="190">
        <v>39</v>
      </c>
      <c r="W223" s="190">
        <v>6</v>
      </c>
      <c r="X223" s="191">
        <v>172</v>
      </c>
      <c r="Y223" s="189">
        <v>9385</v>
      </c>
      <c r="Z223" s="191">
        <v>3395</v>
      </c>
      <c r="AA223" s="189">
        <v>6997</v>
      </c>
      <c r="AB223" s="191">
        <v>2857</v>
      </c>
      <c r="AC223" s="189">
        <v>5626</v>
      </c>
      <c r="AD223" s="191">
        <v>2259</v>
      </c>
      <c r="AE223" s="189">
        <v>2555</v>
      </c>
      <c r="AF223" s="190">
        <v>773</v>
      </c>
      <c r="AG223" s="191">
        <v>308</v>
      </c>
      <c r="AH223" s="136">
        <v>-0.2544485881726159</v>
      </c>
      <c r="AI223" s="33">
        <v>-0.40053276505061269</v>
      </c>
      <c r="AJ223" s="33">
        <v>-0.19594111762183794</v>
      </c>
      <c r="AK223" s="33">
        <v>-0.15846833578792341</v>
      </c>
      <c r="AL223" s="33">
        <v>-0.33460972017673046</v>
      </c>
      <c r="AM223" s="33">
        <v>-0.20931046552327617</v>
      </c>
      <c r="AN223" s="34">
        <v>1.1944798301486199</v>
      </c>
      <c r="AO223" s="33">
        <v>0.47961783439490446</v>
      </c>
      <c r="AP223" s="33">
        <v>0.16411889596602972</v>
      </c>
      <c r="AQ223" s="33">
        <v>6.5392781316348195E-2</v>
      </c>
      <c r="AR223" s="33">
        <v>4.6491969568892644E-3</v>
      </c>
      <c r="AS223" s="136">
        <v>3.0360934182590234E-2</v>
      </c>
      <c r="AT223" s="35">
        <v>-1.5711252653927813E-2</v>
      </c>
      <c r="AU223" s="30">
        <v>582</v>
      </c>
      <c r="AV223" s="30">
        <v>462</v>
      </c>
      <c r="AW223" s="31">
        <v>433</v>
      </c>
      <c r="AX223" s="136">
        <v>-0.20618556701030927</v>
      </c>
      <c r="AY223" s="33">
        <v>-0.25601374570446733</v>
      </c>
      <c r="AZ223" s="35">
        <v>-6.2770562770562768E-2</v>
      </c>
      <c r="BA223" s="29">
        <v>53</v>
      </c>
      <c r="BB223" s="31">
        <v>49</v>
      </c>
      <c r="BC223" s="29">
        <v>10</v>
      </c>
      <c r="BD223" s="31">
        <v>7</v>
      </c>
      <c r="BE223" s="29">
        <v>3163</v>
      </c>
      <c r="BF223" s="30">
        <v>5626</v>
      </c>
      <c r="BG223" s="33">
        <v>0.56221116246000713</v>
      </c>
      <c r="BH223" s="30">
        <v>274</v>
      </c>
      <c r="BI223" s="30">
        <v>433</v>
      </c>
      <c r="BJ223" s="35">
        <v>0.63279445727482675</v>
      </c>
    </row>
    <row r="224" spans="1:62" x14ac:dyDescent="0.25">
      <c r="A224" s="29"/>
      <c r="B224" s="30"/>
      <c r="C224" s="30"/>
      <c r="D224" s="30"/>
      <c r="E224" s="31" t="s">
        <v>203</v>
      </c>
      <c r="F224" s="188">
        <v>23</v>
      </c>
      <c r="G224" s="189">
        <v>22</v>
      </c>
      <c r="H224" s="190">
        <v>0</v>
      </c>
      <c r="I224" s="190">
        <v>22</v>
      </c>
      <c r="J224" s="191">
        <v>0</v>
      </c>
      <c r="K224" s="189">
        <v>0</v>
      </c>
      <c r="L224" s="190">
        <v>1</v>
      </c>
      <c r="M224" s="190">
        <v>0</v>
      </c>
      <c r="N224" s="190">
        <v>0</v>
      </c>
      <c r="O224" s="190">
        <v>0</v>
      </c>
      <c r="P224" s="190">
        <v>0</v>
      </c>
      <c r="Q224" s="190">
        <v>0</v>
      </c>
      <c r="R224" s="191">
        <v>0</v>
      </c>
      <c r="S224" s="188">
        <v>1</v>
      </c>
      <c r="T224" s="189"/>
      <c r="U224" s="190"/>
      <c r="V224" s="190"/>
      <c r="W224" s="190"/>
      <c r="X224" s="191"/>
      <c r="Y224" s="189">
        <v>7</v>
      </c>
      <c r="Z224" s="191">
        <v>3</v>
      </c>
      <c r="AA224" s="189">
        <v>3</v>
      </c>
      <c r="AB224" s="191">
        <v>2</v>
      </c>
      <c r="AC224" s="189">
        <v>5</v>
      </c>
      <c r="AD224" s="191">
        <v>4</v>
      </c>
      <c r="AE224" s="189">
        <v>18</v>
      </c>
      <c r="AF224" s="190">
        <v>17</v>
      </c>
      <c r="AG224" s="191">
        <v>0</v>
      </c>
      <c r="AH224" s="136">
        <v>-0.5714285714285714</v>
      </c>
      <c r="AI224" s="33">
        <v>-0.2857142857142857</v>
      </c>
      <c r="AJ224" s="33">
        <v>0.66666666666666663</v>
      </c>
      <c r="AK224" s="33">
        <v>-0.33333333333333331</v>
      </c>
      <c r="AL224" s="33">
        <v>0.33333333333333331</v>
      </c>
      <c r="AM224" s="33">
        <v>1</v>
      </c>
      <c r="AN224" s="34">
        <v>0.22727272727272727</v>
      </c>
      <c r="AO224" s="33">
        <v>0.18181818181818182</v>
      </c>
      <c r="AP224" s="33">
        <v>0.77272727272727271</v>
      </c>
      <c r="AQ224" s="33">
        <v>0</v>
      </c>
      <c r="AR224" s="33">
        <v>0</v>
      </c>
      <c r="AS224" s="136">
        <v>4.5454545454545456E-2</v>
      </c>
      <c r="AT224" s="35">
        <v>4.5454545454545456E-2</v>
      </c>
      <c r="AU224" s="30">
        <v>6</v>
      </c>
      <c r="AV224" s="30">
        <v>3</v>
      </c>
      <c r="AW224" s="31">
        <v>5</v>
      </c>
      <c r="AX224" s="136">
        <v>-0.5</v>
      </c>
      <c r="AY224" s="33">
        <v>-0.16666666666666666</v>
      </c>
      <c r="AZ224" s="35">
        <v>0.66666666666666663</v>
      </c>
      <c r="BA224" s="29">
        <v>56</v>
      </c>
      <c r="BB224" s="31">
        <v>56</v>
      </c>
      <c r="BC224" s="29">
        <v>13</v>
      </c>
      <c r="BD224" s="31">
        <v>13</v>
      </c>
      <c r="BE224" s="29">
        <v>2</v>
      </c>
      <c r="BF224" s="30">
        <v>5</v>
      </c>
      <c r="BG224" s="33">
        <v>0.4</v>
      </c>
      <c r="BH224" s="30">
        <v>2</v>
      </c>
      <c r="BI224" s="30">
        <v>5</v>
      </c>
      <c r="BJ224" s="35">
        <v>0.4</v>
      </c>
    </row>
    <row r="225" spans="1:62" x14ac:dyDescent="0.25">
      <c r="A225" s="29"/>
      <c r="B225" s="30"/>
      <c r="C225" s="30"/>
      <c r="D225" s="30"/>
      <c r="E225" s="31" t="s">
        <v>68</v>
      </c>
      <c r="F225" s="188">
        <v>223</v>
      </c>
      <c r="G225" s="189">
        <v>211</v>
      </c>
      <c r="H225" s="190">
        <v>0</v>
      </c>
      <c r="I225" s="190">
        <v>211</v>
      </c>
      <c r="J225" s="191">
        <v>0</v>
      </c>
      <c r="K225" s="189">
        <v>0</v>
      </c>
      <c r="L225" s="190">
        <v>1</v>
      </c>
      <c r="M225" s="190">
        <v>0</v>
      </c>
      <c r="N225" s="190">
        <v>0</v>
      </c>
      <c r="O225" s="190">
        <v>10</v>
      </c>
      <c r="P225" s="190">
        <v>0</v>
      </c>
      <c r="Q225" s="190">
        <v>0</v>
      </c>
      <c r="R225" s="191">
        <v>1</v>
      </c>
      <c r="S225" s="188">
        <v>10</v>
      </c>
      <c r="T225" s="189">
        <v>43</v>
      </c>
      <c r="U225" s="190">
        <v>0</v>
      </c>
      <c r="V225" s="190">
        <v>0</v>
      </c>
      <c r="W225" s="190">
        <v>0</v>
      </c>
      <c r="X225" s="191">
        <v>43</v>
      </c>
      <c r="Y225" s="189">
        <v>130</v>
      </c>
      <c r="Z225" s="191">
        <v>85</v>
      </c>
      <c r="AA225" s="189">
        <v>147</v>
      </c>
      <c r="AB225" s="191">
        <v>92</v>
      </c>
      <c r="AC225" s="189">
        <v>156</v>
      </c>
      <c r="AD225" s="191">
        <v>91</v>
      </c>
      <c r="AE225" s="189">
        <v>130</v>
      </c>
      <c r="AF225" s="190">
        <v>45</v>
      </c>
      <c r="AG225" s="191">
        <v>6</v>
      </c>
      <c r="AH225" s="136">
        <v>0.13076923076923078</v>
      </c>
      <c r="AI225" s="33">
        <v>0.2</v>
      </c>
      <c r="AJ225" s="33">
        <v>6.1224489795918366E-2</v>
      </c>
      <c r="AK225" s="33">
        <v>8.2352941176470587E-2</v>
      </c>
      <c r="AL225" s="33">
        <v>7.0588235294117646E-2</v>
      </c>
      <c r="AM225" s="33">
        <v>-1.0869565217391304E-2</v>
      </c>
      <c r="AN225" s="34">
        <v>0.73933649289099523</v>
      </c>
      <c r="AO225" s="33">
        <v>0.43127962085308058</v>
      </c>
      <c r="AP225" s="33">
        <v>0.2132701421800948</v>
      </c>
      <c r="AQ225" s="33">
        <v>2.843601895734597E-2</v>
      </c>
      <c r="AR225" s="33">
        <v>4.7169811320754715E-3</v>
      </c>
      <c r="AS225" s="136">
        <v>4.7393364928909949E-2</v>
      </c>
      <c r="AT225" s="35">
        <v>-0.15639810426540285</v>
      </c>
      <c r="AU225" s="30">
        <v>71</v>
      </c>
      <c r="AV225" s="30">
        <v>67</v>
      </c>
      <c r="AW225" s="31">
        <v>76</v>
      </c>
      <c r="AX225" s="136">
        <v>-5.6338028169014086E-2</v>
      </c>
      <c r="AY225" s="33">
        <v>7.0422535211267609E-2</v>
      </c>
      <c r="AZ225" s="35">
        <v>0.13432835820895522</v>
      </c>
      <c r="BA225" s="29">
        <v>48</v>
      </c>
      <c r="BB225" s="31">
        <v>48</v>
      </c>
      <c r="BC225" s="29">
        <v>3.5</v>
      </c>
      <c r="BD225" s="31">
        <v>5</v>
      </c>
      <c r="BE225" s="29">
        <v>104</v>
      </c>
      <c r="BF225" s="30">
        <v>156</v>
      </c>
      <c r="BG225" s="33">
        <v>0.66666666666666663</v>
      </c>
      <c r="BH225" s="30">
        <v>46</v>
      </c>
      <c r="BI225" s="30">
        <v>76</v>
      </c>
      <c r="BJ225" s="35">
        <v>0.60526315789473684</v>
      </c>
    </row>
    <row r="226" spans="1:62" x14ac:dyDescent="0.25">
      <c r="A226" s="29"/>
      <c r="B226" s="30"/>
      <c r="C226" s="30"/>
      <c r="D226" s="30"/>
      <c r="E226" s="31" t="s">
        <v>97</v>
      </c>
      <c r="F226" s="188">
        <v>155</v>
      </c>
      <c r="G226" s="189">
        <v>152</v>
      </c>
      <c r="H226" s="190">
        <v>0</v>
      </c>
      <c r="I226" s="190">
        <v>152</v>
      </c>
      <c r="J226" s="191">
        <v>0</v>
      </c>
      <c r="K226" s="189">
        <v>0</v>
      </c>
      <c r="L226" s="190">
        <v>0</v>
      </c>
      <c r="M226" s="190">
        <v>3</v>
      </c>
      <c r="N226" s="190">
        <v>0</v>
      </c>
      <c r="O226" s="190">
        <v>0</v>
      </c>
      <c r="P226" s="190">
        <v>0</v>
      </c>
      <c r="Q226" s="190">
        <v>0</v>
      </c>
      <c r="R226" s="191">
        <v>0</v>
      </c>
      <c r="S226" s="188">
        <v>5</v>
      </c>
      <c r="T226" s="189"/>
      <c r="U226" s="190"/>
      <c r="V226" s="190"/>
      <c r="W226" s="190"/>
      <c r="X226" s="191"/>
      <c r="Y226" s="189">
        <v>12</v>
      </c>
      <c r="Z226" s="191">
        <v>5</v>
      </c>
      <c r="AA226" s="189">
        <v>10</v>
      </c>
      <c r="AB226" s="191">
        <v>4</v>
      </c>
      <c r="AC226" s="189">
        <v>117</v>
      </c>
      <c r="AD226" s="191">
        <v>66</v>
      </c>
      <c r="AE226" s="189">
        <v>88</v>
      </c>
      <c r="AF226" s="190">
        <v>30</v>
      </c>
      <c r="AG226" s="191">
        <v>9</v>
      </c>
      <c r="AH226" s="136">
        <v>-0.16666666666666666</v>
      </c>
      <c r="AI226" s="33">
        <v>8.75</v>
      </c>
      <c r="AJ226" s="33">
        <v>10.7</v>
      </c>
      <c r="AK226" s="33">
        <v>-0.2</v>
      </c>
      <c r="AL226" s="33">
        <v>12.2</v>
      </c>
      <c r="AM226" s="33">
        <v>15.5</v>
      </c>
      <c r="AN226" s="34">
        <v>0.76973684210526316</v>
      </c>
      <c r="AO226" s="33">
        <v>0.43421052631578949</v>
      </c>
      <c r="AP226" s="33">
        <v>0.19736842105263158</v>
      </c>
      <c r="AQ226" s="33">
        <v>5.921052631578947E-2</v>
      </c>
      <c r="AR226" s="33">
        <v>0</v>
      </c>
      <c r="AS226" s="136">
        <v>3.2894736842105261E-2</v>
      </c>
      <c r="AT226" s="35">
        <v>3.2894736842105261E-2</v>
      </c>
      <c r="AU226" s="30">
        <v>12</v>
      </c>
      <c r="AV226" s="30">
        <v>8</v>
      </c>
      <c r="AW226" s="31">
        <v>45</v>
      </c>
      <c r="AX226" s="136">
        <v>-0.33333333333333331</v>
      </c>
      <c r="AY226" s="33">
        <v>2.75</v>
      </c>
      <c r="AZ226" s="35">
        <v>4.625</v>
      </c>
      <c r="BA226" s="29">
        <v>53</v>
      </c>
      <c r="BB226" s="31">
        <v>53</v>
      </c>
      <c r="BC226" s="29">
        <v>5</v>
      </c>
      <c r="BD226" s="31">
        <v>4</v>
      </c>
      <c r="BE226" s="29">
        <v>73</v>
      </c>
      <c r="BF226" s="30">
        <v>117</v>
      </c>
      <c r="BG226" s="33">
        <v>0.62393162393162394</v>
      </c>
      <c r="BH226" s="30">
        <v>29</v>
      </c>
      <c r="BI226" s="30">
        <v>45</v>
      </c>
      <c r="BJ226" s="35">
        <v>0.64444444444444449</v>
      </c>
    </row>
    <row r="227" spans="1:62" x14ac:dyDescent="0.25">
      <c r="A227" s="22"/>
      <c r="B227" s="23"/>
      <c r="C227" s="23"/>
      <c r="D227" s="23" t="s">
        <v>214</v>
      </c>
      <c r="E227" s="24"/>
      <c r="F227" s="184">
        <v>832</v>
      </c>
      <c r="G227" s="185">
        <v>788</v>
      </c>
      <c r="H227" s="186">
        <v>0</v>
      </c>
      <c r="I227" s="186">
        <v>526</v>
      </c>
      <c r="J227" s="187">
        <v>262</v>
      </c>
      <c r="K227" s="185">
        <v>0</v>
      </c>
      <c r="L227" s="186">
        <v>0</v>
      </c>
      <c r="M227" s="186">
        <v>5</v>
      </c>
      <c r="N227" s="186">
        <v>1</v>
      </c>
      <c r="O227" s="186">
        <v>3</v>
      </c>
      <c r="P227" s="186">
        <v>0</v>
      </c>
      <c r="Q227" s="186">
        <v>23</v>
      </c>
      <c r="R227" s="187">
        <v>12</v>
      </c>
      <c r="S227" s="184">
        <v>51</v>
      </c>
      <c r="T227" s="185">
        <v>39</v>
      </c>
      <c r="U227" s="186">
        <v>0</v>
      </c>
      <c r="V227" s="186">
        <v>19</v>
      </c>
      <c r="W227" s="186">
        <v>2</v>
      </c>
      <c r="X227" s="187">
        <v>18</v>
      </c>
      <c r="Y227" s="185">
        <v>1263</v>
      </c>
      <c r="Z227" s="187">
        <v>430</v>
      </c>
      <c r="AA227" s="185">
        <v>1217</v>
      </c>
      <c r="AB227" s="187">
        <v>460</v>
      </c>
      <c r="AC227" s="185">
        <v>1149</v>
      </c>
      <c r="AD227" s="187">
        <v>390</v>
      </c>
      <c r="AE227" s="185">
        <v>441</v>
      </c>
      <c r="AF227" s="186">
        <v>151</v>
      </c>
      <c r="AG227" s="187">
        <v>62</v>
      </c>
      <c r="AH227" s="135">
        <v>-3.6421219319081551E-2</v>
      </c>
      <c r="AI227" s="26">
        <v>-9.0261282660332537E-2</v>
      </c>
      <c r="AJ227" s="26">
        <v>-5.5875102711585869E-2</v>
      </c>
      <c r="AK227" s="26">
        <v>6.9767441860465115E-2</v>
      </c>
      <c r="AL227" s="26">
        <v>-9.3023255813953487E-2</v>
      </c>
      <c r="AM227" s="26">
        <v>-0.15217391304347827</v>
      </c>
      <c r="AN227" s="27">
        <v>1.4581218274111676</v>
      </c>
      <c r="AO227" s="26">
        <v>0.49492385786802029</v>
      </c>
      <c r="AP227" s="26">
        <v>0.19162436548223349</v>
      </c>
      <c r="AQ227" s="26">
        <v>7.8680203045685279E-2</v>
      </c>
      <c r="AR227" s="26">
        <v>1.4999999999999999E-2</v>
      </c>
      <c r="AS227" s="135">
        <v>6.4720812182741116E-2</v>
      </c>
      <c r="AT227" s="28">
        <v>1.5228426395939087E-2</v>
      </c>
      <c r="AU227" s="23">
        <v>259</v>
      </c>
      <c r="AV227" s="23">
        <v>240</v>
      </c>
      <c r="AW227" s="24">
        <v>224</v>
      </c>
      <c r="AX227" s="135">
        <v>-7.3359073359073365E-2</v>
      </c>
      <c r="AY227" s="26">
        <v>-0.13513513513513514</v>
      </c>
      <c r="AZ227" s="28">
        <v>-6.6666666666666666E-2</v>
      </c>
      <c r="BA227" s="22">
        <v>55</v>
      </c>
      <c r="BB227" s="24">
        <v>50</v>
      </c>
      <c r="BC227" s="22">
        <v>7</v>
      </c>
      <c r="BD227" s="24">
        <v>7</v>
      </c>
      <c r="BE227" s="22">
        <v>782</v>
      </c>
      <c r="BF227" s="23">
        <v>1149</v>
      </c>
      <c r="BG227" s="26">
        <v>0.68059181897302001</v>
      </c>
      <c r="BH227" s="23">
        <v>144</v>
      </c>
      <c r="BI227" s="23">
        <v>224</v>
      </c>
      <c r="BJ227" s="28">
        <v>0.6428571428571429</v>
      </c>
    </row>
    <row r="228" spans="1:62" x14ac:dyDescent="0.25">
      <c r="A228" s="29"/>
      <c r="B228" s="30"/>
      <c r="C228" s="30"/>
      <c r="D228" s="30"/>
      <c r="E228" s="31" t="s">
        <v>82</v>
      </c>
      <c r="F228" s="188">
        <v>783</v>
      </c>
      <c r="G228" s="189">
        <v>740</v>
      </c>
      <c r="H228" s="190">
        <v>0</v>
      </c>
      <c r="I228" s="190">
        <v>478</v>
      </c>
      <c r="J228" s="191">
        <v>262</v>
      </c>
      <c r="K228" s="189">
        <v>0</v>
      </c>
      <c r="L228" s="190">
        <v>0</v>
      </c>
      <c r="M228" s="190">
        <v>5</v>
      </c>
      <c r="N228" s="190">
        <v>0</v>
      </c>
      <c r="O228" s="190">
        <v>3</v>
      </c>
      <c r="P228" s="190">
        <v>0</v>
      </c>
      <c r="Q228" s="190">
        <v>23</v>
      </c>
      <c r="R228" s="191">
        <v>12</v>
      </c>
      <c r="S228" s="188">
        <v>44</v>
      </c>
      <c r="T228" s="189">
        <v>38</v>
      </c>
      <c r="U228" s="190">
        <v>0</v>
      </c>
      <c r="V228" s="190">
        <v>19</v>
      </c>
      <c r="W228" s="190">
        <v>2</v>
      </c>
      <c r="X228" s="191">
        <v>17</v>
      </c>
      <c r="Y228" s="189">
        <v>1248</v>
      </c>
      <c r="Z228" s="191">
        <v>417</v>
      </c>
      <c r="AA228" s="189">
        <v>1202</v>
      </c>
      <c r="AB228" s="191">
        <v>449</v>
      </c>
      <c r="AC228" s="189">
        <v>1093</v>
      </c>
      <c r="AD228" s="191">
        <v>362</v>
      </c>
      <c r="AE228" s="189">
        <v>420</v>
      </c>
      <c r="AF228" s="190">
        <v>145</v>
      </c>
      <c r="AG228" s="191">
        <v>57</v>
      </c>
      <c r="AH228" s="136">
        <v>-3.685897435897436E-2</v>
      </c>
      <c r="AI228" s="33">
        <v>-0.12419871794871795</v>
      </c>
      <c r="AJ228" s="33">
        <v>-9.0682196339434279E-2</v>
      </c>
      <c r="AK228" s="33">
        <v>7.6738609112709827E-2</v>
      </c>
      <c r="AL228" s="33">
        <v>-0.13189448441247004</v>
      </c>
      <c r="AM228" s="33">
        <v>-0.19376391982182628</v>
      </c>
      <c r="AN228" s="34">
        <v>1.4770270270270269</v>
      </c>
      <c r="AO228" s="33">
        <v>0.48918918918918919</v>
      </c>
      <c r="AP228" s="33">
        <v>0.19594594594594594</v>
      </c>
      <c r="AQ228" s="33">
        <v>7.7027027027027031E-2</v>
      </c>
      <c r="AR228" s="33">
        <v>1.5957446808510637E-2</v>
      </c>
      <c r="AS228" s="136">
        <v>5.9459459459459463E-2</v>
      </c>
      <c r="AT228" s="35">
        <v>8.1081081081081086E-3</v>
      </c>
      <c r="AU228" s="30">
        <v>249</v>
      </c>
      <c r="AV228" s="30">
        <v>228</v>
      </c>
      <c r="AW228" s="31">
        <v>204</v>
      </c>
      <c r="AX228" s="136">
        <v>-8.4337349397590355E-2</v>
      </c>
      <c r="AY228" s="33">
        <v>-0.18072289156626506</v>
      </c>
      <c r="AZ228" s="35">
        <v>-0.10526315789473684</v>
      </c>
      <c r="BA228" s="29">
        <v>55</v>
      </c>
      <c r="BB228" s="31">
        <v>50.5</v>
      </c>
      <c r="BC228" s="29">
        <v>7</v>
      </c>
      <c r="BD228" s="31">
        <v>8</v>
      </c>
      <c r="BE228" s="29">
        <v>735</v>
      </c>
      <c r="BF228" s="30">
        <v>1093</v>
      </c>
      <c r="BG228" s="33">
        <v>0.67246111619396154</v>
      </c>
      <c r="BH228" s="30">
        <v>130</v>
      </c>
      <c r="BI228" s="30">
        <v>204</v>
      </c>
      <c r="BJ228" s="35">
        <v>0.63725490196078427</v>
      </c>
    </row>
    <row r="229" spans="1:62" x14ac:dyDescent="0.25">
      <c r="A229" s="29"/>
      <c r="B229" s="30"/>
      <c r="C229" s="30"/>
      <c r="D229" s="30"/>
      <c r="E229" s="31" t="s">
        <v>68</v>
      </c>
      <c r="F229" s="188">
        <v>20</v>
      </c>
      <c r="G229" s="189">
        <v>20</v>
      </c>
      <c r="H229" s="190">
        <v>0</v>
      </c>
      <c r="I229" s="190">
        <v>20</v>
      </c>
      <c r="J229" s="191">
        <v>0</v>
      </c>
      <c r="K229" s="189">
        <v>0</v>
      </c>
      <c r="L229" s="190">
        <v>0</v>
      </c>
      <c r="M229" s="190">
        <v>0</v>
      </c>
      <c r="N229" s="190">
        <v>0</v>
      </c>
      <c r="O229" s="190">
        <v>0</v>
      </c>
      <c r="P229" s="190">
        <v>0</v>
      </c>
      <c r="Q229" s="190">
        <v>0</v>
      </c>
      <c r="R229" s="191">
        <v>0</v>
      </c>
      <c r="S229" s="188">
        <v>5</v>
      </c>
      <c r="T229" s="189">
        <v>1</v>
      </c>
      <c r="U229" s="190">
        <v>0</v>
      </c>
      <c r="V229" s="190">
        <v>0</v>
      </c>
      <c r="W229" s="190">
        <v>0</v>
      </c>
      <c r="X229" s="191">
        <v>1</v>
      </c>
      <c r="Y229" s="189">
        <v>15</v>
      </c>
      <c r="Z229" s="191">
        <v>13</v>
      </c>
      <c r="AA229" s="189">
        <v>14</v>
      </c>
      <c r="AB229" s="191">
        <v>10</v>
      </c>
      <c r="AC229" s="189">
        <v>15</v>
      </c>
      <c r="AD229" s="191">
        <v>5</v>
      </c>
      <c r="AE229" s="189">
        <v>15</v>
      </c>
      <c r="AF229" s="190">
        <v>2</v>
      </c>
      <c r="AG229" s="191">
        <v>3</v>
      </c>
      <c r="AH229" s="136">
        <v>-6.6666666666666666E-2</v>
      </c>
      <c r="AI229" s="33">
        <v>0</v>
      </c>
      <c r="AJ229" s="33">
        <v>7.1428571428571425E-2</v>
      </c>
      <c r="AK229" s="33">
        <v>-0.23076923076923078</v>
      </c>
      <c r="AL229" s="33">
        <v>-0.61538461538461542</v>
      </c>
      <c r="AM229" s="33">
        <v>-0.5</v>
      </c>
      <c r="AN229" s="34">
        <v>0.75</v>
      </c>
      <c r="AO229" s="33">
        <v>0.25</v>
      </c>
      <c r="AP229" s="33">
        <v>0.1</v>
      </c>
      <c r="AQ229" s="33">
        <v>0.15</v>
      </c>
      <c r="AR229" s="33">
        <v>0</v>
      </c>
      <c r="AS229" s="136">
        <v>0.25</v>
      </c>
      <c r="AT229" s="35">
        <v>0.2</v>
      </c>
      <c r="AU229" s="30">
        <v>11</v>
      </c>
      <c r="AV229" s="30">
        <v>12</v>
      </c>
      <c r="AW229" s="31">
        <v>15</v>
      </c>
      <c r="AX229" s="136">
        <v>9.0909090909090912E-2</v>
      </c>
      <c r="AY229" s="33">
        <v>0.36363636363636365</v>
      </c>
      <c r="AZ229" s="35">
        <v>0.25</v>
      </c>
      <c r="BA229" s="29">
        <v>37</v>
      </c>
      <c r="BB229" s="31">
        <v>37</v>
      </c>
      <c r="BC229" s="29">
        <v>2</v>
      </c>
      <c r="BD229" s="31">
        <v>2</v>
      </c>
      <c r="BE229" s="29">
        <v>9</v>
      </c>
      <c r="BF229" s="30">
        <v>15</v>
      </c>
      <c r="BG229" s="33">
        <v>0.6</v>
      </c>
      <c r="BH229" s="30">
        <v>9</v>
      </c>
      <c r="BI229" s="30">
        <v>15</v>
      </c>
      <c r="BJ229" s="35">
        <v>0.6</v>
      </c>
    </row>
    <row r="230" spans="1:62" x14ac:dyDescent="0.25">
      <c r="A230" s="29"/>
      <c r="B230" s="30"/>
      <c r="C230" s="30"/>
      <c r="D230" s="30"/>
      <c r="E230" s="31" t="s">
        <v>97</v>
      </c>
      <c r="F230" s="188">
        <v>28</v>
      </c>
      <c r="G230" s="189">
        <v>27</v>
      </c>
      <c r="H230" s="190">
        <v>0</v>
      </c>
      <c r="I230" s="190">
        <v>27</v>
      </c>
      <c r="J230" s="191">
        <v>0</v>
      </c>
      <c r="K230" s="189">
        <v>0</v>
      </c>
      <c r="L230" s="190">
        <v>0</v>
      </c>
      <c r="M230" s="190">
        <v>0</v>
      </c>
      <c r="N230" s="190">
        <v>1</v>
      </c>
      <c r="O230" s="190">
        <v>0</v>
      </c>
      <c r="P230" s="190">
        <v>0</v>
      </c>
      <c r="Q230" s="190">
        <v>0</v>
      </c>
      <c r="R230" s="191">
        <v>0</v>
      </c>
      <c r="S230" s="188">
        <v>2</v>
      </c>
      <c r="T230" s="189"/>
      <c r="U230" s="190"/>
      <c r="V230" s="190"/>
      <c r="W230" s="190"/>
      <c r="X230" s="191"/>
      <c r="Y230" s="189">
        <v>0</v>
      </c>
      <c r="Z230" s="191">
        <v>0</v>
      </c>
      <c r="AA230" s="189">
        <v>0</v>
      </c>
      <c r="AB230" s="191">
        <v>0</v>
      </c>
      <c r="AC230" s="189">
        <v>41</v>
      </c>
      <c r="AD230" s="191">
        <v>23</v>
      </c>
      <c r="AE230" s="189">
        <v>5</v>
      </c>
      <c r="AF230" s="190">
        <v>4</v>
      </c>
      <c r="AG230" s="191">
        <v>2</v>
      </c>
      <c r="AH230" s="136"/>
      <c r="AI230" s="33"/>
      <c r="AJ230" s="33"/>
      <c r="AK230" s="33"/>
      <c r="AL230" s="33"/>
      <c r="AM230" s="33"/>
      <c r="AN230" s="34">
        <v>1.5185185185185186</v>
      </c>
      <c r="AO230" s="33">
        <v>0.85185185185185186</v>
      </c>
      <c r="AP230" s="33">
        <v>0.14814814814814814</v>
      </c>
      <c r="AQ230" s="33">
        <v>7.407407407407407E-2</v>
      </c>
      <c r="AR230" s="33">
        <v>0</v>
      </c>
      <c r="AS230" s="136">
        <v>7.407407407407407E-2</v>
      </c>
      <c r="AT230" s="35">
        <v>7.407407407407407E-2</v>
      </c>
      <c r="AU230" s="30">
        <v>0</v>
      </c>
      <c r="AV230" s="30">
        <v>0</v>
      </c>
      <c r="AW230" s="31">
        <v>12</v>
      </c>
      <c r="AX230" s="136"/>
      <c r="AY230" s="33"/>
      <c r="AZ230" s="35"/>
      <c r="BA230" s="29">
        <v>56</v>
      </c>
      <c r="BB230" s="31">
        <v>60</v>
      </c>
      <c r="BC230" s="29">
        <v>0</v>
      </c>
      <c r="BD230" s="31">
        <v>4</v>
      </c>
      <c r="BE230" s="29">
        <v>38</v>
      </c>
      <c r="BF230" s="30">
        <v>41</v>
      </c>
      <c r="BG230" s="33">
        <v>0.92682926829268297</v>
      </c>
      <c r="BH230" s="30">
        <v>9</v>
      </c>
      <c r="BI230" s="30">
        <v>12</v>
      </c>
      <c r="BJ230" s="35">
        <v>0.75</v>
      </c>
    </row>
    <row r="231" spans="1:62" x14ac:dyDescent="0.25">
      <c r="A231" s="22"/>
      <c r="B231" s="23"/>
      <c r="C231" s="23"/>
      <c r="D231" s="23" t="s">
        <v>215</v>
      </c>
      <c r="E231" s="24"/>
      <c r="F231" s="184">
        <v>642</v>
      </c>
      <c r="G231" s="185">
        <v>628</v>
      </c>
      <c r="H231" s="186">
        <v>0</v>
      </c>
      <c r="I231" s="186">
        <v>596</v>
      </c>
      <c r="J231" s="187">
        <v>32</v>
      </c>
      <c r="K231" s="185">
        <v>0</v>
      </c>
      <c r="L231" s="186">
        <v>2</v>
      </c>
      <c r="M231" s="186">
        <v>1</v>
      </c>
      <c r="N231" s="186">
        <v>0</v>
      </c>
      <c r="O231" s="186">
        <v>0</v>
      </c>
      <c r="P231" s="186">
        <v>0</v>
      </c>
      <c r="Q231" s="186">
        <v>5</v>
      </c>
      <c r="R231" s="187">
        <v>6</v>
      </c>
      <c r="S231" s="184">
        <v>15</v>
      </c>
      <c r="T231" s="185">
        <v>48</v>
      </c>
      <c r="U231" s="186">
        <v>0</v>
      </c>
      <c r="V231" s="186">
        <v>4</v>
      </c>
      <c r="W231" s="186">
        <v>0</v>
      </c>
      <c r="X231" s="187">
        <v>44</v>
      </c>
      <c r="Y231" s="185">
        <v>907</v>
      </c>
      <c r="Z231" s="187">
        <v>403</v>
      </c>
      <c r="AA231" s="185">
        <v>858</v>
      </c>
      <c r="AB231" s="187">
        <v>391</v>
      </c>
      <c r="AC231" s="185">
        <v>583</v>
      </c>
      <c r="AD231" s="187">
        <v>287</v>
      </c>
      <c r="AE231" s="185">
        <v>353</v>
      </c>
      <c r="AF231" s="186">
        <v>78</v>
      </c>
      <c r="AG231" s="187">
        <v>57</v>
      </c>
      <c r="AH231" s="135">
        <v>-5.4024255788313123E-2</v>
      </c>
      <c r="AI231" s="26">
        <v>-0.35722160970231531</v>
      </c>
      <c r="AJ231" s="26">
        <v>-0.32051282051282054</v>
      </c>
      <c r="AK231" s="26">
        <v>-2.9776674937965261E-2</v>
      </c>
      <c r="AL231" s="26">
        <v>-0.28784119106699751</v>
      </c>
      <c r="AM231" s="26">
        <v>-0.26598465473145783</v>
      </c>
      <c r="AN231" s="27">
        <v>0.92834394904458595</v>
      </c>
      <c r="AO231" s="26">
        <v>0.4570063694267516</v>
      </c>
      <c r="AP231" s="26">
        <v>0.12420382165605096</v>
      </c>
      <c r="AQ231" s="26">
        <v>9.0764331210191077E-2</v>
      </c>
      <c r="AR231" s="26">
        <v>9.4637223974763408E-3</v>
      </c>
      <c r="AS231" s="135">
        <v>2.3885350318471339E-2</v>
      </c>
      <c r="AT231" s="28">
        <v>-5.2547770700636945E-2</v>
      </c>
      <c r="AU231" s="23">
        <v>190</v>
      </c>
      <c r="AV231" s="23">
        <v>148</v>
      </c>
      <c r="AW231" s="24">
        <v>138</v>
      </c>
      <c r="AX231" s="135">
        <v>-0.22105263157894736</v>
      </c>
      <c r="AY231" s="26">
        <v>-0.27368421052631581</v>
      </c>
      <c r="AZ231" s="28">
        <v>-6.7567567567567571E-2</v>
      </c>
      <c r="BA231" s="22">
        <v>44</v>
      </c>
      <c r="BB231" s="24">
        <v>47</v>
      </c>
      <c r="BC231" s="22">
        <v>6</v>
      </c>
      <c r="BD231" s="24">
        <v>5</v>
      </c>
      <c r="BE231" s="22">
        <v>386</v>
      </c>
      <c r="BF231" s="23">
        <v>583</v>
      </c>
      <c r="BG231" s="26">
        <v>0.66209262435677529</v>
      </c>
      <c r="BH231" s="23">
        <v>87</v>
      </c>
      <c r="BI231" s="23">
        <v>138</v>
      </c>
      <c r="BJ231" s="28">
        <v>0.63043478260869568</v>
      </c>
    </row>
    <row r="232" spans="1:62" x14ac:dyDescent="0.25">
      <c r="A232" s="29"/>
      <c r="B232" s="30"/>
      <c r="C232" s="30"/>
      <c r="D232" s="30"/>
      <c r="E232" s="31" t="s">
        <v>82</v>
      </c>
      <c r="F232" s="188">
        <v>637</v>
      </c>
      <c r="G232" s="189">
        <v>624</v>
      </c>
      <c r="H232" s="190">
        <v>0</v>
      </c>
      <c r="I232" s="190">
        <v>592</v>
      </c>
      <c r="J232" s="191">
        <v>32</v>
      </c>
      <c r="K232" s="189">
        <v>0</v>
      </c>
      <c r="L232" s="190">
        <v>2</v>
      </c>
      <c r="M232" s="190">
        <v>1</v>
      </c>
      <c r="N232" s="190">
        <v>0</v>
      </c>
      <c r="O232" s="190">
        <v>0</v>
      </c>
      <c r="P232" s="190">
        <v>0</v>
      </c>
      <c r="Q232" s="190">
        <v>4</v>
      </c>
      <c r="R232" s="191">
        <v>6</v>
      </c>
      <c r="S232" s="188">
        <v>15</v>
      </c>
      <c r="T232" s="189">
        <v>45</v>
      </c>
      <c r="U232" s="190">
        <v>0</v>
      </c>
      <c r="V232" s="190">
        <v>3</v>
      </c>
      <c r="W232" s="190">
        <v>0</v>
      </c>
      <c r="X232" s="191">
        <v>42</v>
      </c>
      <c r="Y232" s="189">
        <v>907</v>
      </c>
      <c r="Z232" s="191">
        <v>403</v>
      </c>
      <c r="AA232" s="189">
        <v>855</v>
      </c>
      <c r="AB232" s="191">
        <v>390</v>
      </c>
      <c r="AC232" s="189">
        <v>582</v>
      </c>
      <c r="AD232" s="191">
        <v>286</v>
      </c>
      <c r="AE232" s="189">
        <v>349</v>
      </c>
      <c r="AF232" s="190">
        <v>76</v>
      </c>
      <c r="AG232" s="191">
        <v>57</v>
      </c>
      <c r="AH232" s="136">
        <v>-5.7331863285556783E-2</v>
      </c>
      <c r="AI232" s="33">
        <v>-0.35832414553472985</v>
      </c>
      <c r="AJ232" s="33">
        <v>-0.31929824561403508</v>
      </c>
      <c r="AK232" s="33">
        <v>-3.2258064516129031E-2</v>
      </c>
      <c r="AL232" s="33">
        <v>-0.29032258064516131</v>
      </c>
      <c r="AM232" s="33">
        <v>-0.26666666666666666</v>
      </c>
      <c r="AN232" s="34">
        <v>0.93269230769230771</v>
      </c>
      <c r="AO232" s="33">
        <v>0.45833333333333331</v>
      </c>
      <c r="AP232" s="33">
        <v>0.12179487179487179</v>
      </c>
      <c r="AQ232" s="33">
        <v>9.1346153846153841E-2</v>
      </c>
      <c r="AR232" s="33">
        <v>9.5238095238095247E-3</v>
      </c>
      <c r="AS232" s="136">
        <v>2.403846153846154E-2</v>
      </c>
      <c r="AT232" s="35">
        <v>-4.807692307692308E-2</v>
      </c>
      <c r="AU232" s="30">
        <v>190</v>
      </c>
      <c r="AV232" s="30">
        <v>147</v>
      </c>
      <c r="AW232" s="31">
        <v>137</v>
      </c>
      <c r="AX232" s="136">
        <v>-0.22631578947368422</v>
      </c>
      <c r="AY232" s="33">
        <v>-0.27894736842105261</v>
      </c>
      <c r="AZ232" s="35">
        <v>-6.8027210884353748E-2</v>
      </c>
      <c r="BA232" s="29">
        <v>44</v>
      </c>
      <c r="BB232" s="31">
        <v>47</v>
      </c>
      <c r="BC232" s="29">
        <v>5.5</v>
      </c>
      <c r="BD232" s="31">
        <v>5</v>
      </c>
      <c r="BE232" s="29">
        <v>386</v>
      </c>
      <c r="BF232" s="30">
        <v>582</v>
      </c>
      <c r="BG232" s="33">
        <v>0.66323024054982815</v>
      </c>
      <c r="BH232" s="30">
        <v>86</v>
      </c>
      <c r="BI232" s="30">
        <v>137</v>
      </c>
      <c r="BJ232" s="35">
        <v>0.62773722627737227</v>
      </c>
    </row>
    <row r="233" spans="1:62" x14ac:dyDescent="0.25">
      <c r="A233" s="22"/>
      <c r="B233" s="23"/>
      <c r="C233" s="23"/>
      <c r="D233" s="23" t="s">
        <v>216</v>
      </c>
      <c r="E233" s="24"/>
      <c r="F233" s="184">
        <v>662</v>
      </c>
      <c r="G233" s="185">
        <v>622</v>
      </c>
      <c r="H233" s="186">
        <v>0</v>
      </c>
      <c r="I233" s="186">
        <v>499</v>
      </c>
      <c r="J233" s="187">
        <v>123</v>
      </c>
      <c r="K233" s="185">
        <v>0</v>
      </c>
      <c r="L233" s="186">
        <v>1</v>
      </c>
      <c r="M233" s="186">
        <v>5</v>
      </c>
      <c r="N233" s="186">
        <v>0</v>
      </c>
      <c r="O233" s="186">
        <v>1</v>
      </c>
      <c r="P233" s="186">
        <v>0</v>
      </c>
      <c r="Q233" s="186">
        <v>24</v>
      </c>
      <c r="R233" s="187">
        <v>9</v>
      </c>
      <c r="S233" s="184">
        <v>43</v>
      </c>
      <c r="T233" s="185">
        <v>52</v>
      </c>
      <c r="U233" s="186">
        <v>1</v>
      </c>
      <c r="V233" s="186">
        <v>22</v>
      </c>
      <c r="W233" s="186">
        <v>0</v>
      </c>
      <c r="X233" s="187">
        <v>29</v>
      </c>
      <c r="Y233" s="185">
        <v>1503</v>
      </c>
      <c r="Z233" s="187">
        <v>454</v>
      </c>
      <c r="AA233" s="185">
        <v>1424</v>
      </c>
      <c r="AB233" s="187">
        <v>458</v>
      </c>
      <c r="AC233" s="185">
        <v>1199</v>
      </c>
      <c r="AD233" s="187">
        <v>364</v>
      </c>
      <c r="AE233" s="185">
        <v>296</v>
      </c>
      <c r="AF233" s="186">
        <v>46</v>
      </c>
      <c r="AG233" s="187">
        <v>76</v>
      </c>
      <c r="AH233" s="135">
        <v>-5.2561543579507652E-2</v>
      </c>
      <c r="AI233" s="26">
        <v>-0.20226214238190285</v>
      </c>
      <c r="AJ233" s="26">
        <v>-0.1580056179775281</v>
      </c>
      <c r="AK233" s="26">
        <v>8.8105726872246704E-3</v>
      </c>
      <c r="AL233" s="26">
        <v>-0.19823788546255505</v>
      </c>
      <c r="AM233" s="26">
        <v>-0.20524017467248909</v>
      </c>
      <c r="AN233" s="27">
        <v>1.927652733118971</v>
      </c>
      <c r="AO233" s="26">
        <v>0.58520900321543412</v>
      </c>
      <c r="AP233" s="26">
        <v>7.3954983922829579E-2</v>
      </c>
      <c r="AQ233" s="26">
        <v>0.12218649517684887</v>
      </c>
      <c r="AR233" s="26">
        <v>1.4263074484944533E-2</v>
      </c>
      <c r="AS233" s="135">
        <v>6.9131832797427656E-2</v>
      </c>
      <c r="AT233" s="28">
        <v>-1.4469453376205787E-2</v>
      </c>
      <c r="AU233" s="23">
        <v>313</v>
      </c>
      <c r="AV233" s="23">
        <v>273</v>
      </c>
      <c r="AW233" s="24">
        <v>236</v>
      </c>
      <c r="AX233" s="135">
        <v>-0.12779552715654952</v>
      </c>
      <c r="AY233" s="26">
        <v>-0.24600638977635783</v>
      </c>
      <c r="AZ233" s="28">
        <v>-0.13553113553113552</v>
      </c>
      <c r="BA233" s="22">
        <v>53</v>
      </c>
      <c r="BB233" s="24">
        <v>49</v>
      </c>
      <c r="BC233" s="22">
        <v>10</v>
      </c>
      <c r="BD233" s="24">
        <v>7</v>
      </c>
      <c r="BE233" s="22">
        <v>815</v>
      </c>
      <c r="BF233" s="23">
        <v>1199</v>
      </c>
      <c r="BG233" s="26">
        <v>0.67973311092577149</v>
      </c>
      <c r="BH233" s="23">
        <v>153</v>
      </c>
      <c r="BI233" s="23">
        <v>236</v>
      </c>
      <c r="BJ233" s="28">
        <v>0.64830508474576276</v>
      </c>
    </row>
    <row r="234" spans="1:62" x14ac:dyDescent="0.25">
      <c r="A234" s="29"/>
      <c r="B234" s="30"/>
      <c r="C234" s="30"/>
      <c r="D234" s="30"/>
      <c r="E234" s="31" t="s">
        <v>82</v>
      </c>
      <c r="F234" s="188">
        <v>649</v>
      </c>
      <c r="G234" s="189">
        <v>609</v>
      </c>
      <c r="H234" s="190">
        <v>0</v>
      </c>
      <c r="I234" s="190">
        <v>486</v>
      </c>
      <c r="J234" s="191">
        <v>123</v>
      </c>
      <c r="K234" s="189">
        <v>0</v>
      </c>
      <c r="L234" s="190">
        <v>1</v>
      </c>
      <c r="M234" s="190">
        <v>5</v>
      </c>
      <c r="N234" s="190">
        <v>0</v>
      </c>
      <c r="O234" s="190">
        <v>1</v>
      </c>
      <c r="P234" s="190">
        <v>0</v>
      </c>
      <c r="Q234" s="190">
        <v>24</v>
      </c>
      <c r="R234" s="191">
        <v>9</v>
      </c>
      <c r="S234" s="188">
        <v>43</v>
      </c>
      <c r="T234" s="189">
        <v>52</v>
      </c>
      <c r="U234" s="190">
        <v>1</v>
      </c>
      <c r="V234" s="190">
        <v>22</v>
      </c>
      <c r="W234" s="190">
        <v>0</v>
      </c>
      <c r="X234" s="191">
        <v>29</v>
      </c>
      <c r="Y234" s="189">
        <v>1497</v>
      </c>
      <c r="Z234" s="191">
        <v>452</v>
      </c>
      <c r="AA234" s="189">
        <v>1409</v>
      </c>
      <c r="AB234" s="191">
        <v>457</v>
      </c>
      <c r="AC234" s="189">
        <v>1189</v>
      </c>
      <c r="AD234" s="191">
        <v>360</v>
      </c>
      <c r="AE234" s="189">
        <v>287</v>
      </c>
      <c r="AF234" s="190">
        <v>43</v>
      </c>
      <c r="AG234" s="191">
        <v>74</v>
      </c>
      <c r="AH234" s="136">
        <v>-5.8784235136940546E-2</v>
      </c>
      <c r="AI234" s="33">
        <v>-0.20574482297929192</v>
      </c>
      <c r="AJ234" s="33">
        <v>-0.15613910574875797</v>
      </c>
      <c r="AK234" s="33">
        <v>1.1061946902654867E-2</v>
      </c>
      <c r="AL234" s="33">
        <v>-0.20353982300884957</v>
      </c>
      <c r="AM234" s="33">
        <v>-0.21225382932166301</v>
      </c>
      <c r="AN234" s="34">
        <v>1.9523809523809523</v>
      </c>
      <c r="AO234" s="33">
        <v>0.59113300492610843</v>
      </c>
      <c r="AP234" s="33">
        <v>7.0607553366174053E-2</v>
      </c>
      <c r="AQ234" s="33">
        <v>0.12151067323481117</v>
      </c>
      <c r="AR234" s="33">
        <v>1.4563106796116505E-2</v>
      </c>
      <c r="AS234" s="136">
        <v>7.0607553366174053E-2</v>
      </c>
      <c r="AT234" s="35">
        <v>-1.4778325123152709E-2</v>
      </c>
      <c r="AU234" s="30">
        <v>312</v>
      </c>
      <c r="AV234" s="30">
        <v>273</v>
      </c>
      <c r="AW234" s="31">
        <v>235</v>
      </c>
      <c r="AX234" s="136">
        <v>-0.125</v>
      </c>
      <c r="AY234" s="33">
        <v>-0.24679487179487181</v>
      </c>
      <c r="AZ234" s="35">
        <v>-0.1391941391941392</v>
      </c>
      <c r="BA234" s="29">
        <v>53</v>
      </c>
      <c r="BB234" s="31">
        <v>49</v>
      </c>
      <c r="BC234" s="29">
        <v>10</v>
      </c>
      <c r="BD234" s="31">
        <v>7</v>
      </c>
      <c r="BE234" s="29">
        <v>807</v>
      </c>
      <c r="BF234" s="30">
        <v>1189</v>
      </c>
      <c r="BG234" s="33">
        <v>0.67872161480235493</v>
      </c>
      <c r="BH234" s="30">
        <v>151</v>
      </c>
      <c r="BI234" s="30">
        <v>235</v>
      </c>
      <c r="BJ234" s="35">
        <v>0.64255319148936174</v>
      </c>
    </row>
    <row r="235" spans="1:62" x14ac:dyDescent="0.25">
      <c r="A235" s="29"/>
      <c r="B235" s="30"/>
      <c r="C235" s="30"/>
      <c r="D235" s="30"/>
      <c r="E235" s="31" t="s">
        <v>97</v>
      </c>
      <c r="F235" s="188">
        <v>11</v>
      </c>
      <c r="G235" s="189">
        <v>11</v>
      </c>
      <c r="H235" s="190">
        <v>0</v>
      </c>
      <c r="I235" s="190">
        <v>11</v>
      </c>
      <c r="J235" s="191">
        <v>0</v>
      </c>
      <c r="K235" s="189">
        <v>0</v>
      </c>
      <c r="L235" s="190">
        <v>0</v>
      </c>
      <c r="M235" s="190">
        <v>0</v>
      </c>
      <c r="N235" s="190">
        <v>0</v>
      </c>
      <c r="O235" s="190">
        <v>0</v>
      </c>
      <c r="P235" s="190">
        <v>0</v>
      </c>
      <c r="Q235" s="190">
        <v>0</v>
      </c>
      <c r="R235" s="191">
        <v>0</v>
      </c>
      <c r="S235" s="188">
        <v>0</v>
      </c>
      <c r="T235" s="189"/>
      <c r="U235" s="190"/>
      <c r="V235" s="190"/>
      <c r="W235" s="190"/>
      <c r="X235" s="191"/>
      <c r="Y235" s="189">
        <v>0</v>
      </c>
      <c r="Z235" s="191">
        <v>0</v>
      </c>
      <c r="AA235" s="189">
        <v>0</v>
      </c>
      <c r="AB235" s="191">
        <v>0</v>
      </c>
      <c r="AC235" s="189">
        <v>3</v>
      </c>
      <c r="AD235" s="191">
        <v>3</v>
      </c>
      <c r="AE235" s="189">
        <v>8</v>
      </c>
      <c r="AF235" s="190">
        <v>3</v>
      </c>
      <c r="AG235" s="191">
        <v>2</v>
      </c>
      <c r="AH235" s="136"/>
      <c r="AI235" s="33"/>
      <c r="AJ235" s="33"/>
      <c r="AK235" s="33"/>
      <c r="AL235" s="33"/>
      <c r="AM235" s="33"/>
      <c r="AN235" s="34">
        <v>0.27272727272727271</v>
      </c>
      <c r="AO235" s="33">
        <v>0.27272727272727271</v>
      </c>
      <c r="AP235" s="33">
        <v>0.27272727272727271</v>
      </c>
      <c r="AQ235" s="33">
        <v>0.18181818181818182</v>
      </c>
      <c r="AR235" s="33">
        <v>0</v>
      </c>
      <c r="AS235" s="136">
        <v>0</v>
      </c>
      <c r="AT235" s="35">
        <v>0</v>
      </c>
      <c r="AU235" s="30">
        <v>0</v>
      </c>
      <c r="AV235" s="30">
        <v>0</v>
      </c>
      <c r="AW235" s="31">
        <v>2</v>
      </c>
      <c r="AX235" s="136"/>
      <c r="AY235" s="33"/>
      <c r="AZ235" s="35"/>
      <c r="BA235" s="29">
        <v>57</v>
      </c>
      <c r="BB235" s="31">
        <v>49</v>
      </c>
      <c r="BC235" s="29">
        <v>13</v>
      </c>
      <c r="BD235" s="31">
        <v>8</v>
      </c>
      <c r="BE235" s="29">
        <v>3</v>
      </c>
      <c r="BF235" s="30">
        <v>3</v>
      </c>
      <c r="BG235" s="33">
        <v>1</v>
      </c>
      <c r="BH235" s="30">
        <v>2</v>
      </c>
      <c r="BI235" s="30">
        <v>2</v>
      </c>
      <c r="BJ235" s="35">
        <v>1</v>
      </c>
    </row>
    <row r="236" spans="1:62" x14ac:dyDescent="0.25">
      <c r="A236" s="22"/>
      <c r="B236" s="23"/>
      <c r="C236" s="23"/>
      <c r="D236" s="23" t="s">
        <v>217</v>
      </c>
      <c r="E236" s="24"/>
      <c r="F236" s="184">
        <v>3077</v>
      </c>
      <c r="G236" s="185">
        <v>2896</v>
      </c>
      <c r="H236" s="186">
        <v>0</v>
      </c>
      <c r="I236" s="186">
        <v>2176</v>
      </c>
      <c r="J236" s="187">
        <v>720</v>
      </c>
      <c r="K236" s="185">
        <v>0</v>
      </c>
      <c r="L236" s="186">
        <v>15</v>
      </c>
      <c r="M236" s="186">
        <v>10</v>
      </c>
      <c r="N236" s="186">
        <v>1</v>
      </c>
      <c r="O236" s="186">
        <v>20</v>
      </c>
      <c r="P236" s="186">
        <v>0</v>
      </c>
      <c r="Q236" s="186">
        <v>102</v>
      </c>
      <c r="R236" s="187">
        <v>22</v>
      </c>
      <c r="S236" s="184">
        <v>48</v>
      </c>
      <c r="T236" s="185">
        <v>294</v>
      </c>
      <c r="U236" s="186">
        <v>0</v>
      </c>
      <c r="V236" s="186">
        <v>99</v>
      </c>
      <c r="W236" s="186">
        <v>3</v>
      </c>
      <c r="X236" s="187">
        <v>192</v>
      </c>
      <c r="Y236" s="185">
        <v>2525</v>
      </c>
      <c r="Z236" s="187">
        <v>1385</v>
      </c>
      <c r="AA236" s="185">
        <v>2273</v>
      </c>
      <c r="AB236" s="187">
        <v>1253</v>
      </c>
      <c r="AC236" s="185">
        <v>1791</v>
      </c>
      <c r="AD236" s="187">
        <v>1040</v>
      </c>
      <c r="AE236" s="185">
        <v>2018</v>
      </c>
      <c r="AF236" s="186">
        <v>914</v>
      </c>
      <c r="AG236" s="187">
        <v>150</v>
      </c>
      <c r="AH236" s="135">
        <v>-9.9801980198019807E-2</v>
      </c>
      <c r="AI236" s="26">
        <v>-0.29069306930693067</v>
      </c>
      <c r="AJ236" s="26">
        <v>-0.21205455345358556</v>
      </c>
      <c r="AK236" s="26">
        <v>-9.5306859205776168E-2</v>
      </c>
      <c r="AL236" s="26">
        <v>-0.24909747292418771</v>
      </c>
      <c r="AM236" s="26">
        <v>-0.16999201915403034</v>
      </c>
      <c r="AN236" s="27">
        <v>0.61843922651933703</v>
      </c>
      <c r="AO236" s="26">
        <v>0.35911602209944754</v>
      </c>
      <c r="AP236" s="26">
        <v>0.31560773480662985</v>
      </c>
      <c r="AQ236" s="26">
        <v>5.1795580110497237E-2</v>
      </c>
      <c r="AR236" s="26">
        <v>7.5394105551747775E-3</v>
      </c>
      <c r="AS236" s="135">
        <v>1.6574585635359115E-2</v>
      </c>
      <c r="AT236" s="28">
        <v>-8.4944751381215475E-2</v>
      </c>
      <c r="AU236" s="23">
        <v>454</v>
      </c>
      <c r="AV236" s="23">
        <v>367</v>
      </c>
      <c r="AW236" s="24">
        <v>316</v>
      </c>
      <c r="AX236" s="135">
        <v>-0.19162995594713655</v>
      </c>
      <c r="AY236" s="26">
        <v>-0.30396475770925108</v>
      </c>
      <c r="AZ236" s="28">
        <v>-0.13896457765667575</v>
      </c>
      <c r="BA236" s="22">
        <v>55</v>
      </c>
      <c r="BB236" s="24">
        <v>50.5</v>
      </c>
      <c r="BC236" s="22">
        <v>8</v>
      </c>
      <c r="BD236" s="24">
        <v>7</v>
      </c>
      <c r="BE236" s="22">
        <v>1068</v>
      </c>
      <c r="BF236" s="23">
        <v>1791</v>
      </c>
      <c r="BG236" s="26">
        <v>0.59631490787269681</v>
      </c>
      <c r="BH236" s="23">
        <v>201</v>
      </c>
      <c r="BI236" s="23">
        <v>316</v>
      </c>
      <c r="BJ236" s="28">
        <v>0.63607594936708856</v>
      </c>
    </row>
    <row r="237" spans="1:62" x14ac:dyDescent="0.25">
      <c r="A237" s="29"/>
      <c r="B237" s="30"/>
      <c r="C237" s="30"/>
      <c r="D237" s="30"/>
      <c r="E237" s="31" t="s">
        <v>82</v>
      </c>
      <c r="F237" s="188">
        <v>2798</v>
      </c>
      <c r="G237" s="189">
        <v>2631</v>
      </c>
      <c r="H237" s="190">
        <v>0</v>
      </c>
      <c r="I237" s="190">
        <v>1912</v>
      </c>
      <c r="J237" s="191">
        <v>719</v>
      </c>
      <c r="K237" s="189">
        <v>0</v>
      </c>
      <c r="L237" s="190">
        <v>12</v>
      </c>
      <c r="M237" s="190">
        <v>10</v>
      </c>
      <c r="N237" s="190">
        <v>1</v>
      </c>
      <c r="O237" s="190">
        <v>11</v>
      </c>
      <c r="P237" s="190">
        <v>0</v>
      </c>
      <c r="Q237" s="190">
        <v>100</v>
      </c>
      <c r="R237" s="191">
        <v>22</v>
      </c>
      <c r="S237" s="188">
        <v>42</v>
      </c>
      <c r="T237" s="189">
        <v>274</v>
      </c>
      <c r="U237" s="190">
        <v>0</v>
      </c>
      <c r="V237" s="190">
        <v>97</v>
      </c>
      <c r="W237" s="190">
        <v>3</v>
      </c>
      <c r="X237" s="191">
        <v>174</v>
      </c>
      <c r="Y237" s="189">
        <v>2475</v>
      </c>
      <c r="Z237" s="191">
        <v>1361</v>
      </c>
      <c r="AA237" s="189">
        <v>2254</v>
      </c>
      <c r="AB237" s="191">
        <v>1236</v>
      </c>
      <c r="AC237" s="189">
        <v>1756</v>
      </c>
      <c r="AD237" s="191">
        <v>1009</v>
      </c>
      <c r="AE237" s="189">
        <v>1773</v>
      </c>
      <c r="AF237" s="190">
        <v>738</v>
      </c>
      <c r="AG237" s="191">
        <v>146</v>
      </c>
      <c r="AH237" s="136">
        <v>-8.9292929292929299E-2</v>
      </c>
      <c r="AI237" s="33">
        <v>-0.29050505050505049</v>
      </c>
      <c r="AJ237" s="33">
        <v>-0.22094055013309671</v>
      </c>
      <c r="AK237" s="33">
        <v>-9.184423218221896E-2</v>
      </c>
      <c r="AL237" s="33">
        <v>-0.25863335782512858</v>
      </c>
      <c r="AM237" s="33">
        <v>-0.1836569579288026</v>
      </c>
      <c r="AN237" s="34">
        <v>0.6674268339034588</v>
      </c>
      <c r="AO237" s="33">
        <v>0.38350437096161155</v>
      </c>
      <c r="AP237" s="33">
        <v>0.2805017103762828</v>
      </c>
      <c r="AQ237" s="33">
        <v>5.549220828582288E-2</v>
      </c>
      <c r="AR237" s="33">
        <v>8.2924990576705611E-3</v>
      </c>
      <c r="AS237" s="136">
        <v>1.596351197263398E-2</v>
      </c>
      <c r="AT237" s="35">
        <v>-8.8179399467882932E-2</v>
      </c>
      <c r="AU237" s="30">
        <v>434</v>
      </c>
      <c r="AV237" s="30">
        <v>355</v>
      </c>
      <c r="AW237" s="31">
        <v>298</v>
      </c>
      <c r="AX237" s="136">
        <v>-0.18202764976958524</v>
      </c>
      <c r="AY237" s="33">
        <v>-0.31336405529953915</v>
      </c>
      <c r="AZ237" s="35">
        <v>-0.16056338028169015</v>
      </c>
      <c r="BA237" s="29">
        <v>55</v>
      </c>
      <c r="BB237" s="31">
        <v>51</v>
      </c>
      <c r="BC237" s="29">
        <v>9</v>
      </c>
      <c r="BD237" s="31">
        <v>7</v>
      </c>
      <c r="BE237" s="29">
        <v>1041</v>
      </c>
      <c r="BF237" s="30">
        <v>1756</v>
      </c>
      <c r="BG237" s="33">
        <v>0.59282460136674264</v>
      </c>
      <c r="BH237" s="30">
        <v>187</v>
      </c>
      <c r="BI237" s="30">
        <v>298</v>
      </c>
      <c r="BJ237" s="35">
        <v>0.62751677852348997</v>
      </c>
    </row>
    <row r="238" spans="1:62" x14ac:dyDescent="0.25">
      <c r="A238" s="29"/>
      <c r="B238" s="30"/>
      <c r="C238" s="30"/>
      <c r="D238" s="30"/>
      <c r="E238" s="31" t="s">
        <v>203</v>
      </c>
      <c r="F238" s="188">
        <v>103</v>
      </c>
      <c r="G238" s="189">
        <v>100</v>
      </c>
      <c r="H238" s="190">
        <v>0</v>
      </c>
      <c r="I238" s="190">
        <v>100</v>
      </c>
      <c r="J238" s="191">
        <v>0</v>
      </c>
      <c r="K238" s="189">
        <v>0</v>
      </c>
      <c r="L238" s="190">
        <v>3</v>
      </c>
      <c r="M238" s="190">
        <v>0</v>
      </c>
      <c r="N238" s="190">
        <v>0</v>
      </c>
      <c r="O238" s="190">
        <v>0</v>
      </c>
      <c r="P238" s="190">
        <v>0</v>
      </c>
      <c r="Q238" s="190">
        <v>0</v>
      </c>
      <c r="R238" s="191">
        <v>0</v>
      </c>
      <c r="S238" s="188">
        <v>0</v>
      </c>
      <c r="T238" s="189"/>
      <c r="U238" s="190"/>
      <c r="V238" s="190"/>
      <c r="W238" s="190"/>
      <c r="X238" s="191"/>
      <c r="Y238" s="189">
        <v>0</v>
      </c>
      <c r="Z238" s="191">
        <v>0</v>
      </c>
      <c r="AA238" s="189">
        <v>0</v>
      </c>
      <c r="AB238" s="191">
        <v>0</v>
      </c>
      <c r="AC238" s="189">
        <v>2</v>
      </c>
      <c r="AD238" s="191">
        <v>2</v>
      </c>
      <c r="AE238" s="189">
        <v>98</v>
      </c>
      <c r="AF238" s="190">
        <v>98</v>
      </c>
      <c r="AG238" s="191">
        <v>0</v>
      </c>
      <c r="AH238" s="136"/>
      <c r="AI238" s="33"/>
      <c r="AJ238" s="33"/>
      <c r="AK238" s="33"/>
      <c r="AL238" s="33"/>
      <c r="AM238" s="33"/>
      <c r="AN238" s="34">
        <v>0.02</v>
      </c>
      <c r="AO238" s="33">
        <v>0.02</v>
      </c>
      <c r="AP238" s="33">
        <v>0.98</v>
      </c>
      <c r="AQ238" s="33">
        <v>0</v>
      </c>
      <c r="AR238" s="33">
        <v>0</v>
      </c>
      <c r="AS238" s="136">
        <v>0</v>
      </c>
      <c r="AT238" s="35">
        <v>0</v>
      </c>
      <c r="AU238" s="30">
        <v>0</v>
      </c>
      <c r="AV238" s="30">
        <v>0</v>
      </c>
      <c r="AW238" s="31">
        <v>2</v>
      </c>
      <c r="AX238" s="136"/>
      <c r="AY238" s="33"/>
      <c r="AZ238" s="35"/>
      <c r="BA238" s="29">
        <v>16</v>
      </c>
      <c r="BB238" s="31">
        <v>16</v>
      </c>
      <c r="BC238" s="29">
        <v>0.5</v>
      </c>
      <c r="BD238" s="31">
        <v>0.5</v>
      </c>
      <c r="BE238" s="29">
        <v>1</v>
      </c>
      <c r="BF238" s="30">
        <v>2</v>
      </c>
      <c r="BG238" s="33">
        <v>0.5</v>
      </c>
      <c r="BH238" s="30">
        <v>1</v>
      </c>
      <c r="BI238" s="30">
        <v>2</v>
      </c>
      <c r="BJ238" s="35">
        <v>0.5</v>
      </c>
    </row>
    <row r="239" spans="1:62" x14ac:dyDescent="0.25">
      <c r="A239" s="29"/>
      <c r="B239" s="30"/>
      <c r="C239" s="30"/>
      <c r="D239" s="30"/>
      <c r="E239" s="31" t="s">
        <v>68</v>
      </c>
      <c r="F239" s="188">
        <v>60</v>
      </c>
      <c r="G239" s="189">
        <v>49</v>
      </c>
      <c r="H239" s="190">
        <v>0</v>
      </c>
      <c r="I239" s="190">
        <v>49</v>
      </c>
      <c r="J239" s="191">
        <v>0</v>
      </c>
      <c r="K239" s="189">
        <v>0</v>
      </c>
      <c r="L239" s="190">
        <v>0</v>
      </c>
      <c r="M239" s="190">
        <v>0</v>
      </c>
      <c r="N239" s="190">
        <v>0</v>
      </c>
      <c r="O239" s="190">
        <v>9</v>
      </c>
      <c r="P239" s="190">
        <v>0</v>
      </c>
      <c r="Q239" s="190">
        <v>2</v>
      </c>
      <c r="R239" s="191">
        <v>0</v>
      </c>
      <c r="S239" s="188">
        <v>1</v>
      </c>
      <c r="T239" s="189">
        <v>20</v>
      </c>
      <c r="U239" s="190">
        <v>0</v>
      </c>
      <c r="V239" s="190">
        <v>2</v>
      </c>
      <c r="W239" s="190">
        <v>0</v>
      </c>
      <c r="X239" s="191">
        <v>18</v>
      </c>
      <c r="Y239" s="189">
        <v>50</v>
      </c>
      <c r="Z239" s="191">
        <v>24</v>
      </c>
      <c r="AA239" s="189">
        <v>19</v>
      </c>
      <c r="AB239" s="191">
        <v>17</v>
      </c>
      <c r="AC239" s="189">
        <v>10</v>
      </c>
      <c r="AD239" s="191">
        <v>10</v>
      </c>
      <c r="AE239" s="189">
        <v>50</v>
      </c>
      <c r="AF239" s="190">
        <v>24</v>
      </c>
      <c r="AG239" s="191">
        <v>1</v>
      </c>
      <c r="AH239" s="136">
        <v>-0.62</v>
      </c>
      <c r="AI239" s="33">
        <v>-0.8</v>
      </c>
      <c r="AJ239" s="33">
        <v>-0.47368421052631576</v>
      </c>
      <c r="AK239" s="33">
        <v>-0.29166666666666669</v>
      </c>
      <c r="AL239" s="33">
        <v>-0.58333333333333337</v>
      </c>
      <c r="AM239" s="33">
        <v>-0.41176470588235292</v>
      </c>
      <c r="AN239" s="34">
        <v>0.20408163265306123</v>
      </c>
      <c r="AO239" s="33">
        <v>0.20408163265306123</v>
      </c>
      <c r="AP239" s="33">
        <v>0.48979591836734693</v>
      </c>
      <c r="AQ239" s="33">
        <v>2.0408163265306121E-2</v>
      </c>
      <c r="AR239" s="33">
        <v>0</v>
      </c>
      <c r="AS239" s="136">
        <v>2.0408163265306121E-2</v>
      </c>
      <c r="AT239" s="35">
        <v>-0.38775510204081631</v>
      </c>
      <c r="AU239" s="30">
        <v>24</v>
      </c>
      <c r="AV239" s="30">
        <v>13</v>
      </c>
      <c r="AW239" s="31">
        <v>7</v>
      </c>
      <c r="AX239" s="136">
        <v>-0.45833333333333331</v>
      </c>
      <c r="AY239" s="33">
        <v>-0.70833333333333337</v>
      </c>
      <c r="AZ239" s="35">
        <v>-0.46153846153846156</v>
      </c>
      <c r="BA239" s="29">
        <v>53</v>
      </c>
      <c r="BB239" s="31">
        <v>44</v>
      </c>
      <c r="BC239" s="29">
        <v>5</v>
      </c>
      <c r="BD239" s="31">
        <v>4</v>
      </c>
      <c r="BE239" s="29">
        <v>8</v>
      </c>
      <c r="BF239" s="30">
        <v>10</v>
      </c>
      <c r="BG239" s="33">
        <v>0.8</v>
      </c>
      <c r="BH239" s="30">
        <v>5</v>
      </c>
      <c r="BI239" s="30">
        <v>7</v>
      </c>
      <c r="BJ239" s="35">
        <v>0.7142857142857143</v>
      </c>
    </row>
    <row r="240" spans="1:62" x14ac:dyDescent="0.25">
      <c r="A240" s="29"/>
      <c r="B240" s="30"/>
      <c r="C240" s="30"/>
      <c r="D240" s="30"/>
      <c r="E240" s="31" t="s">
        <v>97</v>
      </c>
      <c r="F240" s="188">
        <v>116</v>
      </c>
      <c r="G240" s="189">
        <v>116</v>
      </c>
      <c r="H240" s="190">
        <v>0</v>
      </c>
      <c r="I240" s="190">
        <v>115</v>
      </c>
      <c r="J240" s="191">
        <v>1</v>
      </c>
      <c r="K240" s="189">
        <v>0</v>
      </c>
      <c r="L240" s="190">
        <v>0</v>
      </c>
      <c r="M240" s="190">
        <v>0</v>
      </c>
      <c r="N240" s="190">
        <v>0</v>
      </c>
      <c r="O240" s="190">
        <v>0</v>
      </c>
      <c r="P240" s="190">
        <v>0</v>
      </c>
      <c r="Q240" s="190">
        <v>0</v>
      </c>
      <c r="R240" s="191">
        <v>0</v>
      </c>
      <c r="S240" s="188">
        <v>5</v>
      </c>
      <c r="T240" s="189"/>
      <c r="U240" s="190"/>
      <c r="V240" s="190"/>
      <c r="W240" s="190"/>
      <c r="X240" s="191"/>
      <c r="Y240" s="189">
        <v>0</v>
      </c>
      <c r="Z240" s="191">
        <v>0</v>
      </c>
      <c r="AA240" s="189">
        <v>0</v>
      </c>
      <c r="AB240" s="191">
        <v>0</v>
      </c>
      <c r="AC240" s="189">
        <v>23</v>
      </c>
      <c r="AD240" s="191">
        <v>19</v>
      </c>
      <c r="AE240" s="189">
        <v>97</v>
      </c>
      <c r="AF240" s="190">
        <v>54</v>
      </c>
      <c r="AG240" s="191">
        <v>3</v>
      </c>
      <c r="AH240" s="136"/>
      <c r="AI240" s="33"/>
      <c r="AJ240" s="33"/>
      <c r="AK240" s="33"/>
      <c r="AL240" s="33"/>
      <c r="AM240" s="33"/>
      <c r="AN240" s="34">
        <v>0.19827586206896552</v>
      </c>
      <c r="AO240" s="33">
        <v>0.16379310344827586</v>
      </c>
      <c r="AP240" s="33">
        <v>0.46551724137931033</v>
      </c>
      <c r="AQ240" s="33">
        <v>2.5862068965517241E-2</v>
      </c>
      <c r="AR240" s="33">
        <v>0</v>
      </c>
      <c r="AS240" s="136">
        <v>4.3103448275862072E-2</v>
      </c>
      <c r="AT240" s="35">
        <v>4.3103448275862072E-2</v>
      </c>
      <c r="AU240" s="30">
        <v>0</v>
      </c>
      <c r="AV240" s="30">
        <v>0</v>
      </c>
      <c r="AW240" s="31">
        <v>20</v>
      </c>
      <c r="AX240" s="136"/>
      <c r="AY240" s="33"/>
      <c r="AZ240" s="35"/>
      <c r="BA240" s="29">
        <v>51</v>
      </c>
      <c r="BB240" s="31">
        <v>50</v>
      </c>
      <c r="BC240" s="29">
        <v>4</v>
      </c>
      <c r="BD240" s="31">
        <v>4.5</v>
      </c>
      <c r="BE240" s="29">
        <v>18</v>
      </c>
      <c r="BF240" s="30">
        <v>23</v>
      </c>
      <c r="BG240" s="33">
        <v>0.78260869565217395</v>
      </c>
      <c r="BH240" s="30">
        <v>15</v>
      </c>
      <c r="BI240" s="30">
        <v>20</v>
      </c>
      <c r="BJ240" s="35">
        <v>0.75</v>
      </c>
    </row>
    <row r="241" spans="1:62" x14ac:dyDescent="0.25">
      <c r="A241" s="164"/>
      <c r="B241" s="165"/>
      <c r="C241" s="165"/>
      <c r="D241" s="165" t="s">
        <v>218</v>
      </c>
      <c r="E241" s="166"/>
      <c r="F241" s="192"/>
      <c r="G241" s="193"/>
      <c r="H241" s="194"/>
      <c r="I241" s="194"/>
      <c r="J241" s="195"/>
      <c r="K241" s="193"/>
      <c r="L241" s="194"/>
      <c r="M241" s="194"/>
      <c r="N241" s="194"/>
      <c r="O241" s="194"/>
      <c r="P241" s="194"/>
      <c r="Q241" s="194"/>
      <c r="R241" s="195"/>
      <c r="S241" s="192"/>
      <c r="T241" s="193"/>
      <c r="U241" s="194"/>
      <c r="V241" s="194"/>
      <c r="W241" s="194"/>
      <c r="X241" s="195"/>
      <c r="Y241" s="193"/>
      <c r="Z241" s="195"/>
      <c r="AA241" s="193"/>
      <c r="AB241" s="195"/>
      <c r="AC241" s="193"/>
      <c r="AD241" s="195"/>
      <c r="AE241" s="193"/>
      <c r="AF241" s="194"/>
      <c r="AG241" s="195"/>
      <c r="AH241" s="167"/>
      <c r="AI241" s="168"/>
      <c r="AJ241" s="168"/>
      <c r="AK241" s="168"/>
      <c r="AL241" s="168"/>
      <c r="AM241" s="168"/>
      <c r="AN241" s="169"/>
      <c r="AO241" s="168"/>
      <c r="AP241" s="168"/>
      <c r="AQ241" s="168"/>
      <c r="AR241" s="168"/>
      <c r="AS241" s="167"/>
      <c r="AT241" s="170"/>
      <c r="AU241" s="165"/>
      <c r="AV241" s="165"/>
      <c r="AW241" s="166"/>
      <c r="AX241" s="167"/>
      <c r="AY241" s="168"/>
      <c r="AZ241" s="170"/>
      <c r="BA241" s="164"/>
      <c r="BB241" s="166"/>
      <c r="BC241" s="164"/>
      <c r="BD241" s="166"/>
      <c r="BE241" s="164"/>
      <c r="BF241" s="165"/>
      <c r="BG241" s="168"/>
      <c r="BH241" s="165"/>
      <c r="BI241" s="165"/>
      <c r="BJ241" s="170"/>
    </row>
    <row r="242" spans="1:62" x14ac:dyDescent="0.25">
      <c r="A242" s="29"/>
      <c r="B242" s="30"/>
      <c r="C242" s="30"/>
      <c r="D242" s="30"/>
      <c r="E242" s="31" t="s">
        <v>82</v>
      </c>
      <c r="F242" s="188">
        <v>897</v>
      </c>
      <c r="G242" s="189">
        <v>513</v>
      </c>
      <c r="H242" s="190">
        <v>361</v>
      </c>
      <c r="I242" s="190">
        <v>485</v>
      </c>
      <c r="J242" s="191">
        <v>389</v>
      </c>
      <c r="K242" s="189">
        <v>0</v>
      </c>
      <c r="L242" s="190">
        <v>4</v>
      </c>
      <c r="M242" s="190">
        <v>5</v>
      </c>
      <c r="N242" s="190">
        <v>0</v>
      </c>
      <c r="O242" s="190">
        <v>8</v>
      </c>
      <c r="P242" s="190">
        <v>0</v>
      </c>
      <c r="Q242" s="190">
        <v>2</v>
      </c>
      <c r="R242" s="191">
        <v>4</v>
      </c>
      <c r="S242" s="188">
        <v>1</v>
      </c>
      <c r="T242" s="189">
        <v>6</v>
      </c>
      <c r="U242" s="190">
        <v>0</v>
      </c>
      <c r="V242" s="190">
        <v>2</v>
      </c>
      <c r="W242" s="190">
        <v>3</v>
      </c>
      <c r="X242" s="191">
        <v>1</v>
      </c>
      <c r="Y242" s="189">
        <v>596</v>
      </c>
      <c r="Z242" s="191">
        <v>236</v>
      </c>
      <c r="AA242" s="189">
        <v>523</v>
      </c>
      <c r="AB242" s="191">
        <v>217</v>
      </c>
      <c r="AC242" s="189">
        <v>445</v>
      </c>
      <c r="AD242" s="191">
        <v>186</v>
      </c>
      <c r="AE242" s="189">
        <v>346</v>
      </c>
      <c r="AF242" s="190">
        <v>238</v>
      </c>
      <c r="AG242" s="191">
        <v>19</v>
      </c>
      <c r="AH242" s="136">
        <v>-0.12248322147651007</v>
      </c>
      <c r="AI242" s="33">
        <v>-0.25335570469798657</v>
      </c>
      <c r="AJ242" s="33">
        <v>-0.14913957934990441</v>
      </c>
      <c r="AK242" s="33">
        <v>-8.050847457627118E-2</v>
      </c>
      <c r="AL242" s="33">
        <v>-0.21186440677966101</v>
      </c>
      <c r="AM242" s="33">
        <v>-0.14285714285714285</v>
      </c>
      <c r="AN242" s="34">
        <v>0.86744639376218324</v>
      </c>
      <c r="AO242" s="33">
        <v>0.36257309941520466</v>
      </c>
      <c r="AP242" s="33">
        <v>0.46393762183235865</v>
      </c>
      <c r="AQ242" s="33">
        <v>3.7037037037037035E-2</v>
      </c>
      <c r="AR242" s="33">
        <v>7.7369439071566732E-3</v>
      </c>
      <c r="AS242" s="136">
        <v>1.9493177387914229E-3</v>
      </c>
      <c r="AT242" s="35">
        <v>-9.7465886939571145E-3</v>
      </c>
      <c r="AU242" s="30">
        <v>226</v>
      </c>
      <c r="AV242" s="30">
        <v>192</v>
      </c>
      <c r="AW242" s="31">
        <v>139</v>
      </c>
      <c r="AX242" s="136">
        <v>-0.15044247787610621</v>
      </c>
      <c r="AY242" s="33">
        <v>-0.38495575221238937</v>
      </c>
      <c r="AZ242" s="35">
        <v>-0.27604166666666669</v>
      </c>
      <c r="BA242" s="29">
        <v>52</v>
      </c>
      <c r="BB242" s="31">
        <v>53.5</v>
      </c>
      <c r="BC242" s="29">
        <v>11</v>
      </c>
      <c r="BD242" s="31">
        <v>8</v>
      </c>
      <c r="BE242" s="29">
        <v>309</v>
      </c>
      <c r="BF242" s="30">
        <v>445</v>
      </c>
      <c r="BG242" s="33">
        <v>0.69438202247191017</v>
      </c>
      <c r="BH242" s="30">
        <v>82</v>
      </c>
      <c r="BI242" s="30">
        <v>139</v>
      </c>
      <c r="BJ242" s="35">
        <v>0.58992805755395683</v>
      </c>
    </row>
    <row r="243" spans="1:62" x14ac:dyDescent="0.25">
      <c r="A243" s="29"/>
      <c r="B243" s="30"/>
      <c r="C243" s="30"/>
      <c r="D243" s="30"/>
      <c r="E243" s="31" t="s">
        <v>219</v>
      </c>
      <c r="F243" s="188">
        <v>457</v>
      </c>
      <c r="G243" s="189">
        <v>0</v>
      </c>
      <c r="H243" s="190">
        <v>457</v>
      </c>
      <c r="I243" s="190">
        <v>0</v>
      </c>
      <c r="J243" s="191">
        <v>457</v>
      </c>
      <c r="K243" s="189">
        <v>0</v>
      </c>
      <c r="L243" s="190">
        <v>0</v>
      </c>
      <c r="M243" s="190">
        <v>0</v>
      </c>
      <c r="N243" s="190">
        <v>0</v>
      </c>
      <c r="O243" s="190">
        <v>0</v>
      </c>
      <c r="P243" s="190">
        <v>0</v>
      </c>
      <c r="Q243" s="190">
        <v>0</v>
      </c>
      <c r="R243" s="191">
        <v>0</v>
      </c>
      <c r="S243" s="188">
        <v>0</v>
      </c>
      <c r="T243" s="189"/>
      <c r="U243" s="190"/>
      <c r="V243" s="190"/>
      <c r="W243" s="190"/>
      <c r="X243" s="191"/>
      <c r="Y243" s="189"/>
      <c r="Z243" s="191"/>
      <c r="AA243" s="189"/>
      <c r="AB243" s="191"/>
      <c r="AC243" s="189"/>
      <c r="AD243" s="191"/>
      <c r="AE243" s="189">
        <v>0</v>
      </c>
      <c r="AF243" s="190">
        <v>0</v>
      </c>
      <c r="AG243" s="191">
        <v>0</v>
      </c>
      <c r="AH243" s="136"/>
      <c r="AI243" s="33"/>
      <c r="AJ243" s="33"/>
      <c r="AK243" s="33"/>
      <c r="AL243" s="33"/>
      <c r="AM243" s="33"/>
      <c r="AN243" s="34"/>
      <c r="AO243" s="33"/>
      <c r="AP243" s="33"/>
      <c r="AQ243" s="33"/>
      <c r="AR243" s="33"/>
      <c r="AS243" s="136"/>
      <c r="AT243" s="35"/>
      <c r="AU243" s="30"/>
      <c r="AV243" s="30"/>
      <c r="AW243" s="31"/>
      <c r="AX243" s="136"/>
      <c r="AY243" s="33"/>
      <c r="AZ243" s="35"/>
      <c r="BA243" s="29"/>
      <c r="BB243" s="31"/>
      <c r="BC243" s="29"/>
      <c r="BD243" s="31"/>
      <c r="BE243" s="29"/>
      <c r="BF243" s="30"/>
      <c r="BG243" s="33"/>
      <c r="BH243" s="30"/>
      <c r="BI243" s="30"/>
      <c r="BJ243" s="35"/>
    </row>
    <row r="244" spans="1:62" x14ac:dyDescent="0.25">
      <c r="A244" s="29"/>
      <c r="B244" s="30"/>
      <c r="C244" s="30"/>
      <c r="D244" s="30"/>
      <c r="E244" s="31" t="s">
        <v>203</v>
      </c>
      <c r="F244" s="188">
        <v>7125</v>
      </c>
      <c r="G244" s="189">
        <v>7024</v>
      </c>
      <c r="H244" s="190">
        <v>14</v>
      </c>
      <c r="I244" s="190">
        <v>7022</v>
      </c>
      <c r="J244" s="191">
        <v>16</v>
      </c>
      <c r="K244" s="189">
        <v>0</v>
      </c>
      <c r="L244" s="190">
        <v>65</v>
      </c>
      <c r="M244" s="190">
        <v>0</v>
      </c>
      <c r="N244" s="190">
        <v>1</v>
      </c>
      <c r="O244" s="190">
        <v>2</v>
      </c>
      <c r="P244" s="190">
        <v>0</v>
      </c>
      <c r="Q244" s="190">
        <v>4</v>
      </c>
      <c r="R244" s="191">
        <v>15</v>
      </c>
      <c r="S244" s="188">
        <v>0</v>
      </c>
      <c r="T244" s="189">
        <v>267</v>
      </c>
      <c r="U244" s="190">
        <v>0</v>
      </c>
      <c r="V244" s="190">
        <v>4</v>
      </c>
      <c r="W244" s="190">
        <v>0</v>
      </c>
      <c r="X244" s="191">
        <v>263</v>
      </c>
      <c r="Y244" s="189">
        <v>931</v>
      </c>
      <c r="Z244" s="191">
        <v>773</v>
      </c>
      <c r="AA244" s="189">
        <v>653</v>
      </c>
      <c r="AB244" s="191">
        <v>527</v>
      </c>
      <c r="AC244" s="189">
        <v>674</v>
      </c>
      <c r="AD244" s="191">
        <v>566</v>
      </c>
      <c r="AE244" s="189">
        <v>6478</v>
      </c>
      <c r="AF244" s="190">
        <v>5487</v>
      </c>
      <c r="AG244" s="191">
        <v>65</v>
      </c>
      <c r="AH244" s="136">
        <v>-0.29860365198711064</v>
      </c>
      <c r="AI244" s="33">
        <v>-0.27604726100966703</v>
      </c>
      <c r="AJ244" s="33">
        <v>3.2159264931087291E-2</v>
      </c>
      <c r="AK244" s="33">
        <v>-0.31824062095730921</v>
      </c>
      <c r="AL244" s="33">
        <v>-0.26778783958602848</v>
      </c>
      <c r="AM244" s="33">
        <v>7.4003795066413663E-2</v>
      </c>
      <c r="AN244" s="34">
        <v>9.5956719817767655E-2</v>
      </c>
      <c r="AO244" s="33">
        <v>8.058086560364465E-2</v>
      </c>
      <c r="AP244" s="33">
        <v>0.78117881548974943</v>
      </c>
      <c r="AQ244" s="33">
        <v>9.2539863325740313E-3</v>
      </c>
      <c r="AR244" s="33">
        <v>2.1309845148458589E-3</v>
      </c>
      <c r="AS244" s="136">
        <v>0</v>
      </c>
      <c r="AT244" s="35">
        <v>-3.8012528473804097E-2</v>
      </c>
      <c r="AU244" s="30">
        <v>73</v>
      </c>
      <c r="AV244" s="30">
        <v>68</v>
      </c>
      <c r="AW244" s="31">
        <v>66</v>
      </c>
      <c r="AX244" s="136">
        <v>-6.8493150684931503E-2</v>
      </c>
      <c r="AY244" s="33">
        <v>-9.5890410958904104E-2</v>
      </c>
      <c r="AZ244" s="35">
        <v>-2.9411764705882353E-2</v>
      </c>
      <c r="BA244" s="29">
        <v>43</v>
      </c>
      <c r="BB244" s="31">
        <v>38</v>
      </c>
      <c r="BC244" s="29">
        <v>4</v>
      </c>
      <c r="BD244" s="31">
        <v>3.5</v>
      </c>
      <c r="BE244" s="29">
        <v>338</v>
      </c>
      <c r="BF244" s="30">
        <v>674</v>
      </c>
      <c r="BG244" s="33">
        <v>0.50148367952522255</v>
      </c>
      <c r="BH244" s="30">
        <v>43</v>
      </c>
      <c r="BI244" s="30">
        <v>66</v>
      </c>
      <c r="BJ244" s="35">
        <v>0.65151515151515149</v>
      </c>
    </row>
    <row r="245" spans="1:62" x14ac:dyDescent="0.25">
      <c r="A245" s="29"/>
      <c r="B245" s="30"/>
      <c r="C245" s="30"/>
      <c r="D245" s="30"/>
      <c r="E245" s="31" t="s">
        <v>220</v>
      </c>
      <c r="F245" s="188">
        <v>232</v>
      </c>
      <c r="G245" s="189">
        <v>231</v>
      </c>
      <c r="H245" s="190">
        <v>0</v>
      </c>
      <c r="I245" s="190">
        <v>231</v>
      </c>
      <c r="J245" s="191">
        <v>0</v>
      </c>
      <c r="K245" s="189">
        <v>0</v>
      </c>
      <c r="L245" s="190">
        <v>0</v>
      </c>
      <c r="M245" s="190">
        <v>0</v>
      </c>
      <c r="N245" s="190">
        <v>0</v>
      </c>
      <c r="O245" s="190">
        <v>0</v>
      </c>
      <c r="P245" s="190">
        <v>0</v>
      </c>
      <c r="Q245" s="190">
        <v>1</v>
      </c>
      <c r="R245" s="191">
        <v>0</v>
      </c>
      <c r="S245" s="188">
        <v>0</v>
      </c>
      <c r="T245" s="189"/>
      <c r="U245" s="190"/>
      <c r="V245" s="190"/>
      <c r="W245" s="190"/>
      <c r="X245" s="191"/>
      <c r="Y245" s="189"/>
      <c r="Z245" s="191"/>
      <c r="AA245" s="189"/>
      <c r="AB245" s="191"/>
      <c r="AC245" s="189"/>
      <c r="AD245" s="191"/>
      <c r="AE245" s="189">
        <v>232</v>
      </c>
      <c r="AF245" s="190">
        <v>232</v>
      </c>
      <c r="AG245" s="191">
        <v>0</v>
      </c>
      <c r="AH245" s="136"/>
      <c r="AI245" s="33"/>
      <c r="AJ245" s="33"/>
      <c r="AK245" s="33"/>
      <c r="AL245" s="33"/>
      <c r="AM245" s="33"/>
      <c r="AN245" s="34">
        <v>0</v>
      </c>
      <c r="AO245" s="33">
        <v>0</v>
      </c>
      <c r="AP245" s="33">
        <v>1.0043290043290043</v>
      </c>
      <c r="AQ245" s="33">
        <v>0</v>
      </c>
      <c r="AR245" s="33">
        <v>0</v>
      </c>
      <c r="AS245" s="136">
        <v>0</v>
      </c>
      <c r="AT245" s="35">
        <v>0</v>
      </c>
      <c r="AU245" s="30">
        <v>0</v>
      </c>
      <c r="AV245" s="30">
        <v>0</v>
      </c>
      <c r="AW245" s="31">
        <v>0</v>
      </c>
      <c r="AX245" s="136"/>
      <c r="AY245" s="33"/>
      <c r="AZ245" s="35"/>
      <c r="BA245" s="29"/>
      <c r="BB245" s="31"/>
      <c r="BC245" s="29"/>
      <c r="BD245" s="31"/>
      <c r="BE245" s="29">
        <v>0</v>
      </c>
      <c r="BF245" s="30">
        <v>0</v>
      </c>
      <c r="BG245" s="33"/>
      <c r="BH245" s="30">
        <v>0</v>
      </c>
      <c r="BI245" s="30">
        <v>0</v>
      </c>
      <c r="BJ245" s="35"/>
    </row>
    <row r="246" spans="1:62" x14ac:dyDescent="0.25">
      <c r="A246" s="29"/>
      <c r="B246" s="30"/>
      <c r="C246" s="30"/>
      <c r="D246" s="30"/>
      <c r="E246" s="31" t="s">
        <v>68</v>
      </c>
      <c r="F246" s="188">
        <v>47</v>
      </c>
      <c r="G246" s="189">
        <v>47</v>
      </c>
      <c r="H246" s="190">
        <v>0</v>
      </c>
      <c r="I246" s="190">
        <v>42</v>
      </c>
      <c r="J246" s="191">
        <v>5</v>
      </c>
      <c r="K246" s="189">
        <v>0</v>
      </c>
      <c r="L246" s="190">
        <v>0</v>
      </c>
      <c r="M246" s="190">
        <v>0</v>
      </c>
      <c r="N246" s="190">
        <v>0</v>
      </c>
      <c r="O246" s="190">
        <v>0</v>
      </c>
      <c r="P246" s="190">
        <v>0</v>
      </c>
      <c r="Q246" s="190">
        <v>0</v>
      </c>
      <c r="R246" s="191">
        <v>0</v>
      </c>
      <c r="S246" s="188">
        <v>0</v>
      </c>
      <c r="T246" s="189">
        <v>2</v>
      </c>
      <c r="U246" s="190">
        <v>0</v>
      </c>
      <c r="V246" s="190">
        <v>0</v>
      </c>
      <c r="W246" s="190">
        <v>0</v>
      </c>
      <c r="X246" s="191">
        <v>2</v>
      </c>
      <c r="Y246" s="189">
        <v>17</v>
      </c>
      <c r="Z246" s="191">
        <v>8</v>
      </c>
      <c r="AA246" s="189">
        <v>24</v>
      </c>
      <c r="AB246" s="191">
        <v>6</v>
      </c>
      <c r="AC246" s="189">
        <v>13</v>
      </c>
      <c r="AD246" s="191">
        <v>4</v>
      </c>
      <c r="AE246" s="189">
        <v>43</v>
      </c>
      <c r="AF246" s="190">
        <v>40</v>
      </c>
      <c r="AG246" s="191">
        <v>1</v>
      </c>
      <c r="AH246" s="136">
        <v>0.41176470588235292</v>
      </c>
      <c r="AI246" s="33">
        <v>-0.23529411764705882</v>
      </c>
      <c r="AJ246" s="33">
        <v>-0.45833333333333331</v>
      </c>
      <c r="AK246" s="33">
        <v>-0.25</v>
      </c>
      <c r="AL246" s="33">
        <v>-0.5</v>
      </c>
      <c r="AM246" s="33">
        <v>-0.33333333333333331</v>
      </c>
      <c r="AN246" s="34">
        <v>0.27659574468085107</v>
      </c>
      <c r="AO246" s="33">
        <v>8.5106382978723402E-2</v>
      </c>
      <c r="AP246" s="33">
        <v>0.85106382978723405</v>
      </c>
      <c r="AQ246" s="33">
        <v>2.1276595744680851E-2</v>
      </c>
      <c r="AR246" s="33">
        <v>0</v>
      </c>
      <c r="AS246" s="136">
        <v>0</v>
      </c>
      <c r="AT246" s="35">
        <v>-4.2553191489361701E-2</v>
      </c>
      <c r="AU246" s="30">
        <v>13</v>
      </c>
      <c r="AV246" s="30">
        <v>19</v>
      </c>
      <c r="AW246" s="31">
        <v>11</v>
      </c>
      <c r="AX246" s="136">
        <v>0.46153846153846156</v>
      </c>
      <c r="AY246" s="33">
        <v>-0.15384615384615385</v>
      </c>
      <c r="AZ246" s="35">
        <v>-0.42105263157894735</v>
      </c>
      <c r="BA246" s="29">
        <v>41</v>
      </c>
      <c r="BB246" s="31">
        <v>41</v>
      </c>
      <c r="BC246" s="29">
        <v>2</v>
      </c>
      <c r="BD246" s="31">
        <v>2</v>
      </c>
      <c r="BE246" s="29">
        <v>10</v>
      </c>
      <c r="BF246" s="30">
        <v>13</v>
      </c>
      <c r="BG246" s="33">
        <v>0.76923076923076927</v>
      </c>
      <c r="BH246" s="30">
        <v>8</v>
      </c>
      <c r="BI246" s="30">
        <v>11</v>
      </c>
      <c r="BJ246" s="35">
        <v>0.72727272727272729</v>
      </c>
    </row>
    <row r="247" spans="1:62" x14ac:dyDescent="0.25">
      <c r="A247" s="29"/>
      <c r="B247" s="30"/>
      <c r="C247" s="30"/>
      <c r="D247" s="30"/>
      <c r="E247" s="31" t="s">
        <v>221</v>
      </c>
      <c r="F247" s="188">
        <v>1551</v>
      </c>
      <c r="G247" s="189">
        <v>1509</v>
      </c>
      <c r="H247" s="190">
        <v>0</v>
      </c>
      <c r="I247" s="190">
        <v>1063</v>
      </c>
      <c r="J247" s="191">
        <v>446</v>
      </c>
      <c r="K247" s="189">
        <v>0</v>
      </c>
      <c r="L247" s="190">
        <v>18</v>
      </c>
      <c r="M247" s="190">
        <v>3</v>
      </c>
      <c r="N247" s="190">
        <v>1</v>
      </c>
      <c r="O247" s="190">
        <v>2</v>
      </c>
      <c r="P247" s="190">
        <v>0</v>
      </c>
      <c r="Q247" s="190">
        <v>5</v>
      </c>
      <c r="R247" s="191">
        <v>12</v>
      </c>
      <c r="S247" s="188">
        <v>103</v>
      </c>
      <c r="T247" s="189">
        <v>389</v>
      </c>
      <c r="U247" s="190">
        <v>0</v>
      </c>
      <c r="V247" s="190">
        <v>2</v>
      </c>
      <c r="W247" s="190">
        <v>2</v>
      </c>
      <c r="X247" s="191">
        <v>385</v>
      </c>
      <c r="Y247" s="189">
        <v>1136</v>
      </c>
      <c r="Z247" s="191">
        <v>563</v>
      </c>
      <c r="AA247" s="189">
        <v>929</v>
      </c>
      <c r="AB247" s="191">
        <v>495</v>
      </c>
      <c r="AC247" s="189">
        <v>1097</v>
      </c>
      <c r="AD247" s="191">
        <v>541</v>
      </c>
      <c r="AE247" s="189">
        <v>989</v>
      </c>
      <c r="AF247" s="190">
        <v>653</v>
      </c>
      <c r="AG247" s="191">
        <v>130</v>
      </c>
      <c r="AH247" s="136">
        <v>-0.18221830985915494</v>
      </c>
      <c r="AI247" s="33">
        <v>-3.4330985915492961E-2</v>
      </c>
      <c r="AJ247" s="33">
        <v>0.18083961248654468</v>
      </c>
      <c r="AK247" s="33">
        <v>-0.12078152753108348</v>
      </c>
      <c r="AL247" s="33">
        <v>-3.9076376554174071E-2</v>
      </c>
      <c r="AM247" s="33">
        <v>9.2929292929292931E-2</v>
      </c>
      <c r="AN247" s="34">
        <v>0.72697150430748836</v>
      </c>
      <c r="AO247" s="33">
        <v>0.35851557322730288</v>
      </c>
      <c r="AP247" s="33">
        <v>0.43273691186216034</v>
      </c>
      <c r="AQ247" s="33">
        <v>8.614976805831677E-2</v>
      </c>
      <c r="AR247" s="33">
        <v>7.889546351084813E-3</v>
      </c>
      <c r="AS247" s="136">
        <v>6.8257123923127896E-2</v>
      </c>
      <c r="AT247" s="35">
        <v>-0.18952948972829689</v>
      </c>
      <c r="AU247" s="30">
        <v>265</v>
      </c>
      <c r="AV247" s="30">
        <v>248</v>
      </c>
      <c r="AW247" s="31">
        <v>268</v>
      </c>
      <c r="AX247" s="136">
        <v>-6.4150943396226415E-2</v>
      </c>
      <c r="AY247" s="33">
        <v>1.1320754716981131E-2</v>
      </c>
      <c r="AZ247" s="35">
        <v>8.0645161290322578E-2</v>
      </c>
      <c r="BA247" s="29">
        <v>40</v>
      </c>
      <c r="BB247" s="31">
        <v>37</v>
      </c>
      <c r="BC247" s="29">
        <v>5</v>
      </c>
      <c r="BD247" s="31">
        <v>4</v>
      </c>
      <c r="BE247" s="29">
        <v>569</v>
      </c>
      <c r="BF247" s="30">
        <v>1097</v>
      </c>
      <c r="BG247" s="33">
        <v>0.51868732907930715</v>
      </c>
      <c r="BH247" s="30">
        <v>158</v>
      </c>
      <c r="BI247" s="30">
        <v>268</v>
      </c>
      <c r="BJ247" s="35">
        <v>0.58955223880597019</v>
      </c>
    </row>
    <row r="248" spans="1:62" x14ac:dyDescent="0.25">
      <c r="A248" s="29"/>
      <c r="B248" s="30"/>
      <c r="C248" s="30"/>
      <c r="D248" s="30"/>
      <c r="E248" s="31" t="s">
        <v>97</v>
      </c>
      <c r="F248" s="188">
        <v>34</v>
      </c>
      <c r="G248" s="189">
        <v>21</v>
      </c>
      <c r="H248" s="190">
        <v>0</v>
      </c>
      <c r="I248" s="190">
        <v>20</v>
      </c>
      <c r="J248" s="191">
        <v>1</v>
      </c>
      <c r="K248" s="189">
        <v>0</v>
      </c>
      <c r="L248" s="190">
        <v>0</v>
      </c>
      <c r="M248" s="190">
        <v>0</v>
      </c>
      <c r="N248" s="190">
        <v>0</v>
      </c>
      <c r="O248" s="190">
        <v>0</v>
      </c>
      <c r="P248" s="190">
        <v>0</v>
      </c>
      <c r="Q248" s="190">
        <v>1</v>
      </c>
      <c r="R248" s="191">
        <v>12</v>
      </c>
      <c r="S248" s="188">
        <v>0</v>
      </c>
      <c r="T248" s="189">
        <v>1</v>
      </c>
      <c r="U248" s="190">
        <v>0</v>
      </c>
      <c r="V248" s="190">
        <v>1</v>
      </c>
      <c r="W248" s="190">
        <v>0</v>
      </c>
      <c r="X248" s="191">
        <v>0</v>
      </c>
      <c r="Y248" s="189">
        <v>572</v>
      </c>
      <c r="Z248" s="191">
        <v>303</v>
      </c>
      <c r="AA248" s="189">
        <v>417</v>
      </c>
      <c r="AB248" s="191">
        <v>228</v>
      </c>
      <c r="AC248" s="189">
        <v>7</v>
      </c>
      <c r="AD248" s="191">
        <v>4</v>
      </c>
      <c r="AE248" s="189">
        <v>30</v>
      </c>
      <c r="AF248" s="190">
        <v>24</v>
      </c>
      <c r="AG248" s="191">
        <v>13</v>
      </c>
      <c r="AH248" s="136">
        <v>-0.27097902097902099</v>
      </c>
      <c r="AI248" s="33">
        <v>-0.98776223776223782</v>
      </c>
      <c r="AJ248" s="33">
        <v>-0.98321342925659472</v>
      </c>
      <c r="AK248" s="33">
        <v>-0.24752475247524752</v>
      </c>
      <c r="AL248" s="33">
        <v>-0.98679867986798675</v>
      </c>
      <c r="AM248" s="33">
        <v>-0.98245614035087714</v>
      </c>
      <c r="AN248" s="34">
        <v>0.33333333333333331</v>
      </c>
      <c r="AO248" s="33">
        <v>0.19047619047619047</v>
      </c>
      <c r="AP248" s="33">
        <v>1.1428571428571428</v>
      </c>
      <c r="AQ248" s="33">
        <v>0.61904761904761907</v>
      </c>
      <c r="AR248" s="33">
        <v>0.36363636363636365</v>
      </c>
      <c r="AS248" s="136">
        <v>0</v>
      </c>
      <c r="AT248" s="35">
        <v>-4.7619047619047616E-2</v>
      </c>
      <c r="AU248" s="30">
        <v>208</v>
      </c>
      <c r="AV248" s="30">
        <v>147</v>
      </c>
      <c r="AW248" s="31">
        <v>5</v>
      </c>
      <c r="AX248" s="136">
        <v>-0.29326923076923078</v>
      </c>
      <c r="AY248" s="33">
        <v>-0.97596153846153844</v>
      </c>
      <c r="AZ248" s="35">
        <v>-0.96598639455782309</v>
      </c>
      <c r="BA248" s="29">
        <v>61</v>
      </c>
      <c r="BB248" s="31">
        <v>61</v>
      </c>
      <c r="BC248" s="29">
        <v>4</v>
      </c>
      <c r="BD248" s="31">
        <v>4</v>
      </c>
      <c r="BE248" s="29">
        <v>6</v>
      </c>
      <c r="BF248" s="30">
        <v>7</v>
      </c>
      <c r="BG248" s="33">
        <v>0.8571428571428571</v>
      </c>
      <c r="BH248" s="30">
        <v>4</v>
      </c>
      <c r="BI248" s="30">
        <v>5</v>
      </c>
      <c r="BJ248" s="35">
        <v>0.8</v>
      </c>
    </row>
    <row r="249" spans="1:62" x14ac:dyDescent="0.25">
      <c r="A249" s="8"/>
      <c r="B249" s="9" t="s">
        <v>222</v>
      </c>
      <c r="C249" s="9"/>
      <c r="D249" s="9"/>
      <c r="E249" s="10"/>
      <c r="F249" s="176">
        <v>3959</v>
      </c>
      <c r="G249" s="177">
        <v>3842</v>
      </c>
      <c r="H249" s="178">
        <v>37</v>
      </c>
      <c r="I249" s="178">
        <v>3854</v>
      </c>
      <c r="J249" s="179">
        <v>25</v>
      </c>
      <c r="K249" s="177">
        <v>0</v>
      </c>
      <c r="L249" s="178">
        <v>7</v>
      </c>
      <c r="M249" s="178">
        <v>18</v>
      </c>
      <c r="N249" s="178">
        <v>1</v>
      </c>
      <c r="O249" s="178">
        <v>6</v>
      </c>
      <c r="P249" s="178">
        <v>0</v>
      </c>
      <c r="Q249" s="178">
        <v>11</v>
      </c>
      <c r="R249" s="179">
        <v>35</v>
      </c>
      <c r="S249" s="176">
        <v>342</v>
      </c>
      <c r="T249" s="177">
        <v>231</v>
      </c>
      <c r="U249" s="178">
        <v>1</v>
      </c>
      <c r="V249" s="178">
        <v>10</v>
      </c>
      <c r="W249" s="178">
        <v>10</v>
      </c>
      <c r="X249" s="179">
        <v>210</v>
      </c>
      <c r="Y249" s="177">
        <v>4624</v>
      </c>
      <c r="Z249" s="179">
        <v>1651</v>
      </c>
      <c r="AA249" s="177">
        <v>4820</v>
      </c>
      <c r="AB249" s="179">
        <v>1830</v>
      </c>
      <c r="AC249" s="177">
        <v>4552</v>
      </c>
      <c r="AD249" s="179">
        <v>1768</v>
      </c>
      <c r="AE249" s="177">
        <v>2144</v>
      </c>
      <c r="AF249" s="178">
        <v>1204</v>
      </c>
      <c r="AG249" s="179">
        <v>306</v>
      </c>
      <c r="AH249" s="131">
        <v>4.2387543252595153E-2</v>
      </c>
      <c r="AI249" s="12">
        <v>-1.5570934256055362E-2</v>
      </c>
      <c r="AJ249" s="12">
        <v>-5.5601659751037341E-2</v>
      </c>
      <c r="AK249" s="12">
        <v>0.10841913991520291</v>
      </c>
      <c r="AL249" s="12">
        <v>7.0866141732283464E-2</v>
      </c>
      <c r="AM249" s="12">
        <v>-3.3879781420765025E-2</v>
      </c>
      <c r="AN249" s="13">
        <v>1.1847995835502343</v>
      </c>
      <c r="AO249" s="12">
        <v>0.46017699115044247</v>
      </c>
      <c r="AP249" s="12">
        <v>0.31337844872462262</v>
      </c>
      <c r="AQ249" s="12">
        <v>7.9646017699115043E-2</v>
      </c>
      <c r="AR249" s="12">
        <v>9.0275986587567709E-3</v>
      </c>
      <c r="AS249" s="131">
        <v>8.9016137428422695E-2</v>
      </c>
      <c r="AT249" s="14">
        <v>2.8891202498698594E-2</v>
      </c>
      <c r="AU249" s="9">
        <v>999</v>
      </c>
      <c r="AV249" s="9">
        <v>996</v>
      </c>
      <c r="AW249" s="10">
        <v>953</v>
      </c>
      <c r="AX249" s="131">
        <v>-3.003003003003003E-3</v>
      </c>
      <c r="AY249" s="12">
        <v>-4.6046046046046049E-2</v>
      </c>
      <c r="AZ249" s="14">
        <v>-4.3172690763052211E-2</v>
      </c>
      <c r="BA249" s="8">
        <v>58</v>
      </c>
      <c r="BB249" s="10">
        <v>47</v>
      </c>
      <c r="BC249" s="8">
        <v>6</v>
      </c>
      <c r="BD249" s="10">
        <v>4</v>
      </c>
      <c r="BE249" s="8">
        <v>2711</v>
      </c>
      <c r="BF249" s="9">
        <v>4552</v>
      </c>
      <c r="BG249" s="12">
        <v>0.59556239015817225</v>
      </c>
      <c r="BH249" s="9">
        <v>545</v>
      </c>
      <c r="BI249" s="9">
        <v>953</v>
      </c>
      <c r="BJ249" s="14">
        <v>0.57187827911857292</v>
      </c>
    </row>
    <row r="250" spans="1:62" x14ac:dyDescent="0.25">
      <c r="A250" s="15"/>
      <c r="B250" s="16"/>
      <c r="C250" s="16" t="s">
        <v>223</v>
      </c>
      <c r="D250" s="16"/>
      <c r="E250" s="17"/>
      <c r="F250" s="180">
        <v>229</v>
      </c>
      <c r="G250" s="181">
        <v>219</v>
      </c>
      <c r="H250" s="182">
        <v>0</v>
      </c>
      <c r="I250" s="182">
        <v>219</v>
      </c>
      <c r="J250" s="183">
        <v>0</v>
      </c>
      <c r="K250" s="181">
        <v>0</v>
      </c>
      <c r="L250" s="182">
        <v>1</v>
      </c>
      <c r="M250" s="182">
        <v>4</v>
      </c>
      <c r="N250" s="182">
        <v>1</v>
      </c>
      <c r="O250" s="182">
        <v>1</v>
      </c>
      <c r="P250" s="182">
        <v>0</v>
      </c>
      <c r="Q250" s="182">
        <v>2</v>
      </c>
      <c r="R250" s="183">
        <v>1</v>
      </c>
      <c r="S250" s="180">
        <v>13</v>
      </c>
      <c r="T250" s="181">
        <v>5</v>
      </c>
      <c r="U250" s="182">
        <v>1</v>
      </c>
      <c r="V250" s="182">
        <v>2</v>
      </c>
      <c r="W250" s="182">
        <v>1</v>
      </c>
      <c r="X250" s="183">
        <v>1</v>
      </c>
      <c r="Y250" s="181">
        <v>759</v>
      </c>
      <c r="Z250" s="183">
        <v>130</v>
      </c>
      <c r="AA250" s="181">
        <v>673</v>
      </c>
      <c r="AB250" s="183">
        <v>142</v>
      </c>
      <c r="AC250" s="181">
        <v>760</v>
      </c>
      <c r="AD250" s="183">
        <v>179</v>
      </c>
      <c r="AE250" s="181">
        <v>48</v>
      </c>
      <c r="AF250" s="182">
        <v>12</v>
      </c>
      <c r="AG250" s="183">
        <v>48</v>
      </c>
      <c r="AH250" s="133">
        <v>-0.11330698287220026</v>
      </c>
      <c r="AI250" s="19">
        <v>1.3175230566534915E-3</v>
      </c>
      <c r="AJ250" s="19">
        <v>0.12927191679049035</v>
      </c>
      <c r="AK250" s="19">
        <v>9.2307692307692313E-2</v>
      </c>
      <c r="AL250" s="19">
        <v>0.37692307692307692</v>
      </c>
      <c r="AM250" s="19">
        <v>0.26056338028169013</v>
      </c>
      <c r="AN250" s="20">
        <v>3.4703196347031962</v>
      </c>
      <c r="AO250" s="19">
        <v>0.81735159817351599</v>
      </c>
      <c r="AP250" s="19">
        <v>5.4794520547945202E-2</v>
      </c>
      <c r="AQ250" s="19">
        <v>0.21917808219178081</v>
      </c>
      <c r="AR250" s="19">
        <v>4.5454545454545452E-3</v>
      </c>
      <c r="AS250" s="133">
        <v>5.9360730593607303E-2</v>
      </c>
      <c r="AT250" s="21">
        <v>3.6529680365296802E-2</v>
      </c>
      <c r="AU250" s="16">
        <v>189</v>
      </c>
      <c r="AV250" s="16">
        <v>194</v>
      </c>
      <c r="AW250" s="17">
        <v>184</v>
      </c>
      <c r="AX250" s="133">
        <v>2.6455026455026454E-2</v>
      </c>
      <c r="AY250" s="19">
        <v>-2.6455026455026454E-2</v>
      </c>
      <c r="AZ250" s="21">
        <v>-5.1546391752577317E-2</v>
      </c>
      <c r="BA250" s="15">
        <v>57</v>
      </c>
      <c r="BB250" s="17">
        <v>51</v>
      </c>
      <c r="BC250" s="15">
        <v>5</v>
      </c>
      <c r="BD250" s="17">
        <v>5</v>
      </c>
      <c r="BE250" s="15">
        <v>548</v>
      </c>
      <c r="BF250" s="16">
        <v>760</v>
      </c>
      <c r="BG250" s="19">
        <v>0.72105263157894739</v>
      </c>
      <c r="BH250" s="16">
        <v>130</v>
      </c>
      <c r="BI250" s="16">
        <v>184</v>
      </c>
      <c r="BJ250" s="21">
        <v>0.70652173913043481</v>
      </c>
    </row>
    <row r="251" spans="1:62" x14ac:dyDescent="0.25">
      <c r="A251" s="29"/>
      <c r="B251" s="30"/>
      <c r="C251" s="30"/>
      <c r="D251" s="30"/>
      <c r="E251" s="31" t="s">
        <v>97</v>
      </c>
      <c r="F251" s="188">
        <v>228</v>
      </c>
      <c r="G251" s="189">
        <v>218</v>
      </c>
      <c r="H251" s="190">
        <v>0</v>
      </c>
      <c r="I251" s="190">
        <v>218</v>
      </c>
      <c r="J251" s="191">
        <v>0</v>
      </c>
      <c r="K251" s="189">
        <v>0</v>
      </c>
      <c r="L251" s="190">
        <v>1</v>
      </c>
      <c r="M251" s="190">
        <v>4</v>
      </c>
      <c r="N251" s="190">
        <v>1</v>
      </c>
      <c r="O251" s="190">
        <v>1</v>
      </c>
      <c r="P251" s="190">
        <v>0</v>
      </c>
      <c r="Q251" s="190">
        <v>2</v>
      </c>
      <c r="R251" s="191">
        <v>1</v>
      </c>
      <c r="S251" s="188">
        <v>13</v>
      </c>
      <c r="T251" s="189">
        <v>5</v>
      </c>
      <c r="U251" s="190">
        <v>1</v>
      </c>
      <c r="V251" s="190">
        <v>2</v>
      </c>
      <c r="W251" s="190">
        <v>1</v>
      </c>
      <c r="X251" s="191">
        <v>1</v>
      </c>
      <c r="Y251" s="189">
        <v>759</v>
      </c>
      <c r="Z251" s="191">
        <v>130</v>
      </c>
      <c r="AA251" s="189">
        <v>673</v>
      </c>
      <c r="AB251" s="191">
        <v>142</v>
      </c>
      <c r="AC251" s="189">
        <v>760</v>
      </c>
      <c r="AD251" s="191">
        <v>179</v>
      </c>
      <c r="AE251" s="189">
        <v>47</v>
      </c>
      <c r="AF251" s="190">
        <v>11</v>
      </c>
      <c r="AG251" s="191">
        <v>48</v>
      </c>
      <c r="AH251" s="136">
        <v>-0.11330698287220026</v>
      </c>
      <c r="AI251" s="33">
        <v>1.3175230566534915E-3</v>
      </c>
      <c r="AJ251" s="33">
        <v>0.12927191679049035</v>
      </c>
      <c r="AK251" s="33">
        <v>9.2307692307692313E-2</v>
      </c>
      <c r="AL251" s="33">
        <v>0.37692307692307692</v>
      </c>
      <c r="AM251" s="33">
        <v>0.26056338028169013</v>
      </c>
      <c r="AN251" s="34">
        <v>3.4862385321100917</v>
      </c>
      <c r="AO251" s="33">
        <v>0.82110091743119262</v>
      </c>
      <c r="AP251" s="33">
        <v>5.0458715596330278E-2</v>
      </c>
      <c r="AQ251" s="33">
        <v>0.22018348623853212</v>
      </c>
      <c r="AR251" s="33">
        <v>4.5662100456621002E-3</v>
      </c>
      <c r="AS251" s="136">
        <v>5.9633027522935783E-2</v>
      </c>
      <c r="AT251" s="35">
        <v>3.669724770642202E-2</v>
      </c>
      <c r="AU251" s="30">
        <v>189</v>
      </c>
      <c r="AV251" s="30">
        <v>194</v>
      </c>
      <c r="AW251" s="31">
        <v>184</v>
      </c>
      <c r="AX251" s="136">
        <v>2.6455026455026454E-2</v>
      </c>
      <c r="AY251" s="33">
        <v>-2.6455026455026454E-2</v>
      </c>
      <c r="AZ251" s="35">
        <v>-5.1546391752577317E-2</v>
      </c>
      <c r="BA251" s="29">
        <v>57</v>
      </c>
      <c r="BB251" s="31">
        <v>51</v>
      </c>
      <c r="BC251" s="29">
        <v>5</v>
      </c>
      <c r="BD251" s="31">
        <v>5</v>
      </c>
      <c r="BE251" s="29">
        <v>548</v>
      </c>
      <c r="BF251" s="30">
        <v>760</v>
      </c>
      <c r="BG251" s="33">
        <v>0.72105263157894739</v>
      </c>
      <c r="BH251" s="30">
        <v>130</v>
      </c>
      <c r="BI251" s="30">
        <v>184</v>
      </c>
      <c r="BJ251" s="35">
        <v>0.70652173913043481</v>
      </c>
    </row>
    <row r="252" spans="1:62" x14ac:dyDescent="0.25">
      <c r="A252" s="15"/>
      <c r="B252" s="16"/>
      <c r="C252" s="16" t="s">
        <v>224</v>
      </c>
      <c r="D252" s="16"/>
      <c r="E252" s="17"/>
      <c r="F252" s="180">
        <v>611</v>
      </c>
      <c r="G252" s="181">
        <v>597</v>
      </c>
      <c r="H252" s="182">
        <v>7</v>
      </c>
      <c r="I252" s="182">
        <v>598</v>
      </c>
      <c r="J252" s="183">
        <v>6</v>
      </c>
      <c r="K252" s="181">
        <v>0</v>
      </c>
      <c r="L252" s="182">
        <v>5</v>
      </c>
      <c r="M252" s="182">
        <v>1</v>
      </c>
      <c r="N252" s="182">
        <v>0</v>
      </c>
      <c r="O252" s="182">
        <v>1</v>
      </c>
      <c r="P252" s="182">
        <v>0</v>
      </c>
      <c r="Q252" s="182">
        <v>0</v>
      </c>
      <c r="R252" s="183">
        <v>0</v>
      </c>
      <c r="S252" s="180">
        <v>37</v>
      </c>
      <c r="T252" s="181">
        <v>1</v>
      </c>
      <c r="U252" s="182">
        <v>0</v>
      </c>
      <c r="V252" s="182">
        <v>0</v>
      </c>
      <c r="W252" s="182">
        <v>0</v>
      </c>
      <c r="X252" s="183">
        <v>1</v>
      </c>
      <c r="Y252" s="181">
        <v>154</v>
      </c>
      <c r="Z252" s="183">
        <v>107</v>
      </c>
      <c r="AA252" s="181">
        <v>169</v>
      </c>
      <c r="AB252" s="183">
        <v>126</v>
      </c>
      <c r="AC252" s="181">
        <v>116</v>
      </c>
      <c r="AD252" s="183">
        <v>77</v>
      </c>
      <c r="AE252" s="181">
        <v>519</v>
      </c>
      <c r="AF252" s="182">
        <v>318</v>
      </c>
      <c r="AG252" s="183">
        <v>5</v>
      </c>
      <c r="AH252" s="133">
        <v>9.7402597402597407E-2</v>
      </c>
      <c r="AI252" s="19">
        <v>-0.24675324675324675</v>
      </c>
      <c r="AJ252" s="19">
        <v>-0.31360946745562129</v>
      </c>
      <c r="AK252" s="19">
        <v>0.17757009345794392</v>
      </c>
      <c r="AL252" s="19">
        <v>-0.28037383177570091</v>
      </c>
      <c r="AM252" s="19">
        <v>-0.3888888888888889</v>
      </c>
      <c r="AN252" s="20">
        <v>0.19430485762144054</v>
      </c>
      <c r="AO252" s="19">
        <v>0.12897822445561138</v>
      </c>
      <c r="AP252" s="19">
        <v>0.53266331658291455</v>
      </c>
      <c r="AQ252" s="19">
        <v>8.3752093802345051E-3</v>
      </c>
      <c r="AR252" s="19">
        <v>0</v>
      </c>
      <c r="AS252" s="133">
        <v>6.1976549413735343E-2</v>
      </c>
      <c r="AT252" s="21">
        <v>6.030150753768844E-2</v>
      </c>
      <c r="AU252" s="16">
        <v>53</v>
      </c>
      <c r="AV252" s="16">
        <v>50</v>
      </c>
      <c r="AW252" s="17">
        <v>45</v>
      </c>
      <c r="AX252" s="133">
        <v>-5.6603773584905662E-2</v>
      </c>
      <c r="AY252" s="19">
        <v>-0.15094339622641509</v>
      </c>
      <c r="AZ252" s="21">
        <v>-0.1</v>
      </c>
      <c r="BA252" s="15">
        <v>57</v>
      </c>
      <c r="BB252" s="17">
        <v>55</v>
      </c>
      <c r="BC252" s="15">
        <v>10</v>
      </c>
      <c r="BD252" s="17">
        <v>9</v>
      </c>
      <c r="BE252" s="15">
        <v>77</v>
      </c>
      <c r="BF252" s="16">
        <v>116</v>
      </c>
      <c r="BG252" s="19">
        <v>0.66379310344827591</v>
      </c>
      <c r="BH252" s="16">
        <v>27</v>
      </c>
      <c r="BI252" s="16">
        <v>45</v>
      </c>
      <c r="BJ252" s="21">
        <v>0.6</v>
      </c>
    </row>
    <row r="253" spans="1:62" x14ac:dyDescent="0.25">
      <c r="A253" s="29"/>
      <c r="B253" s="30"/>
      <c r="C253" s="30"/>
      <c r="D253" s="30"/>
      <c r="E253" s="31" t="s">
        <v>82</v>
      </c>
      <c r="F253" s="188">
        <v>603</v>
      </c>
      <c r="G253" s="189">
        <v>589</v>
      </c>
      <c r="H253" s="190">
        <v>7</v>
      </c>
      <c r="I253" s="190">
        <v>590</v>
      </c>
      <c r="J253" s="191">
        <v>6</v>
      </c>
      <c r="K253" s="189">
        <v>0</v>
      </c>
      <c r="L253" s="190">
        <v>5</v>
      </c>
      <c r="M253" s="190">
        <v>1</v>
      </c>
      <c r="N253" s="190">
        <v>0</v>
      </c>
      <c r="O253" s="190">
        <v>1</v>
      </c>
      <c r="P253" s="190">
        <v>0</v>
      </c>
      <c r="Q253" s="190">
        <v>0</v>
      </c>
      <c r="R253" s="191">
        <v>0</v>
      </c>
      <c r="S253" s="188">
        <v>36</v>
      </c>
      <c r="T253" s="189"/>
      <c r="U253" s="190"/>
      <c r="V253" s="190"/>
      <c r="W253" s="190"/>
      <c r="X253" s="191"/>
      <c r="Y253" s="189">
        <v>148</v>
      </c>
      <c r="Z253" s="191">
        <v>104</v>
      </c>
      <c r="AA253" s="189">
        <v>159</v>
      </c>
      <c r="AB253" s="191">
        <v>122</v>
      </c>
      <c r="AC253" s="189">
        <v>112</v>
      </c>
      <c r="AD253" s="191">
        <v>74</v>
      </c>
      <c r="AE253" s="189">
        <v>514</v>
      </c>
      <c r="AF253" s="190">
        <v>316</v>
      </c>
      <c r="AG253" s="191">
        <v>5</v>
      </c>
      <c r="AH253" s="136">
        <v>7.4324324324324328E-2</v>
      </c>
      <c r="AI253" s="33">
        <v>-0.24324324324324326</v>
      </c>
      <c r="AJ253" s="33">
        <v>-0.29559748427672955</v>
      </c>
      <c r="AK253" s="33">
        <v>0.17307692307692307</v>
      </c>
      <c r="AL253" s="33">
        <v>-0.28846153846153844</v>
      </c>
      <c r="AM253" s="33">
        <v>-0.39344262295081966</v>
      </c>
      <c r="AN253" s="34">
        <v>0.19015280135823429</v>
      </c>
      <c r="AO253" s="33">
        <v>0.12563667232597622</v>
      </c>
      <c r="AP253" s="33">
        <v>0.53650254668930386</v>
      </c>
      <c r="AQ253" s="33">
        <v>8.4889643463497456E-3</v>
      </c>
      <c r="AR253" s="33">
        <v>0</v>
      </c>
      <c r="AS253" s="136">
        <v>6.1120543293718167E-2</v>
      </c>
      <c r="AT253" s="35">
        <v>6.1120543293718167E-2</v>
      </c>
      <c r="AU253" s="30">
        <v>50</v>
      </c>
      <c r="AV253" s="30">
        <v>44</v>
      </c>
      <c r="AW253" s="31">
        <v>41</v>
      </c>
      <c r="AX253" s="136">
        <v>-0.12</v>
      </c>
      <c r="AY253" s="33">
        <v>-0.18</v>
      </c>
      <c r="AZ253" s="35">
        <v>-6.8181818181818177E-2</v>
      </c>
      <c r="BA253" s="29">
        <v>57</v>
      </c>
      <c r="BB253" s="31">
        <v>53</v>
      </c>
      <c r="BC253" s="29">
        <v>10</v>
      </c>
      <c r="BD253" s="31">
        <v>9</v>
      </c>
      <c r="BE253" s="29">
        <v>73</v>
      </c>
      <c r="BF253" s="30">
        <v>112</v>
      </c>
      <c r="BG253" s="33">
        <v>0.6517857142857143</v>
      </c>
      <c r="BH253" s="30">
        <v>23</v>
      </c>
      <c r="BI253" s="30">
        <v>41</v>
      </c>
      <c r="BJ253" s="35">
        <v>0.56097560975609762</v>
      </c>
    </row>
    <row r="254" spans="1:62" x14ac:dyDescent="0.25">
      <c r="A254" s="15"/>
      <c r="B254" s="16"/>
      <c r="C254" s="16" t="s">
        <v>225</v>
      </c>
      <c r="D254" s="16"/>
      <c r="E254" s="17"/>
      <c r="F254" s="180">
        <v>2837</v>
      </c>
      <c r="G254" s="181">
        <v>2752</v>
      </c>
      <c r="H254" s="182">
        <v>28</v>
      </c>
      <c r="I254" s="182">
        <v>2765</v>
      </c>
      <c r="J254" s="183">
        <v>15</v>
      </c>
      <c r="K254" s="181">
        <v>0</v>
      </c>
      <c r="L254" s="182">
        <v>1</v>
      </c>
      <c r="M254" s="182">
        <v>12</v>
      </c>
      <c r="N254" s="182">
        <v>0</v>
      </c>
      <c r="O254" s="182">
        <v>4</v>
      </c>
      <c r="P254" s="182">
        <v>0</v>
      </c>
      <c r="Q254" s="182">
        <v>9</v>
      </c>
      <c r="R254" s="183">
        <v>29</v>
      </c>
      <c r="S254" s="180">
        <v>273</v>
      </c>
      <c r="T254" s="181">
        <v>224</v>
      </c>
      <c r="U254" s="182">
        <v>0</v>
      </c>
      <c r="V254" s="182">
        <v>8</v>
      </c>
      <c r="W254" s="182">
        <v>8</v>
      </c>
      <c r="X254" s="183">
        <v>208</v>
      </c>
      <c r="Y254" s="181">
        <v>3355</v>
      </c>
      <c r="Z254" s="183">
        <v>1281</v>
      </c>
      <c r="AA254" s="181">
        <v>3666</v>
      </c>
      <c r="AB254" s="183">
        <v>1449</v>
      </c>
      <c r="AC254" s="181">
        <v>3386</v>
      </c>
      <c r="AD254" s="183">
        <v>1401</v>
      </c>
      <c r="AE254" s="181">
        <v>1409</v>
      </c>
      <c r="AF254" s="182">
        <v>778</v>
      </c>
      <c r="AG254" s="183">
        <v>225</v>
      </c>
      <c r="AH254" s="133">
        <v>9.2697466467958275E-2</v>
      </c>
      <c r="AI254" s="19">
        <v>9.2399403874813719E-3</v>
      </c>
      <c r="AJ254" s="19">
        <v>-7.637752318603383E-2</v>
      </c>
      <c r="AK254" s="19">
        <v>0.13114754098360656</v>
      </c>
      <c r="AL254" s="19">
        <v>9.3676814988290405E-2</v>
      </c>
      <c r="AM254" s="19">
        <v>-3.3126293995859216E-2</v>
      </c>
      <c r="AN254" s="20">
        <v>1.2303779069767442</v>
      </c>
      <c r="AO254" s="19">
        <v>0.50908430232558144</v>
      </c>
      <c r="AP254" s="19">
        <v>0.28270348837209303</v>
      </c>
      <c r="AQ254" s="19">
        <v>8.1758720930232565E-2</v>
      </c>
      <c r="AR254" s="19">
        <v>1.0427903631787127E-2</v>
      </c>
      <c r="AS254" s="133">
        <v>9.9200581395348833E-2</v>
      </c>
      <c r="AT254" s="21">
        <v>1.7805232558139535E-2</v>
      </c>
      <c r="AU254" s="16">
        <v>791</v>
      </c>
      <c r="AV254" s="16">
        <v>819</v>
      </c>
      <c r="AW254" s="17">
        <v>773</v>
      </c>
      <c r="AX254" s="133">
        <v>3.5398230088495575E-2</v>
      </c>
      <c r="AY254" s="19">
        <v>-2.2756005056890013E-2</v>
      </c>
      <c r="AZ254" s="21">
        <v>-5.6166056166056168E-2</v>
      </c>
      <c r="BA254" s="15">
        <v>60</v>
      </c>
      <c r="BB254" s="17">
        <v>47</v>
      </c>
      <c r="BC254" s="15">
        <v>6</v>
      </c>
      <c r="BD254" s="17">
        <v>4</v>
      </c>
      <c r="BE254" s="15">
        <v>1908</v>
      </c>
      <c r="BF254" s="16">
        <v>3386</v>
      </c>
      <c r="BG254" s="19">
        <v>0.56349675132900179</v>
      </c>
      <c r="BH254" s="16">
        <v>423</v>
      </c>
      <c r="BI254" s="16">
        <v>773</v>
      </c>
      <c r="BJ254" s="21">
        <v>0.54721862871927551</v>
      </c>
    </row>
    <row r="255" spans="1:62" x14ac:dyDescent="0.25">
      <c r="A255" s="29"/>
      <c r="B255" s="30"/>
      <c r="C255" s="30"/>
      <c r="D255" s="30"/>
      <c r="E255" s="31" t="s">
        <v>165</v>
      </c>
      <c r="F255" s="188">
        <v>16</v>
      </c>
      <c r="G255" s="189">
        <v>16</v>
      </c>
      <c r="H255" s="190">
        <v>0</v>
      </c>
      <c r="I255" s="190">
        <v>16</v>
      </c>
      <c r="J255" s="191">
        <v>0</v>
      </c>
      <c r="K255" s="189">
        <v>0</v>
      </c>
      <c r="L255" s="190">
        <v>0</v>
      </c>
      <c r="M255" s="190">
        <v>0</v>
      </c>
      <c r="N255" s="190">
        <v>0</v>
      </c>
      <c r="O255" s="190">
        <v>0</v>
      </c>
      <c r="P255" s="190">
        <v>0</v>
      </c>
      <c r="Q255" s="190">
        <v>0</v>
      </c>
      <c r="R255" s="191">
        <v>0</v>
      </c>
      <c r="S255" s="188">
        <v>5</v>
      </c>
      <c r="T255" s="189"/>
      <c r="U255" s="190"/>
      <c r="V255" s="190"/>
      <c r="W255" s="190"/>
      <c r="X255" s="191"/>
      <c r="Y255" s="189">
        <v>10</v>
      </c>
      <c r="Z255" s="191">
        <v>5</v>
      </c>
      <c r="AA255" s="189">
        <v>8</v>
      </c>
      <c r="AB255" s="191">
        <v>6</v>
      </c>
      <c r="AC255" s="189">
        <v>22</v>
      </c>
      <c r="AD255" s="191">
        <v>10</v>
      </c>
      <c r="AE255" s="189">
        <v>6</v>
      </c>
      <c r="AF255" s="190">
        <v>4</v>
      </c>
      <c r="AG255" s="191">
        <v>3</v>
      </c>
      <c r="AH255" s="136">
        <v>-0.2</v>
      </c>
      <c r="AI255" s="33">
        <v>1.2</v>
      </c>
      <c r="AJ255" s="33">
        <v>1.75</v>
      </c>
      <c r="AK255" s="33">
        <v>0.2</v>
      </c>
      <c r="AL255" s="33">
        <v>1</v>
      </c>
      <c r="AM255" s="33">
        <v>0.66666666666666663</v>
      </c>
      <c r="AN255" s="34">
        <v>1.375</v>
      </c>
      <c r="AO255" s="33">
        <v>0.625</v>
      </c>
      <c r="AP255" s="33">
        <v>0.25</v>
      </c>
      <c r="AQ255" s="33">
        <v>0.1875</v>
      </c>
      <c r="AR255" s="33">
        <v>0</v>
      </c>
      <c r="AS255" s="136">
        <v>0.3125</v>
      </c>
      <c r="AT255" s="35">
        <v>0.3125</v>
      </c>
      <c r="AU255" s="30">
        <v>4</v>
      </c>
      <c r="AV255" s="30">
        <v>7</v>
      </c>
      <c r="AW255" s="31">
        <v>13</v>
      </c>
      <c r="AX255" s="136">
        <v>0.75</v>
      </c>
      <c r="AY255" s="33">
        <v>2.25</v>
      </c>
      <c r="AZ255" s="35">
        <v>0.8571428571428571</v>
      </c>
      <c r="BA255" s="29">
        <v>42</v>
      </c>
      <c r="BB255" s="31">
        <v>47.5</v>
      </c>
      <c r="BC255" s="29">
        <v>11</v>
      </c>
      <c r="BD255" s="31">
        <v>5</v>
      </c>
      <c r="BE255" s="29">
        <v>3</v>
      </c>
      <c r="BF255" s="30">
        <v>22</v>
      </c>
      <c r="BG255" s="33">
        <v>0.13636363636363635</v>
      </c>
      <c r="BH255" s="30">
        <v>3</v>
      </c>
      <c r="BI255" s="30">
        <v>13</v>
      </c>
      <c r="BJ255" s="35">
        <v>0.23076923076923078</v>
      </c>
    </row>
    <row r="256" spans="1:62" x14ac:dyDescent="0.25">
      <c r="A256" s="29"/>
      <c r="B256" s="30"/>
      <c r="C256" s="30"/>
      <c r="D256" s="30"/>
      <c r="E256" s="31" t="s">
        <v>68</v>
      </c>
      <c r="F256" s="188">
        <v>2708</v>
      </c>
      <c r="G256" s="189">
        <v>2646</v>
      </c>
      <c r="H256" s="190">
        <v>5</v>
      </c>
      <c r="I256" s="190">
        <v>2636</v>
      </c>
      <c r="J256" s="191">
        <v>15</v>
      </c>
      <c r="K256" s="189">
        <v>0</v>
      </c>
      <c r="L256" s="190">
        <v>1</v>
      </c>
      <c r="M256" s="190">
        <v>12</v>
      </c>
      <c r="N256" s="190">
        <v>0</v>
      </c>
      <c r="O256" s="190">
        <v>4</v>
      </c>
      <c r="P256" s="190">
        <v>0</v>
      </c>
      <c r="Q256" s="190">
        <v>9</v>
      </c>
      <c r="R256" s="191">
        <v>29</v>
      </c>
      <c r="S256" s="188">
        <v>220</v>
      </c>
      <c r="T256" s="189">
        <v>158</v>
      </c>
      <c r="U256" s="190">
        <v>0</v>
      </c>
      <c r="V256" s="190">
        <v>8</v>
      </c>
      <c r="W256" s="190">
        <v>8</v>
      </c>
      <c r="X256" s="191">
        <v>142</v>
      </c>
      <c r="Y256" s="189">
        <v>3316</v>
      </c>
      <c r="Z256" s="191">
        <v>1257</v>
      </c>
      <c r="AA256" s="189">
        <v>3630</v>
      </c>
      <c r="AB256" s="191">
        <v>1423</v>
      </c>
      <c r="AC256" s="189">
        <v>3341</v>
      </c>
      <c r="AD256" s="191">
        <v>1373</v>
      </c>
      <c r="AE256" s="189">
        <v>1330</v>
      </c>
      <c r="AF256" s="190">
        <v>712</v>
      </c>
      <c r="AG256" s="191">
        <v>220</v>
      </c>
      <c r="AH256" s="136">
        <v>9.4692400482509043E-2</v>
      </c>
      <c r="AI256" s="33">
        <v>7.5392038600723766E-3</v>
      </c>
      <c r="AJ256" s="33">
        <v>-7.961432506887052E-2</v>
      </c>
      <c r="AK256" s="33">
        <v>0.13206046141607</v>
      </c>
      <c r="AL256" s="33">
        <v>9.2283214001591091E-2</v>
      </c>
      <c r="AM256" s="33">
        <v>-3.5137034434293744E-2</v>
      </c>
      <c r="AN256" s="34">
        <v>1.2626606198034769</v>
      </c>
      <c r="AO256" s="33">
        <v>0.518896447467876</v>
      </c>
      <c r="AP256" s="33">
        <v>0.26908541194255481</v>
      </c>
      <c r="AQ256" s="33">
        <v>8.3144368858654574E-2</v>
      </c>
      <c r="AR256" s="33">
        <v>1.0841121495327103E-2</v>
      </c>
      <c r="AS256" s="136">
        <v>8.3144368858654574E-2</v>
      </c>
      <c r="AT256" s="35">
        <v>2.3431594860166289E-2</v>
      </c>
      <c r="AU256" s="30">
        <v>781</v>
      </c>
      <c r="AV256" s="30">
        <v>814</v>
      </c>
      <c r="AW256" s="31">
        <v>766</v>
      </c>
      <c r="AX256" s="136">
        <v>4.2253521126760563E-2</v>
      </c>
      <c r="AY256" s="33">
        <v>-1.9206145966709345E-2</v>
      </c>
      <c r="AZ256" s="35">
        <v>-5.896805896805897E-2</v>
      </c>
      <c r="BA256" s="29">
        <v>60</v>
      </c>
      <c r="BB256" s="31">
        <v>47</v>
      </c>
      <c r="BC256" s="29">
        <v>6</v>
      </c>
      <c r="BD256" s="31">
        <v>4</v>
      </c>
      <c r="BE256" s="29">
        <v>1891</v>
      </c>
      <c r="BF256" s="30">
        <v>3341</v>
      </c>
      <c r="BG256" s="33">
        <v>0.56599820413049984</v>
      </c>
      <c r="BH256" s="30">
        <v>419</v>
      </c>
      <c r="BI256" s="30">
        <v>766</v>
      </c>
      <c r="BJ256" s="35">
        <v>0.54699738903394257</v>
      </c>
    </row>
    <row r="257" spans="1:62" x14ac:dyDescent="0.25">
      <c r="A257" s="29"/>
      <c r="B257" s="30"/>
      <c r="C257" s="30"/>
      <c r="D257" s="30"/>
      <c r="E257" s="31" t="s">
        <v>148</v>
      </c>
      <c r="F257" s="188">
        <v>107</v>
      </c>
      <c r="G257" s="189">
        <v>84</v>
      </c>
      <c r="H257" s="190">
        <v>23</v>
      </c>
      <c r="I257" s="190">
        <v>107</v>
      </c>
      <c r="J257" s="191">
        <v>0</v>
      </c>
      <c r="K257" s="189">
        <v>0</v>
      </c>
      <c r="L257" s="190">
        <v>0</v>
      </c>
      <c r="M257" s="190">
        <v>0</v>
      </c>
      <c r="N257" s="190">
        <v>0</v>
      </c>
      <c r="O257" s="190">
        <v>0</v>
      </c>
      <c r="P257" s="190">
        <v>0</v>
      </c>
      <c r="Q257" s="190">
        <v>0</v>
      </c>
      <c r="R257" s="191">
        <v>0</v>
      </c>
      <c r="S257" s="188">
        <v>44</v>
      </c>
      <c r="T257" s="189">
        <v>66</v>
      </c>
      <c r="U257" s="190">
        <v>0</v>
      </c>
      <c r="V257" s="190">
        <v>0</v>
      </c>
      <c r="W257" s="190">
        <v>0</v>
      </c>
      <c r="X257" s="191">
        <v>66</v>
      </c>
      <c r="Y257" s="189">
        <v>16</v>
      </c>
      <c r="Z257" s="191">
        <v>14</v>
      </c>
      <c r="AA257" s="189">
        <v>20</v>
      </c>
      <c r="AB257" s="191">
        <v>18</v>
      </c>
      <c r="AC257" s="189">
        <v>16</v>
      </c>
      <c r="AD257" s="191">
        <v>15</v>
      </c>
      <c r="AE257" s="189">
        <v>70</v>
      </c>
      <c r="AF257" s="190">
        <v>59</v>
      </c>
      <c r="AG257" s="191">
        <v>0</v>
      </c>
      <c r="AH257" s="136">
        <v>0.25</v>
      </c>
      <c r="AI257" s="33">
        <v>0</v>
      </c>
      <c r="AJ257" s="33">
        <v>-0.2</v>
      </c>
      <c r="AK257" s="33">
        <v>0.2857142857142857</v>
      </c>
      <c r="AL257" s="33">
        <v>7.1428571428571425E-2</v>
      </c>
      <c r="AM257" s="33">
        <v>-0.16666666666666666</v>
      </c>
      <c r="AN257" s="34">
        <v>0.19047619047619047</v>
      </c>
      <c r="AO257" s="33">
        <v>0.17857142857142858</v>
      </c>
      <c r="AP257" s="33">
        <v>0.70238095238095233</v>
      </c>
      <c r="AQ257" s="33">
        <v>0</v>
      </c>
      <c r="AR257" s="33">
        <v>0</v>
      </c>
      <c r="AS257" s="136">
        <v>0.52380952380952384</v>
      </c>
      <c r="AT257" s="35">
        <v>-0.26190476190476192</v>
      </c>
      <c r="AU257" s="30">
        <v>9</v>
      </c>
      <c r="AV257" s="30">
        <v>5</v>
      </c>
      <c r="AW257" s="31">
        <v>5</v>
      </c>
      <c r="AX257" s="136">
        <v>-0.44444444444444442</v>
      </c>
      <c r="AY257" s="33">
        <v>-0.44444444444444442</v>
      </c>
      <c r="AZ257" s="35">
        <v>0</v>
      </c>
      <c r="BA257" s="29">
        <v>44</v>
      </c>
      <c r="BB257" s="31">
        <v>44</v>
      </c>
      <c r="BC257" s="29">
        <v>4</v>
      </c>
      <c r="BD257" s="31">
        <v>11</v>
      </c>
      <c r="BE257" s="29">
        <v>10</v>
      </c>
      <c r="BF257" s="30">
        <v>16</v>
      </c>
      <c r="BG257" s="33">
        <v>0.625</v>
      </c>
      <c r="BH257" s="30">
        <v>4</v>
      </c>
      <c r="BI257" s="30">
        <v>5</v>
      </c>
      <c r="BJ257" s="35">
        <v>0.8</v>
      </c>
    </row>
    <row r="258" spans="1:62" x14ac:dyDescent="0.25">
      <c r="A258" s="15"/>
      <c r="B258" s="16"/>
      <c r="C258" s="16" t="s">
        <v>226</v>
      </c>
      <c r="D258" s="16"/>
      <c r="E258" s="17"/>
      <c r="F258" s="180">
        <v>282</v>
      </c>
      <c r="G258" s="181">
        <v>274</v>
      </c>
      <c r="H258" s="182">
        <v>2</v>
      </c>
      <c r="I258" s="182">
        <v>272</v>
      </c>
      <c r="J258" s="183">
        <v>4</v>
      </c>
      <c r="K258" s="181">
        <v>0</v>
      </c>
      <c r="L258" s="182">
        <v>0</v>
      </c>
      <c r="M258" s="182">
        <v>1</v>
      </c>
      <c r="N258" s="182">
        <v>0</v>
      </c>
      <c r="O258" s="182">
        <v>0</v>
      </c>
      <c r="P258" s="182">
        <v>0</v>
      </c>
      <c r="Q258" s="182">
        <v>0</v>
      </c>
      <c r="R258" s="183">
        <v>5</v>
      </c>
      <c r="S258" s="180">
        <v>19</v>
      </c>
      <c r="T258" s="181">
        <v>1</v>
      </c>
      <c r="U258" s="182">
        <v>0</v>
      </c>
      <c r="V258" s="182">
        <v>0</v>
      </c>
      <c r="W258" s="182">
        <v>1</v>
      </c>
      <c r="X258" s="183">
        <v>0</v>
      </c>
      <c r="Y258" s="181">
        <v>356</v>
      </c>
      <c r="Z258" s="183">
        <v>133</v>
      </c>
      <c r="AA258" s="181">
        <v>312</v>
      </c>
      <c r="AB258" s="183">
        <v>113</v>
      </c>
      <c r="AC258" s="181">
        <v>290</v>
      </c>
      <c r="AD258" s="183">
        <v>111</v>
      </c>
      <c r="AE258" s="181">
        <v>168</v>
      </c>
      <c r="AF258" s="182">
        <v>96</v>
      </c>
      <c r="AG258" s="183">
        <v>28</v>
      </c>
      <c r="AH258" s="133">
        <v>-0.12359550561797752</v>
      </c>
      <c r="AI258" s="19">
        <v>-0.1853932584269663</v>
      </c>
      <c r="AJ258" s="19">
        <v>-7.0512820512820512E-2</v>
      </c>
      <c r="AK258" s="19">
        <v>-0.15037593984962405</v>
      </c>
      <c r="AL258" s="19">
        <v>-0.16541353383458646</v>
      </c>
      <c r="AM258" s="19">
        <v>-1.7699115044247787E-2</v>
      </c>
      <c r="AN258" s="20">
        <v>1.0583941605839415</v>
      </c>
      <c r="AO258" s="19">
        <v>0.4051094890510949</v>
      </c>
      <c r="AP258" s="19">
        <v>0.35036496350364965</v>
      </c>
      <c r="AQ258" s="19">
        <v>0.10218978102189781</v>
      </c>
      <c r="AR258" s="19">
        <v>1.7921146953405017E-2</v>
      </c>
      <c r="AS258" s="133">
        <v>6.9343065693430656E-2</v>
      </c>
      <c r="AT258" s="21">
        <v>6.569343065693431E-2</v>
      </c>
      <c r="AU258" s="16">
        <v>166</v>
      </c>
      <c r="AV258" s="16">
        <v>112</v>
      </c>
      <c r="AW258" s="17">
        <v>139</v>
      </c>
      <c r="AX258" s="133">
        <v>-0.3253012048192771</v>
      </c>
      <c r="AY258" s="19">
        <v>-0.16265060240963855</v>
      </c>
      <c r="AZ258" s="21">
        <v>0.24107142857142858</v>
      </c>
      <c r="BA258" s="15">
        <v>53</v>
      </c>
      <c r="BB258" s="17">
        <v>51</v>
      </c>
      <c r="BC258" s="15">
        <v>3</v>
      </c>
      <c r="BD258" s="17">
        <v>3</v>
      </c>
      <c r="BE258" s="15">
        <v>178</v>
      </c>
      <c r="BF258" s="16">
        <v>290</v>
      </c>
      <c r="BG258" s="19">
        <v>0.61379310344827587</v>
      </c>
      <c r="BH258" s="16">
        <v>83</v>
      </c>
      <c r="BI258" s="16">
        <v>139</v>
      </c>
      <c r="BJ258" s="21">
        <v>0.59712230215827333</v>
      </c>
    </row>
    <row r="259" spans="1:62" x14ac:dyDescent="0.25">
      <c r="A259" s="29"/>
      <c r="B259" s="30"/>
      <c r="C259" s="30"/>
      <c r="D259" s="30"/>
      <c r="E259" s="31" t="s">
        <v>68</v>
      </c>
      <c r="F259" s="188">
        <v>250</v>
      </c>
      <c r="G259" s="189">
        <v>244</v>
      </c>
      <c r="H259" s="190">
        <v>0</v>
      </c>
      <c r="I259" s="190">
        <v>240</v>
      </c>
      <c r="J259" s="191">
        <v>4</v>
      </c>
      <c r="K259" s="189">
        <v>0</v>
      </c>
      <c r="L259" s="190">
        <v>0</v>
      </c>
      <c r="M259" s="190">
        <v>1</v>
      </c>
      <c r="N259" s="190">
        <v>0</v>
      </c>
      <c r="O259" s="190">
        <v>0</v>
      </c>
      <c r="P259" s="190">
        <v>0</v>
      </c>
      <c r="Q259" s="190">
        <v>0</v>
      </c>
      <c r="R259" s="191">
        <v>5</v>
      </c>
      <c r="S259" s="188">
        <v>15</v>
      </c>
      <c r="T259" s="189">
        <v>1</v>
      </c>
      <c r="U259" s="190">
        <v>0</v>
      </c>
      <c r="V259" s="190">
        <v>0</v>
      </c>
      <c r="W259" s="190">
        <v>1</v>
      </c>
      <c r="X259" s="191">
        <v>0</v>
      </c>
      <c r="Y259" s="189">
        <v>307</v>
      </c>
      <c r="Z259" s="191">
        <v>118</v>
      </c>
      <c r="AA259" s="189">
        <v>285</v>
      </c>
      <c r="AB259" s="191">
        <v>103</v>
      </c>
      <c r="AC259" s="189">
        <v>270</v>
      </c>
      <c r="AD259" s="191">
        <v>101</v>
      </c>
      <c r="AE259" s="189">
        <v>148</v>
      </c>
      <c r="AF259" s="190">
        <v>88</v>
      </c>
      <c r="AG259" s="191">
        <v>28</v>
      </c>
      <c r="AH259" s="136">
        <v>-7.1661237785016291E-2</v>
      </c>
      <c r="AI259" s="33">
        <v>-0.12052117263843648</v>
      </c>
      <c r="AJ259" s="33">
        <v>-5.2631578947368418E-2</v>
      </c>
      <c r="AK259" s="33">
        <v>-0.1271186440677966</v>
      </c>
      <c r="AL259" s="33">
        <v>-0.1440677966101695</v>
      </c>
      <c r="AM259" s="33">
        <v>-1.9417475728155338E-2</v>
      </c>
      <c r="AN259" s="34">
        <v>1.1065573770491803</v>
      </c>
      <c r="AO259" s="33">
        <v>0.41393442622950821</v>
      </c>
      <c r="AP259" s="33">
        <v>0.36065573770491804</v>
      </c>
      <c r="AQ259" s="33">
        <v>0.11475409836065574</v>
      </c>
      <c r="AR259" s="33">
        <v>2.0080321285140562E-2</v>
      </c>
      <c r="AS259" s="136">
        <v>6.1475409836065573E-2</v>
      </c>
      <c r="AT259" s="35">
        <v>5.737704918032787E-2</v>
      </c>
      <c r="AU259" s="30">
        <v>157</v>
      </c>
      <c r="AV259" s="30">
        <v>104</v>
      </c>
      <c r="AW259" s="31">
        <v>131</v>
      </c>
      <c r="AX259" s="136">
        <v>-0.33757961783439489</v>
      </c>
      <c r="AY259" s="33">
        <v>-0.16560509554140126</v>
      </c>
      <c r="AZ259" s="35">
        <v>0.25961538461538464</v>
      </c>
      <c r="BA259" s="29">
        <v>49</v>
      </c>
      <c r="BB259" s="31">
        <v>49</v>
      </c>
      <c r="BC259" s="29">
        <v>2</v>
      </c>
      <c r="BD259" s="31">
        <v>3</v>
      </c>
      <c r="BE259" s="29">
        <v>168</v>
      </c>
      <c r="BF259" s="30">
        <v>270</v>
      </c>
      <c r="BG259" s="33">
        <v>0.62222222222222223</v>
      </c>
      <c r="BH259" s="30">
        <v>80</v>
      </c>
      <c r="BI259" s="30">
        <v>131</v>
      </c>
      <c r="BJ259" s="35">
        <v>0.61068702290076338</v>
      </c>
    </row>
    <row r="260" spans="1:62" x14ac:dyDescent="0.25">
      <c r="A260" s="29"/>
      <c r="B260" s="30"/>
      <c r="C260" s="30"/>
      <c r="D260" s="30"/>
      <c r="E260" s="31" t="s">
        <v>148</v>
      </c>
      <c r="F260" s="188">
        <v>32</v>
      </c>
      <c r="G260" s="189">
        <v>30</v>
      </c>
      <c r="H260" s="190">
        <v>2</v>
      </c>
      <c r="I260" s="190">
        <v>32</v>
      </c>
      <c r="J260" s="191">
        <v>0</v>
      </c>
      <c r="K260" s="189">
        <v>0</v>
      </c>
      <c r="L260" s="190">
        <v>0</v>
      </c>
      <c r="M260" s="190">
        <v>0</v>
      </c>
      <c r="N260" s="190">
        <v>0</v>
      </c>
      <c r="O260" s="190">
        <v>0</v>
      </c>
      <c r="P260" s="190">
        <v>0</v>
      </c>
      <c r="Q260" s="190">
        <v>0</v>
      </c>
      <c r="R260" s="191">
        <v>0</v>
      </c>
      <c r="S260" s="188">
        <v>4</v>
      </c>
      <c r="T260" s="189"/>
      <c r="U260" s="190"/>
      <c r="V260" s="190"/>
      <c r="W260" s="190"/>
      <c r="X260" s="191"/>
      <c r="Y260" s="189">
        <v>49</v>
      </c>
      <c r="Z260" s="191">
        <v>15</v>
      </c>
      <c r="AA260" s="189">
        <v>27</v>
      </c>
      <c r="AB260" s="191">
        <v>10</v>
      </c>
      <c r="AC260" s="189">
        <v>20</v>
      </c>
      <c r="AD260" s="191">
        <v>10</v>
      </c>
      <c r="AE260" s="189">
        <v>20</v>
      </c>
      <c r="AF260" s="190">
        <v>8</v>
      </c>
      <c r="AG260" s="191">
        <v>0</v>
      </c>
      <c r="AH260" s="136">
        <v>-0.44897959183673469</v>
      </c>
      <c r="AI260" s="33">
        <v>-0.59183673469387754</v>
      </c>
      <c r="AJ260" s="33">
        <v>-0.25925925925925924</v>
      </c>
      <c r="AK260" s="33">
        <v>-0.33333333333333331</v>
      </c>
      <c r="AL260" s="33">
        <v>-0.33333333333333331</v>
      </c>
      <c r="AM260" s="33">
        <v>0</v>
      </c>
      <c r="AN260" s="34">
        <v>0.66666666666666663</v>
      </c>
      <c r="AO260" s="33">
        <v>0.33333333333333331</v>
      </c>
      <c r="AP260" s="33">
        <v>0.26666666666666666</v>
      </c>
      <c r="AQ260" s="33">
        <v>0</v>
      </c>
      <c r="AR260" s="33">
        <v>0</v>
      </c>
      <c r="AS260" s="136">
        <v>0.13333333333333333</v>
      </c>
      <c r="AT260" s="35">
        <v>0.13333333333333333</v>
      </c>
      <c r="AU260" s="30">
        <v>23</v>
      </c>
      <c r="AV260" s="30">
        <v>12</v>
      </c>
      <c r="AW260" s="31">
        <v>11</v>
      </c>
      <c r="AX260" s="136">
        <v>-0.47826086956521741</v>
      </c>
      <c r="AY260" s="33">
        <v>-0.52173913043478259</v>
      </c>
      <c r="AZ260" s="35">
        <v>-8.3333333333333329E-2</v>
      </c>
      <c r="BA260" s="29">
        <v>64</v>
      </c>
      <c r="BB260" s="31">
        <v>63</v>
      </c>
      <c r="BC260" s="29">
        <v>11</v>
      </c>
      <c r="BD260" s="31">
        <v>11</v>
      </c>
      <c r="BE260" s="29">
        <v>10</v>
      </c>
      <c r="BF260" s="30">
        <v>20</v>
      </c>
      <c r="BG260" s="33">
        <v>0.5</v>
      </c>
      <c r="BH260" s="30">
        <v>6</v>
      </c>
      <c r="BI260" s="30">
        <v>11</v>
      </c>
      <c r="BJ260" s="35">
        <v>0.54545454545454541</v>
      </c>
    </row>
    <row r="261" spans="1:62" x14ac:dyDescent="0.25">
      <c r="A261" s="138" t="s">
        <v>64</v>
      </c>
      <c r="B261" s="139"/>
      <c r="C261" s="139"/>
      <c r="D261" s="139"/>
      <c r="E261" s="140"/>
      <c r="F261" s="196">
        <v>74928</v>
      </c>
      <c r="G261" s="197">
        <v>63657</v>
      </c>
      <c r="H261" s="198">
        <v>379</v>
      </c>
      <c r="I261" s="198">
        <v>31051</v>
      </c>
      <c r="J261" s="199">
        <v>32985</v>
      </c>
      <c r="K261" s="197">
        <v>0</v>
      </c>
      <c r="L261" s="198">
        <v>770</v>
      </c>
      <c r="M261" s="198">
        <v>2275</v>
      </c>
      <c r="N261" s="198">
        <v>798</v>
      </c>
      <c r="O261" s="198">
        <v>390</v>
      </c>
      <c r="P261" s="198">
        <v>1</v>
      </c>
      <c r="Q261" s="198">
        <v>300</v>
      </c>
      <c r="R261" s="199">
        <v>6014</v>
      </c>
      <c r="S261" s="196">
        <v>5535</v>
      </c>
      <c r="T261" s="197">
        <v>4483</v>
      </c>
      <c r="U261" s="198">
        <v>84</v>
      </c>
      <c r="V261" s="198">
        <v>217</v>
      </c>
      <c r="W261" s="198">
        <v>1456</v>
      </c>
      <c r="X261" s="199">
        <v>2726</v>
      </c>
      <c r="Y261" s="197">
        <v>191033</v>
      </c>
      <c r="Z261" s="199">
        <v>50991</v>
      </c>
      <c r="AA261" s="197">
        <v>197581</v>
      </c>
      <c r="AB261" s="199">
        <v>47925</v>
      </c>
      <c r="AC261" s="197">
        <v>199841</v>
      </c>
      <c r="AD261" s="199">
        <v>48832</v>
      </c>
      <c r="AE261" s="197">
        <v>25526</v>
      </c>
      <c r="AF261" s="198">
        <v>12856</v>
      </c>
      <c r="AG261" s="199">
        <v>36711</v>
      </c>
      <c r="AH261" s="141">
        <v>3.4276800343396169E-2</v>
      </c>
      <c r="AI261" s="142">
        <v>4.6107217077677676E-2</v>
      </c>
      <c r="AJ261" s="142">
        <v>1.1438346804601656E-2</v>
      </c>
      <c r="AK261" s="142">
        <v>-6.0128257927869626E-2</v>
      </c>
      <c r="AL261" s="142">
        <v>-4.2340805240140417E-2</v>
      </c>
      <c r="AM261" s="142">
        <v>1.8925404277516954E-2</v>
      </c>
      <c r="AN261" s="143">
        <v>3.1393405281430167</v>
      </c>
      <c r="AO261" s="142">
        <v>0.76711123678464266</v>
      </c>
      <c r="AP261" s="142">
        <v>0.20195736525441035</v>
      </c>
      <c r="AQ261" s="142">
        <v>0.57670012724445074</v>
      </c>
      <c r="AR261" s="142">
        <v>8.6319989665714567E-2</v>
      </c>
      <c r="AS261" s="141">
        <v>8.6950374664216026E-2</v>
      </c>
      <c r="AT261" s="144">
        <v>1.6526069403207815E-2</v>
      </c>
      <c r="AU261" s="139">
        <v>8290</v>
      </c>
      <c r="AV261" s="139">
        <v>21</v>
      </c>
      <c r="AW261" s="140">
        <v>8385</v>
      </c>
      <c r="AX261" s="141">
        <v>-0.99746682750301563</v>
      </c>
      <c r="AY261" s="142">
        <v>1.1459589867310011E-2</v>
      </c>
      <c r="AZ261" s="144">
        <v>398.28571428571428</v>
      </c>
      <c r="BA261" s="138">
        <v>11</v>
      </c>
      <c r="BB261" s="140">
        <v>12</v>
      </c>
      <c r="BC261" s="138">
        <v>3</v>
      </c>
      <c r="BD261" s="140">
        <v>2</v>
      </c>
      <c r="BE261" s="138">
        <v>154356</v>
      </c>
      <c r="BF261" s="139">
        <v>199841</v>
      </c>
      <c r="BG261" s="142">
        <v>0.77239405327235156</v>
      </c>
      <c r="BH261" s="139">
        <v>6474</v>
      </c>
      <c r="BI261" s="139">
        <v>8385</v>
      </c>
      <c r="BJ261" s="144">
        <v>0.77209302325581397</v>
      </c>
    </row>
    <row r="262" spans="1:62" x14ac:dyDescent="0.25">
      <c r="A262" s="8"/>
      <c r="B262" s="9" t="s">
        <v>65</v>
      </c>
      <c r="C262" s="9"/>
      <c r="D262" s="9"/>
      <c r="E262" s="10"/>
      <c r="F262" s="176">
        <v>30441</v>
      </c>
      <c r="G262" s="177">
        <v>25825</v>
      </c>
      <c r="H262" s="178">
        <v>8</v>
      </c>
      <c r="I262" s="178">
        <v>8087</v>
      </c>
      <c r="J262" s="179">
        <v>17746</v>
      </c>
      <c r="K262" s="177">
        <v>0</v>
      </c>
      <c r="L262" s="178">
        <v>141</v>
      </c>
      <c r="M262" s="178">
        <v>1158</v>
      </c>
      <c r="N262" s="178">
        <v>475</v>
      </c>
      <c r="O262" s="178">
        <v>215</v>
      </c>
      <c r="P262" s="178">
        <v>0</v>
      </c>
      <c r="Q262" s="178">
        <v>116</v>
      </c>
      <c r="R262" s="179">
        <v>2487</v>
      </c>
      <c r="S262" s="176">
        <v>1722</v>
      </c>
      <c r="T262" s="177">
        <v>1381</v>
      </c>
      <c r="U262" s="178">
        <v>32</v>
      </c>
      <c r="V262" s="178">
        <v>89</v>
      </c>
      <c r="W262" s="178">
        <v>722</v>
      </c>
      <c r="X262" s="179">
        <v>538</v>
      </c>
      <c r="Y262" s="177">
        <v>67649</v>
      </c>
      <c r="Z262" s="179">
        <v>22201</v>
      </c>
      <c r="AA262" s="177">
        <v>69945</v>
      </c>
      <c r="AB262" s="179">
        <v>19606</v>
      </c>
      <c r="AC262" s="177">
        <v>69832</v>
      </c>
      <c r="AD262" s="179">
        <v>19970</v>
      </c>
      <c r="AE262" s="177">
        <v>10442</v>
      </c>
      <c r="AF262" s="178">
        <v>5258</v>
      </c>
      <c r="AG262" s="179">
        <v>16339</v>
      </c>
      <c r="AH262" s="131">
        <v>3.3939895637777349E-2</v>
      </c>
      <c r="AI262" s="12">
        <v>3.2269508788008695E-2</v>
      </c>
      <c r="AJ262" s="12">
        <v>-1.6155550789906355E-3</v>
      </c>
      <c r="AK262" s="12">
        <v>-0.11688662672852575</v>
      </c>
      <c r="AL262" s="12">
        <v>-0.10049096887527589</v>
      </c>
      <c r="AM262" s="12">
        <v>1.8565745180046923E-2</v>
      </c>
      <c r="AN262" s="13">
        <v>2.7040464666021298</v>
      </c>
      <c r="AO262" s="12">
        <v>0.77328170377541139</v>
      </c>
      <c r="AP262" s="12">
        <v>0.20360116166505324</v>
      </c>
      <c r="AQ262" s="12">
        <v>0.63268151016456919</v>
      </c>
      <c r="AR262" s="12">
        <v>8.7842610907035892E-2</v>
      </c>
      <c r="AS262" s="131">
        <v>6.6679574056147148E-2</v>
      </c>
      <c r="AT262" s="14">
        <v>1.3204259438528558E-2</v>
      </c>
      <c r="AU262" s="9">
        <v>5345</v>
      </c>
      <c r="AV262" s="9">
        <v>5452</v>
      </c>
      <c r="AW262" s="10">
        <v>5342</v>
      </c>
      <c r="AX262" s="131">
        <v>2.0018709073900843E-2</v>
      </c>
      <c r="AY262" s="12">
        <v>-5.6127221702525728E-4</v>
      </c>
      <c r="AZ262" s="14">
        <v>-2.0176082171680116E-2</v>
      </c>
      <c r="BA262" s="8">
        <v>10</v>
      </c>
      <c r="BB262" s="10">
        <v>11</v>
      </c>
      <c r="BC262" s="8">
        <v>2</v>
      </c>
      <c r="BD262" s="10">
        <v>2</v>
      </c>
      <c r="BE262" s="8">
        <v>56982</v>
      </c>
      <c r="BF262" s="9">
        <v>69832</v>
      </c>
      <c r="BG262" s="12">
        <v>0.8159869400847749</v>
      </c>
      <c r="BH262" s="9">
        <v>4159</v>
      </c>
      <c r="BI262" s="9">
        <v>5342</v>
      </c>
      <c r="BJ262" s="14">
        <v>0.77854736053912388</v>
      </c>
    </row>
    <row r="263" spans="1:62" x14ac:dyDescent="0.25">
      <c r="A263" s="15"/>
      <c r="B263" s="16"/>
      <c r="C263" s="16" t="s">
        <v>66</v>
      </c>
      <c r="D263" s="16"/>
      <c r="E263" s="17"/>
      <c r="F263" s="180">
        <v>1281</v>
      </c>
      <c r="G263" s="181">
        <v>1207</v>
      </c>
      <c r="H263" s="182">
        <v>2</v>
      </c>
      <c r="I263" s="182">
        <v>518</v>
      </c>
      <c r="J263" s="183">
        <v>691</v>
      </c>
      <c r="K263" s="181">
        <v>0</v>
      </c>
      <c r="L263" s="182">
        <v>1</v>
      </c>
      <c r="M263" s="182">
        <v>16</v>
      </c>
      <c r="N263" s="182">
        <v>1</v>
      </c>
      <c r="O263" s="182">
        <v>1</v>
      </c>
      <c r="P263" s="182">
        <v>0</v>
      </c>
      <c r="Q263" s="182">
        <v>6</v>
      </c>
      <c r="R263" s="183">
        <v>47</v>
      </c>
      <c r="S263" s="180">
        <v>41</v>
      </c>
      <c r="T263" s="181">
        <v>20</v>
      </c>
      <c r="U263" s="182">
        <v>1</v>
      </c>
      <c r="V263" s="182">
        <v>4</v>
      </c>
      <c r="W263" s="182">
        <v>12</v>
      </c>
      <c r="X263" s="183">
        <v>3</v>
      </c>
      <c r="Y263" s="181">
        <v>1711</v>
      </c>
      <c r="Z263" s="183">
        <v>455</v>
      </c>
      <c r="AA263" s="181">
        <v>2116</v>
      </c>
      <c r="AB263" s="183">
        <v>529</v>
      </c>
      <c r="AC263" s="181">
        <v>2297</v>
      </c>
      <c r="AD263" s="183">
        <v>533</v>
      </c>
      <c r="AE263" s="181">
        <v>746</v>
      </c>
      <c r="AF263" s="182">
        <v>618</v>
      </c>
      <c r="AG263" s="183">
        <v>264</v>
      </c>
      <c r="AH263" s="133">
        <v>0.23670368205727646</v>
      </c>
      <c r="AI263" s="19">
        <v>0.34248977206312098</v>
      </c>
      <c r="AJ263" s="19">
        <v>8.5538752362948958E-2</v>
      </c>
      <c r="AK263" s="19">
        <v>0.16263736263736264</v>
      </c>
      <c r="AL263" s="19">
        <v>0.17142857142857143</v>
      </c>
      <c r="AM263" s="19">
        <v>7.5614366729678641E-3</v>
      </c>
      <c r="AN263" s="20">
        <v>1.9030654515327257</v>
      </c>
      <c r="AO263" s="19">
        <v>0.44159072079536038</v>
      </c>
      <c r="AP263" s="19">
        <v>0.51201325600662795</v>
      </c>
      <c r="AQ263" s="19">
        <v>0.21872410936205469</v>
      </c>
      <c r="AR263" s="19">
        <v>3.7480063795853266E-2</v>
      </c>
      <c r="AS263" s="133">
        <v>3.3968516984258491E-2</v>
      </c>
      <c r="AT263" s="21">
        <v>1.7398508699254349E-2</v>
      </c>
      <c r="AU263" s="16">
        <v>759</v>
      </c>
      <c r="AV263" s="16">
        <v>920</v>
      </c>
      <c r="AW263" s="17">
        <v>941</v>
      </c>
      <c r="AX263" s="133">
        <v>0.21212121212121213</v>
      </c>
      <c r="AY263" s="19">
        <v>0.23978919631093545</v>
      </c>
      <c r="AZ263" s="21">
        <v>2.2826086956521739E-2</v>
      </c>
      <c r="BA263" s="15">
        <v>12</v>
      </c>
      <c r="BB263" s="17">
        <v>12</v>
      </c>
      <c r="BC263" s="15">
        <v>2</v>
      </c>
      <c r="BD263" s="17">
        <v>2</v>
      </c>
      <c r="BE263" s="15">
        <v>1733</v>
      </c>
      <c r="BF263" s="16">
        <v>2297</v>
      </c>
      <c r="BG263" s="19">
        <v>0.75446234218545927</v>
      </c>
      <c r="BH263" s="16">
        <v>715</v>
      </c>
      <c r="BI263" s="16">
        <v>941</v>
      </c>
      <c r="BJ263" s="21">
        <v>0.75982996811902237</v>
      </c>
    </row>
    <row r="264" spans="1:62" x14ac:dyDescent="0.25">
      <c r="A264" s="22"/>
      <c r="B264" s="23"/>
      <c r="C264" s="23"/>
      <c r="D264" s="23" t="s">
        <v>67</v>
      </c>
      <c r="E264" s="24"/>
      <c r="F264" s="184">
        <v>208</v>
      </c>
      <c r="G264" s="185">
        <v>175</v>
      </c>
      <c r="H264" s="186">
        <v>0</v>
      </c>
      <c r="I264" s="186">
        <v>155</v>
      </c>
      <c r="J264" s="187">
        <v>20</v>
      </c>
      <c r="K264" s="185">
        <v>0</v>
      </c>
      <c r="L264" s="186">
        <v>0</v>
      </c>
      <c r="M264" s="186">
        <v>13</v>
      </c>
      <c r="N264" s="186">
        <v>1</v>
      </c>
      <c r="O264" s="186">
        <v>1</v>
      </c>
      <c r="P264" s="186">
        <v>0</v>
      </c>
      <c r="Q264" s="186">
        <v>4</v>
      </c>
      <c r="R264" s="187">
        <v>14</v>
      </c>
      <c r="S264" s="184">
        <v>23</v>
      </c>
      <c r="T264" s="185">
        <v>14</v>
      </c>
      <c r="U264" s="186">
        <v>0</v>
      </c>
      <c r="V264" s="186">
        <v>4</v>
      </c>
      <c r="W264" s="186">
        <v>9</v>
      </c>
      <c r="X264" s="187">
        <v>1</v>
      </c>
      <c r="Y264" s="185">
        <v>661</v>
      </c>
      <c r="Z264" s="187">
        <v>127</v>
      </c>
      <c r="AA264" s="185">
        <v>784</v>
      </c>
      <c r="AB264" s="187">
        <v>143</v>
      </c>
      <c r="AC264" s="185">
        <v>817</v>
      </c>
      <c r="AD264" s="187">
        <v>158</v>
      </c>
      <c r="AE264" s="185">
        <v>50</v>
      </c>
      <c r="AF264" s="186">
        <v>27</v>
      </c>
      <c r="AG264" s="187">
        <v>88</v>
      </c>
      <c r="AH264" s="135">
        <v>0.18608169440242056</v>
      </c>
      <c r="AI264" s="26">
        <v>0.23600605143721634</v>
      </c>
      <c r="AJ264" s="26">
        <v>4.2091836734693876E-2</v>
      </c>
      <c r="AK264" s="26">
        <v>0.12598425196850394</v>
      </c>
      <c r="AL264" s="26">
        <v>0.24409448818897639</v>
      </c>
      <c r="AM264" s="26">
        <v>0.1048951048951049</v>
      </c>
      <c r="AN264" s="27">
        <v>4.6685714285714282</v>
      </c>
      <c r="AO264" s="26">
        <v>0.9028571428571428</v>
      </c>
      <c r="AP264" s="26">
        <v>0.15428571428571428</v>
      </c>
      <c r="AQ264" s="26">
        <v>0.50285714285714289</v>
      </c>
      <c r="AR264" s="26">
        <v>7.407407407407407E-2</v>
      </c>
      <c r="AS264" s="135">
        <v>0.13142857142857142</v>
      </c>
      <c r="AT264" s="28">
        <v>5.1428571428571428E-2</v>
      </c>
      <c r="AU264" s="23">
        <v>386</v>
      </c>
      <c r="AV264" s="23">
        <v>470</v>
      </c>
      <c r="AW264" s="24">
        <v>467</v>
      </c>
      <c r="AX264" s="135">
        <v>0.21761658031088082</v>
      </c>
      <c r="AY264" s="26">
        <v>0.20984455958549222</v>
      </c>
      <c r="AZ264" s="28">
        <v>-6.382978723404255E-3</v>
      </c>
      <c r="BA264" s="22">
        <v>12</v>
      </c>
      <c r="BB264" s="24">
        <v>12</v>
      </c>
      <c r="BC264" s="22">
        <v>2</v>
      </c>
      <c r="BD264" s="24">
        <v>2</v>
      </c>
      <c r="BE264" s="22">
        <v>615</v>
      </c>
      <c r="BF264" s="23">
        <v>817</v>
      </c>
      <c r="BG264" s="26">
        <v>0.75275397796817622</v>
      </c>
      <c r="BH264" s="23">
        <v>356</v>
      </c>
      <c r="BI264" s="23">
        <v>467</v>
      </c>
      <c r="BJ264" s="28">
        <v>0.76231263383297643</v>
      </c>
    </row>
    <row r="265" spans="1:62" x14ac:dyDescent="0.25">
      <c r="A265" s="29"/>
      <c r="B265" s="30"/>
      <c r="C265" s="30"/>
      <c r="D265" s="30"/>
      <c r="E265" s="31" t="s">
        <v>68</v>
      </c>
      <c r="F265" s="188">
        <v>190</v>
      </c>
      <c r="G265" s="189">
        <v>158</v>
      </c>
      <c r="H265" s="190">
        <v>0</v>
      </c>
      <c r="I265" s="190">
        <v>138</v>
      </c>
      <c r="J265" s="191">
        <v>20</v>
      </c>
      <c r="K265" s="189">
        <v>0</v>
      </c>
      <c r="L265" s="190">
        <v>0</v>
      </c>
      <c r="M265" s="190">
        <v>12</v>
      </c>
      <c r="N265" s="190">
        <v>1</v>
      </c>
      <c r="O265" s="190">
        <v>1</v>
      </c>
      <c r="P265" s="190">
        <v>0</v>
      </c>
      <c r="Q265" s="190">
        <v>4</v>
      </c>
      <c r="R265" s="191">
        <v>14</v>
      </c>
      <c r="S265" s="188">
        <v>22</v>
      </c>
      <c r="T265" s="189">
        <v>12</v>
      </c>
      <c r="U265" s="190">
        <v>0</v>
      </c>
      <c r="V265" s="190">
        <v>4</v>
      </c>
      <c r="W265" s="190">
        <v>8</v>
      </c>
      <c r="X265" s="191">
        <v>0</v>
      </c>
      <c r="Y265" s="189">
        <v>634</v>
      </c>
      <c r="Z265" s="191">
        <v>114</v>
      </c>
      <c r="AA265" s="189">
        <v>750</v>
      </c>
      <c r="AB265" s="191">
        <v>130</v>
      </c>
      <c r="AC265" s="189">
        <v>790</v>
      </c>
      <c r="AD265" s="191">
        <v>150</v>
      </c>
      <c r="AE265" s="189">
        <v>40</v>
      </c>
      <c r="AF265" s="190">
        <v>23</v>
      </c>
      <c r="AG265" s="191">
        <v>84</v>
      </c>
      <c r="AH265" s="136">
        <v>0.18296529968454259</v>
      </c>
      <c r="AI265" s="33">
        <v>0.24605678233438485</v>
      </c>
      <c r="AJ265" s="33">
        <v>5.3333333333333337E-2</v>
      </c>
      <c r="AK265" s="33">
        <v>0.14035087719298245</v>
      </c>
      <c r="AL265" s="33">
        <v>0.31578947368421051</v>
      </c>
      <c r="AM265" s="33">
        <v>0.15384615384615385</v>
      </c>
      <c r="AN265" s="34">
        <v>5</v>
      </c>
      <c r="AO265" s="33">
        <v>0.94936708860759489</v>
      </c>
      <c r="AP265" s="33">
        <v>0.14556962025316456</v>
      </c>
      <c r="AQ265" s="33">
        <v>0.53164556962025311</v>
      </c>
      <c r="AR265" s="33">
        <v>8.1395348837209308E-2</v>
      </c>
      <c r="AS265" s="136">
        <v>0.13924050632911392</v>
      </c>
      <c r="AT265" s="35">
        <v>6.3291139240506333E-2</v>
      </c>
      <c r="AU265" s="30">
        <v>378</v>
      </c>
      <c r="AV265" s="30">
        <v>459</v>
      </c>
      <c r="AW265" s="31">
        <v>458</v>
      </c>
      <c r="AX265" s="136">
        <v>0.21428571428571427</v>
      </c>
      <c r="AY265" s="33">
        <v>0.21164021164021163</v>
      </c>
      <c r="AZ265" s="35">
        <v>-2.1786492374727671E-3</v>
      </c>
      <c r="BA265" s="29">
        <v>11</v>
      </c>
      <c r="BB265" s="31">
        <v>12</v>
      </c>
      <c r="BC265" s="29">
        <v>2</v>
      </c>
      <c r="BD265" s="31">
        <v>2</v>
      </c>
      <c r="BE265" s="29">
        <v>598</v>
      </c>
      <c r="BF265" s="30">
        <v>790</v>
      </c>
      <c r="BG265" s="33">
        <v>0.75696202531645573</v>
      </c>
      <c r="BH265" s="30">
        <v>350</v>
      </c>
      <c r="BI265" s="30">
        <v>458</v>
      </c>
      <c r="BJ265" s="35">
        <v>0.76419213973799127</v>
      </c>
    </row>
    <row r="266" spans="1:62" x14ac:dyDescent="0.25">
      <c r="A266" s="22"/>
      <c r="B266" s="23"/>
      <c r="C266" s="23"/>
      <c r="D266" s="23" t="s">
        <v>69</v>
      </c>
      <c r="E266" s="24"/>
      <c r="F266" s="184">
        <v>1073</v>
      </c>
      <c r="G266" s="185">
        <v>1032</v>
      </c>
      <c r="H266" s="186">
        <v>2</v>
      </c>
      <c r="I266" s="186">
        <v>363</v>
      </c>
      <c r="J266" s="187">
        <v>671</v>
      </c>
      <c r="K266" s="185">
        <v>0</v>
      </c>
      <c r="L266" s="186">
        <v>1</v>
      </c>
      <c r="M266" s="186">
        <v>3</v>
      </c>
      <c r="N266" s="186">
        <v>0</v>
      </c>
      <c r="O266" s="186">
        <v>0</v>
      </c>
      <c r="P266" s="186">
        <v>0</v>
      </c>
      <c r="Q266" s="186">
        <v>2</v>
      </c>
      <c r="R266" s="187">
        <v>33</v>
      </c>
      <c r="S266" s="184">
        <v>18</v>
      </c>
      <c r="T266" s="185">
        <v>6</v>
      </c>
      <c r="U266" s="186">
        <v>1</v>
      </c>
      <c r="V266" s="186">
        <v>0</v>
      </c>
      <c r="W266" s="186">
        <v>3</v>
      </c>
      <c r="X266" s="187">
        <v>2</v>
      </c>
      <c r="Y266" s="185">
        <v>1050</v>
      </c>
      <c r="Z266" s="187">
        <v>328</v>
      </c>
      <c r="AA266" s="185">
        <v>1332</v>
      </c>
      <c r="AB266" s="187">
        <v>386</v>
      </c>
      <c r="AC266" s="185">
        <v>1480</v>
      </c>
      <c r="AD266" s="187">
        <v>375</v>
      </c>
      <c r="AE266" s="185">
        <v>696</v>
      </c>
      <c r="AF266" s="186">
        <v>591</v>
      </c>
      <c r="AG266" s="187">
        <v>176</v>
      </c>
      <c r="AH266" s="135">
        <v>0.26857142857142857</v>
      </c>
      <c r="AI266" s="26">
        <v>0.40952380952380951</v>
      </c>
      <c r="AJ266" s="26">
        <v>0.1111111111111111</v>
      </c>
      <c r="AK266" s="26">
        <v>0.17682926829268292</v>
      </c>
      <c r="AL266" s="26">
        <v>0.14329268292682926</v>
      </c>
      <c r="AM266" s="26">
        <v>-2.8497409326424871E-2</v>
      </c>
      <c r="AN266" s="27">
        <v>1.4341085271317831</v>
      </c>
      <c r="AO266" s="26">
        <v>0.36337209302325579</v>
      </c>
      <c r="AP266" s="26">
        <v>0.57267441860465118</v>
      </c>
      <c r="AQ266" s="26">
        <v>0.17054263565891473</v>
      </c>
      <c r="AR266" s="26">
        <v>3.0985915492957747E-2</v>
      </c>
      <c r="AS266" s="135">
        <v>1.7441860465116279E-2</v>
      </c>
      <c r="AT266" s="28">
        <v>1.1627906976744186E-2</v>
      </c>
      <c r="AU266" s="23">
        <v>481</v>
      </c>
      <c r="AV266" s="23">
        <v>586</v>
      </c>
      <c r="AW266" s="24">
        <v>625</v>
      </c>
      <c r="AX266" s="135">
        <v>0.21829521829521831</v>
      </c>
      <c r="AY266" s="26">
        <v>0.29937629937629939</v>
      </c>
      <c r="AZ266" s="28">
        <v>6.655290102389079E-2</v>
      </c>
      <c r="BA266" s="22">
        <v>12</v>
      </c>
      <c r="BB266" s="24">
        <v>12</v>
      </c>
      <c r="BC266" s="22">
        <v>1</v>
      </c>
      <c r="BD266" s="24">
        <v>2</v>
      </c>
      <c r="BE266" s="22">
        <v>1118</v>
      </c>
      <c r="BF266" s="23">
        <v>1480</v>
      </c>
      <c r="BG266" s="26">
        <v>0.75540540540540535</v>
      </c>
      <c r="BH266" s="23">
        <v>473</v>
      </c>
      <c r="BI266" s="23">
        <v>625</v>
      </c>
      <c r="BJ266" s="28">
        <v>0.75680000000000003</v>
      </c>
    </row>
    <row r="267" spans="1:62" x14ac:dyDescent="0.25">
      <c r="A267" s="29"/>
      <c r="B267" s="30"/>
      <c r="C267" s="30"/>
      <c r="D267" s="30"/>
      <c r="E267" s="31" t="s">
        <v>68</v>
      </c>
      <c r="F267" s="188">
        <v>1073</v>
      </c>
      <c r="G267" s="189">
        <v>1032</v>
      </c>
      <c r="H267" s="190">
        <v>2</v>
      </c>
      <c r="I267" s="190">
        <v>363</v>
      </c>
      <c r="J267" s="191">
        <v>671</v>
      </c>
      <c r="K267" s="189">
        <v>0</v>
      </c>
      <c r="L267" s="190">
        <v>1</v>
      </c>
      <c r="M267" s="190">
        <v>3</v>
      </c>
      <c r="N267" s="190">
        <v>0</v>
      </c>
      <c r="O267" s="190">
        <v>0</v>
      </c>
      <c r="P267" s="190">
        <v>0</v>
      </c>
      <c r="Q267" s="190">
        <v>2</v>
      </c>
      <c r="R267" s="191">
        <v>33</v>
      </c>
      <c r="S267" s="188">
        <v>18</v>
      </c>
      <c r="T267" s="189">
        <v>6</v>
      </c>
      <c r="U267" s="190">
        <v>1</v>
      </c>
      <c r="V267" s="190">
        <v>0</v>
      </c>
      <c r="W267" s="190">
        <v>3</v>
      </c>
      <c r="X267" s="191">
        <v>2</v>
      </c>
      <c r="Y267" s="189">
        <v>1050</v>
      </c>
      <c r="Z267" s="191">
        <v>328</v>
      </c>
      <c r="AA267" s="189">
        <v>1332</v>
      </c>
      <c r="AB267" s="191">
        <v>386</v>
      </c>
      <c r="AC267" s="189">
        <v>1480</v>
      </c>
      <c r="AD267" s="191">
        <v>375</v>
      </c>
      <c r="AE267" s="189">
        <v>696</v>
      </c>
      <c r="AF267" s="190">
        <v>591</v>
      </c>
      <c r="AG267" s="191">
        <v>176</v>
      </c>
      <c r="AH267" s="136">
        <v>0.26857142857142857</v>
      </c>
      <c r="AI267" s="33">
        <v>0.40952380952380951</v>
      </c>
      <c r="AJ267" s="33">
        <v>0.1111111111111111</v>
      </c>
      <c r="AK267" s="33">
        <v>0.17682926829268292</v>
      </c>
      <c r="AL267" s="33">
        <v>0.14329268292682926</v>
      </c>
      <c r="AM267" s="33">
        <v>-2.8497409326424871E-2</v>
      </c>
      <c r="AN267" s="34">
        <v>1.4341085271317831</v>
      </c>
      <c r="AO267" s="33">
        <v>0.36337209302325579</v>
      </c>
      <c r="AP267" s="33">
        <v>0.57267441860465118</v>
      </c>
      <c r="AQ267" s="33">
        <v>0.17054263565891473</v>
      </c>
      <c r="AR267" s="33">
        <v>3.0985915492957747E-2</v>
      </c>
      <c r="AS267" s="136">
        <v>1.7441860465116279E-2</v>
      </c>
      <c r="AT267" s="35">
        <v>1.1627906976744186E-2</v>
      </c>
      <c r="AU267" s="30">
        <v>481</v>
      </c>
      <c r="AV267" s="30">
        <v>586</v>
      </c>
      <c r="AW267" s="31">
        <v>625</v>
      </c>
      <c r="AX267" s="136">
        <v>0.21829521829521831</v>
      </c>
      <c r="AY267" s="33">
        <v>0.29937629937629939</v>
      </c>
      <c r="AZ267" s="35">
        <v>6.655290102389079E-2</v>
      </c>
      <c r="BA267" s="29">
        <v>12</v>
      </c>
      <c r="BB267" s="31">
        <v>12</v>
      </c>
      <c r="BC267" s="29">
        <v>1</v>
      </c>
      <c r="BD267" s="31">
        <v>2</v>
      </c>
      <c r="BE267" s="29">
        <v>1118</v>
      </c>
      <c r="BF267" s="30">
        <v>1480</v>
      </c>
      <c r="BG267" s="33">
        <v>0.75540540540540535</v>
      </c>
      <c r="BH267" s="30">
        <v>473</v>
      </c>
      <c r="BI267" s="30">
        <v>625</v>
      </c>
      <c r="BJ267" s="35">
        <v>0.75680000000000003</v>
      </c>
    </row>
    <row r="268" spans="1:62" x14ac:dyDescent="0.25">
      <c r="A268" s="15"/>
      <c r="B268" s="16"/>
      <c r="C268" s="16" t="s">
        <v>70</v>
      </c>
      <c r="D268" s="16"/>
      <c r="E268" s="17"/>
      <c r="F268" s="180">
        <v>11427</v>
      </c>
      <c r="G268" s="181">
        <v>9227</v>
      </c>
      <c r="H268" s="182">
        <v>0</v>
      </c>
      <c r="I268" s="182">
        <v>2034</v>
      </c>
      <c r="J268" s="183">
        <v>7193</v>
      </c>
      <c r="K268" s="181">
        <v>0</v>
      </c>
      <c r="L268" s="182">
        <v>30</v>
      </c>
      <c r="M268" s="182">
        <v>582</v>
      </c>
      <c r="N268" s="182">
        <v>320</v>
      </c>
      <c r="O268" s="182">
        <v>160</v>
      </c>
      <c r="P268" s="182">
        <v>0</v>
      </c>
      <c r="Q268" s="182">
        <v>39</v>
      </c>
      <c r="R268" s="183">
        <v>1067</v>
      </c>
      <c r="S268" s="180">
        <v>580</v>
      </c>
      <c r="T268" s="181">
        <v>503</v>
      </c>
      <c r="U268" s="182">
        <v>11</v>
      </c>
      <c r="V268" s="182">
        <v>33</v>
      </c>
      <c r="W268" s="182">
        <v>344</v>
      </c>
      <c r="X268" s="183">
        <v>115</v>
      </c>
      <c r="Y268" s="181">
        <v>26743</v>
      </c>
      <c r="Z268" s="183">
        <v>8992</v>
      </c>
      <c r="AA268" s="181">
        <v>26981</v>
      </c>
      <c r="AB268" s="183">
        <v>8212</v>
      </c>
      <c r="AC268" s="181">
        <v>27023</v>
      </c>
      <c r="AD268" s="183">
        <v>8150</v>
      </c>
      <c r="AE268" s="181">
        <v>3330</v>
      </c>
      <c r="AF268" s="182">
        <v>1636</v>
      </c>
      <c r="AG268" s="183">
        <v>6556</v>
      </c>
      <c r="AH268" s="133">
        <v>8.8995251093744159E-3</v>
      </c>
      <c r="AI268" s="19">
        <v>1.047002954044049E-2</v>
      </c>
      <c r="AJ268" s="19">
        <v>1.5566509766131722E-3</v>
      </c>
      <c r="AK268" s="19">
        <v>-8.6743772241992881E-2</v>
      </c>
      <c r="AL268" s="19">
        <v>-9.3638790035587186E-2</v>
      </c>
      <c r="AM268" s="19">
        <v>-7.5499269361909401E-3</v>
      </c>
      <c r="AN268" s="20">
        <v>2.9286875474151945</v>
      </c>
      <c r="AO268" s="19">
        <v>0.88327733824645061</v>
      </c>
      <c r="AP268" s="19">
        <v>0.17730573317437953</v>
      </c>
      <c r="AQ268" s="19">
        <v>0.71052346374769693</v>
      </c>
      <c r="AR268" s="19">
        <v>0.10365261317272198</v>
      </c>
      <c r="AS268" s="133">
        <v>6.2859000758643119E-2</v>
      </c>
      <c r="AT268" s="21">
        <v>8.3450742386474482E-3</v>
      </c>
      <c r="AU268" s="16">
        <v>3203</v>
      </c>
      <c r="AV268" s="16">
        <v>2958</v>
      </c>
      <c r="AW268" s="17">
        <v>2997</v>
      </c>
      <c r="AX268" s="133">
        <v>-7.6490789884483296E-2</v>
      </c>
      <c r="AY268" s="19">
        <v>-6.4314704964096164E-2</v>
      </c>
      <c r="AZ268" s="21">
        <v>1.3184584178498986E-2</v>
      </c>
      <c r="BA268" s="15">
        <v>8</v>
      </c>
      <c r="BB268" s="17">
        <v>10</v>
      </c>
      <c r="BC268" s="15">
        <v>2</v>
      </c>
      <c r="BD268" s="17">
        <v>1</v>
      </c>
      <c r="BE268" s="15">
        <v>22897</v>
      </c>
      <c r="BF268" s="16">
        <v>27023</v>
      </c>
      <c r="BG268" s="19">
        <v>0.84731524997224583</v>
      </c>
      <c r="BH268" s="16">
        <v>2365</v>
      </c>
      <c r="BI268" s="16">
        <v>2997</v>
      </c>
      <c r="BJ268" s="21">
        <v>0.78912245578912243</v>
      </c>
    </row>
    <row r="269" spans="1:62" x14ac:dyDescent="0.25">
      <c r="A269" s="29"/>
      <c r="B269" s="30"/>
      <c r="C269" s="30"/>
      <c r="D269" s="30"/>
      <c r="E269" s="31" t="s">
        <v>68</v>
      </c>
      <c r="F269" s="188">
        <v>11419</v>
      </c>
      <c r="G269" s="189">
        <v>9219</v>
      </c>
      <c r="H269" s="190">
        <v>0</v>
      </c>
      <c r="I269" s="190">
        <v>2032</v>
      </c>
      <c r="J269" s="191">
        <v>7187</v>
      </c>
      <c r="K269" s="189">
        <v>0</v>
      </c>
      <c r="L269" s="190">
        <v>30</v>
      </c>
      <c r="M269" s="190">
        <v>582</v>
      </c>
      <c r="N269" s="190">
        <v>320</v>
      </c>
      <c r="O269" s="190">
        <v>160</v>
      </c>
      <c r="P269" s="190">
        <v>0</v>
      </c>
      <c r="Q269" s="190">
        <v>39</v>
      </c>
      <c r="R269" s="191">
        <v>1067</v>
      </c>
      <c r="S269" s="188">
        <v>577</v>
      </c>
      <c r="T269" s="189">
        <v>503</v>
      </c>
      <c r="U269" s="190">
        <v>11</v>
      </c>
      <c r="V269" s="190">
        <v>33</v>
      </c>
      <c r="W269" s="190">
        <v>344</v>
      </c>
      <c r="X269" s="191">
        <v>115</v>
      </c>
      <c r="Y269" s="189">
        <v>26737</v>
      </c>
      <c r="Z269" s="191">
        <v>8988</v>
      </c>
      <c r="AA269" s="189">
        <v>26972</v>
      </c>
      <c r="AB269" s="191">
        <v>8208</v>
      </c>
      <c r="AC269" s="189">
        <v>27002</v>
      </c>
      <c r="AD269" s="191">
        <v>8144</v>
      </c>
      <c r="AE269" s="189">
        <v>3328</v>
      </c>
      <c r="AF269" s="190">
        <v>1634</v>
      </c>
      <c r="AG269" s="191">
        <v>6552</v>
      </c>
      <c r="AH269" s="136">
        <v>8.7893181733178748E-3</v>
      </c>
      <c r="AI269" s="33">
        <v>9.9113587911882402E-3</v>
      </c>
      <c r="AJ269" s="33">
        <v>1.1122645706658756E-3</v>
      </c>
      <c r="AK269" s="33">
        <v>-8.678237650200267E-2</v>
      </c>
      <c r="AL269" s="33">
        <v>-9.390298175344905E-2</v>
      </c>
      <c r="AM269" s="33">
        <v>-7.7972709551656916E-3</v>
      </c>
      <c r="AN269" s="34">
        <v>2.9289510792927649</v>
      </c>
      <c r="AO269" s="33">
        <v>0.88339299273240046</v>
      </c>
      <c r="AP269" s="33">
        <v>0.17724265104675127</v>
      </c>
      <c r="AQ269" s="33">
        <v>0.71070615034168561</v>
      </c>
      <c r="AR269" s="33">
        <v>0.10373322963251021</v>
      </c>
      <c r="AS269" s="136">
        <v>6.2588133203167376E-2</v>
      </c>
      <c r="AT269" s="35">
        <v>8.0269009653975484E-3</v>
      </c>
      <c r="AU269" s="30">
        <v>3203</v>
      </c>
      <c r="AV269" s="30">
        <v>2958</v>
      </c>
      <c r="AW269" s="31">
        <v>2996</v>
      </c>
      <c r="AX269" s="136">
        <v>-7.6490789884483296E-2</v>
      </c>
      <c r="AY269" s="33">
        <v>-6.4626912269747108E-2</v>
      </c>
      <c r="AZ269" s="35">
        <v>1.2846517917511832E-2</v>
      </c>
      <c r="BA269" s="29">
        <v>8</v>
      </c>
      <c r="BB269" s="31">
        <v>10</v>
      </c>
      <c r="BC269" s="29">
        <v>2</v>
      </c>
      <c r="BD269" s="31">
        <v>1</v>
      </c>
      <c r="BE269" s="29">
        <v>22877</v>
      </c>
      <c r="BF269" s="30">
        <v>27002</v>
      </c>
      <c r="BG269" s="33">
        <v>0.84723353825642544</v>
      </c>
      <c r="BH269" s="30">
        <v>2362</v>
      </c>
      <c r="BI269" s="30">
        <v>2996</v>
      </c>
      <c r="BJ269" s="35">
        <v>0.78838451268357812</v>
      </c>
    </row>
    <row r="270" spans="1:62" x14ac:dyDescent="0.25">
      <c r="A270" s="15"/>
      <c r="B270" s="16"/>
      <c r="C270" s="16" t="s">
        <v>71</v>
      </c>
      <c r="D270" s="16"/>
      <c r="E270" s="17"/>
      <c r="F270" s="180">
        <v>10597</v>
      </c>
      <c r="G270" s="181">
        <v>9461</v>
      </c>
      <c r="H270" s="182">
        <v>6</v>
      </c>
      <c r="I270" s="182">
        <v>2387</v>
      </c>
      <c r="J270" s="183">
        <v>7080</v>
      </c>
      <c r="K270" s="181">
        <v>0</v>
      </c>
      <c r="L270" s="182">
        <v>58</v>
      </c>
      <c r="M270" s="182">
        <v>164</v>
      </c>
      <c r="N270" s="182">
        <v>111</v>
      </c>
      <c r="O270" s="182">
        <v>38</v>
      </c>
      <c r="P270" s="182">
        <v>0</v>
      </c>
      <c r="Q270" s="182">
        <v>26</v>
      </c>
      <c r="R270" s="183">
        <v>721</v>
      </c>
      <c r="S270" s="180">
        <v>520</v>
      </c>
      <c r="T270" s="181">
        <v>445</v>
      </c>
      <c r="U270" s="182">
        <v>9</v>
      </c>
      <c r="V270" s="182">
        <v>20</v>
      </c>
      <c r="W270" s="182">
        <v>99</v>
      </c>
      <c r="X270" s="183">
        <v>317</v>
      </c>
      <c r="Y270" s="181">
        <v>19779</v>
      </c>
      <c r="Z270" s="183">
        <v>7219</v>
      </c>
      <c r="AA270" s="181">
        <v>19747</v>
      </c>
      <c r="AB270" s="183">
        <v>6422</v>
      </c>
      <c r="AC270" s="181">
        <v>20003</v>
      </c>
      <c r="AD270" s="183">
        <v>6559</v>
      </c>
      <c r="AE270" s="181">
        <v>4013</v>
      </c>
      <c r="AF270" s="182">
        <v>1845</v>
      </c>
      <c r="AG270" s="183">
        <v>5978</v>
      </c>
      <c r="AH270" s="133">
        <v>-1.6178775468931696E-3</v>
      </c>
      <c r="AI270" s="19">
        <v>1.1325142828252187E-2</v>
      </c>
      <c r="AJ270" s="19">
        <v>1.2963994530814807E-2</v>
      </c>
      <c r="AK270" s="19">
        <v>-0.1104031029228425</v>
      </c>
      <c r="AL270" s="19">
        <v>-9.1425405180772953E-2</v>
      </c>
      <c r="AM270" s="19">
        <v>2.1332918094051696E-2</v>
      </c>
      <c r="AN270" s="20">
        <v>2.1142585350385796</v>
      </c>
      <c r="AO270" s="19">
        <v>0.69326709650142693</v>
      </c>
      <c r="AP270" s="19">
        <v>0.19501109819258006</v>
      </c>
      <c r="AQ270" s="19">
        <v>0.63185709755839758</v>
      </c>
      <c r="AR270" s="19">
        <v>7.0811235513651538E-2</v>
      </c>
      <c r="AS270" s="133">
        <v>5.4962477539372161E-2</v>
      </c>
      <c r="AT270" s="21">
        <v>7.9272804143325232E-3</v>
      </c>
      <c r="AU270" s="16">
        <v>3422</v>
      </c>
      <c r="AV270" s="16">
        <v>3181</v>
      </c>
      <c r="AW270" s="17">
        <v>3166</v>
      </c>
      <c r="AX270" s="133">
        <v>-7.0426651081239036E-2</v>
      </c>
      <c r="AY270" s="19">
        <v>-7.481005260081823E-2</v>
      </c>
      <c r="AZ270" s="21">
        <v>-4.7154982709839673E-3</v>
      </c>
      <c r="BA270" s="15">
        <v>10</v>
      </c>
      <c r="BB270" s="17">
        <v>10</v>
      </c>
      <c r="BC270" s="15">
        <v>3</v>
      </c>
      <c r="BD270" s="17">
        <v>2</v>
      </c>
      <c r="BE270" s="15">
        <v>16537</v>
      </c>
      <c r="BF270" s="16">
        <v>20003</v>
      </c>
      <c r="BG270" s="19">
        <v>0.82672599110133482</v>
      </c>
      <c r="BH270" s="16">
        <v>2458</v>
      </c>
      <c r="BI270" s="16">
        <v>3166</v>
      </c>
      <c r="BJ270" s="21">
        <v>0.77637397346809855</v>
      </c>
    </row>
    <row r="271" spans="1:62" x14ac:dyDescent="0.25">
      <c r="A271" s="29"/>
      <c r="B271" s="30"/>
      <c r="C271" s="30"/>
      <c r="D271" s="30"/>
      <c r="E271" s="31" t="s">
        <v>68</v>
      </c>
      <c r="F271" s="188">
        <v>10583</v>
      </c>
      <c r="G271" s="189">
        <v>9449</v>
      </c>
      <c r="H271" s="190">
        <v>5</v>
      </c>
      <c r="I271" s="190">
        <v>2387</v>
      </c>
      <c r="J271" s="191">
        <v>7067</v>
      </c>
      <c r="K271" s="189">
        <v>0</v>
      </c>
      <c r="L271" s="190">
        <v>58</v>
      </c>
      <c r="M271" s="190">
        <v>164</v>
      </c>
      <c r="N271" s="190">
        <v>111</v>
      </c>
      <c r="O271" s="190">
        <v>38</v>
      </c>
      <c r="P271" s="190">
        <v>0</v>
      </c>
      <c r="Q271" s="190">
        <v>26</v>
      </c>
      <c r="R271" s="191">
        <v>720</v>
      </c>
      <c r="S271" s="188">
        <v>510</v>
      </c>
      <c r="T271" s="189">
        <v>445</v>
      </c>
      <c r="U271" s="190">
        <v>9</v>
      </c>
      <c r="V271" s="190">
        <v>20</v>
      </c>
      <c r="W271" s="190">
        <v>99</v>
      </c>
      <c r="X271" s="191">
        <v>317</v>
      </c>
      <c r="Y271" s="189">
        <v>19769</v>
      </c>
      <c r="Z271" s="191">
        <v>7213</v>
      </c>
      <c r="AA271" s="189">
        <v>19740</v>
      </c>
      <c r="AB271" s="191">
        <v>6420</v>
      </c>
      <c r="AC271" s="189">
        <v>19992</v>
      </c>
      <c r="AD271" s="191">
        <v>6551</v>
      </c>
      <c r="AE271" s="189">
        <v>4008</v>
      </c>
      <c r="AF271" s="190">
        <v>1841</v>
      </c>
      <c r="AG271" s="191">
        <v>5970</v>
      </c>
      <c r="AH271" s="136">
        <v>-1.4669431938894228E-3</v>
      </c>
      <c r="AI271" s="33">
        <v>1.128028731852901E-2</v>
      </c>
      <c r="AJ271" s="33">
        <v>1.276595744680851E-2</v>
      </c>
      <c r="AK271" s="33">
        <v>-0.10994038541522251</v>
      </c>
      <c r="AL271" s="33">
        <v>-9.1778732843477054E-2</v>
      </c>
      <c r="AM271" s="33">
        <v>2.0404984423676012E-2</v>
      </c>
      <c r="AN271" s="34">
        <v>2.1157794475605884</v>
      </c>
      <c r="AO271" s="33">
        <v>0.69330087839983068</v>
      </c>
      <c r="AP271" s="33">
        <v>0.19483543232088052</v>
      </c>
      <c r="AQ271" s="33">
        <v>0.63181289025293685</v>
      </c>
      <c r="AR271" s="33">
        <v>7.0803422165404667E-2</v>
      </c>
      <c r="AS271" s="136">
        <v>5.3973965498994601E-2</v>
      </c>
      <c r="AT271" s="35">
        <v>6.8790348184993117E-3</v>
      </c>
      <c r="AU271" s="30">
        <v>3391</v>
      </c>
      <c r="AV271" s="30">
        <v>3165</v>
      </c>
      <c r="AW271" s="31">
        <v>3166</v>
      </c>
      <c r="AX271" s="136">
        <v>-6.6647006782659987E-2</v>
      </c>
      <c r="AY271" s="33">
        <v>-6.6352108522559711E-2</v>
      </c>
      <c r="AZ271" s="35">
        <v>3.1595576619273299E-4</v>
      </c>
      <c r="BA271" s="29">
        <v>10</v>
      </c>
      <c r="BB271" s="31">
        <v>10</v>
      </c>
      <c r="BC271" s="29">
        <v>3</v>
      </c>
      <c r="BD271" s="31">
        <v>2</v>
      </c>
      <c r="BE271" s="29">
        <v>16526</v>
      </c>
      <c r="BF271" s="30">
        <v>19992</v>
      </c>
      <c r="BG271" s="33">
        <v>0.82663065226090437</v>
      </c>
      <c r="BH271" s="30">
        <v>2456</v>
      </c>
      <c r="BI271" s="30">
        <v>3166</v>
      </c>
      <c r="BJ271" s="35">
        <v>0.77574226152874293</v>
      </c>
    </row>
    <row r="272" spans="1:62" x14ac:dyDescent="0.25">
      <c r="A272" s="15"/>
      <c r="B272" s="16"/>
      <c r="C272" s="16" t="s">
        <v>72</v>
      </c>
      <c r="D272" s="16"/>
      <c r="E272" s="17"/>
      <c r="F272" s="180">
        <v>352</v>
      </c>
      <c r="G272" s="181">
        <v>246</v>
      </c>
      <c r="H272" s="182">
        <v>0</v>
      </c>
      <c r="I272" s="182">
        <v>132</v>
      </c>
      <c r="J272" s="183">
        <v>114</v>
      </c>
      <c r="K272" s="181">
        <v>0</v>
      </c>
      <c r="L272" s="182">
        <v>18</v>
      </c>
      <c r="M272" s="182">
        <v>30</v>
      </c>
      <c r="N272" s="182">
        <v>2</v>
      </c>
      <c r="O272" s="182">
        <v>1</v>
      </c>
      <c r="P272" s="182">
        <v>0</v>
      </c>
      <c r="Q272" s="182">
        <v>2</v>
      </c>
      <c r="R272" s="183">
        <v>53</v>
      </c>
      <c r="S272" s="180">
        <v>35</v>
      </c>
      <c r="T272" s="181">
        <v>31</v>
      </c>
      <c r="U272" s="182">
        <v>2</v>
      </c>
      <c r="V272" s="182">
        <v>2</v>
      </c>
      <c r="W272" s="182">
        <v>18</v>
      </c>
      <c r="X272" s="183">
        <v>9</v>
      </c>
      <c r="Y272" s="181">
        <v>1020</v>
      </c>
      <c r="Z272" s="183">
        <v>257</v>
      </c>
      <c r="AA272" s="181">
        <v>1028</v>
      </c>
      <c r="AB272" s="183">
        <v>174</v>
      </c>
      <c r="AC272" s="181">
        <v>920</v>
      </c>
      <c r="AD272" s="183">
        <v>198</v>
      </c>
      <c r="AE272" s="181">
        <v>130</v>
      </c>
      <c r="AF272" s="182">
        <v>53</v>
      </c>
      <c r="AG272" s="183">
        <v>143</v>
      </c>
      <c r="AH272" s="133">
        <v>7.8431372549019607E-3</v>
      </c>
      <c r="AI272" s="19">
        <v>-9.8039215686274508E-2</v>
      </c>
      <c r="AJ272" s="19">
        <v>-0.10505836575875487</v>
      </c>
      <c r="AK272" s="19">
        <v>-0.32295719844357978</v>
      </c>
      <c r="AL272" s="19">
        <v>-0.22957198443579765</v>
      </c>
      <c r="AM272" s="19">
        <v>0.13793103448275862</v>
      </c>
      <c r="AN272" s="20">
        <v>3.7398373983739837</v>
      </c>
      <c r="AO272" s="19">
        <v>0.80487804878048785</v>
      </c>
      <c r="AP272" s="19">
        <v>0.21544715447154472</v>
      </c>
      <c r="AQ272" s="19">
        <v>0.58130081300813008</v>
      </c>
      <c r="AR272" s="19">
        <v>0.17725752508361203</v>
      </c>
      <c r="AS272" s="133">
        <v>0.14227642276422764</v>
      </c>
      <c r="AT272" s="21">
        <v>1.6260162601626018E-2</v>
      </c>
      <c r="AU272" s="16">
        <v>511</v>
      </c>
      <c r="AV272" s="16">
        <v>504</v>
      </c>
      <c r="AW272" s="17">
        <v>447</v>
      </c>
      <c r="AX272" s="133">
        <v>-1.3698630136986301E-2</v>
      </c>
      <c r="AY272" s="19">
        <v>-0.12524461839530332</v>
      </c>
      <c r="AZ272" s="21">
        <v>-0.1130952380952381</v>
      </c>
      <c r="BA272" s="15">
        <v>21.5</v>
      </c>
      <c r="BB272" s="17">
        <v>12</v>
      </c>
      <c r="BC272" s="15">
        <v>2</v>
      </c>
      <c r="BD272" s="17">
        <v>1</v>
      </c>
      <c r="BE272" s="15">
        <v>626</v>
      </c>
      <c r="BF272" s="16">
        <v>920</v>
      </c>
      <c r="BG272" s="19">
        <v>0.68043478260869561</v>
      </c>
      <c r="BH272" s="16">
        <v>336</v>
      </c>
      <c r="BI272" s="16">
        <v>447</v>
      </c>
      <c r="BJ272" s="21">
        <v>0.75167785234899331</v>
      </c>
    </row>
    <row r="273" spans="1:62" x14ac:dyDescent="0.25">
      <c r="A273" s="29"/>
      <c r="B273" s="30"/>
      <c r="C273" s="30"/>
      <c r="D273" s="30"/>
      <c r="E273" s="31" t="s">
        <v>82</v>
      </c>
      <c r="F273" s="188">
        <v>58</v>
      </c>
      <c r="G273" s="189">
        <v>32</v>
      </c>
      <c r="H273" s="190">
        <v>0</v>
      </c>
      <c r="I273" s="190">
        <v>31</v>
      </c>
      <c r="J273" s="191">
        <v>1</v>
      </c>
      <c r="K273" s="189">
        <v>0</v>
      </c>
      <c r="L273" s="190">
        <v>1</v>
      </c>
      <c r="M273" s="190">
        <v>12</v>
      </c>
      <c r="N273" s="190">
        <v>1</v>
      </c>
      <c r="O273" s="190">
        <v>1</v>
      </c>
      <c r="P273" s="190">
        <v>0</v>
      </c>
      <c r="Q273" s="190">
        <v>1</v>
      </c>
      <c r="R273" s="191">
        <v>10</v>
      </c>
      <c r="S273" s="188">
        <v>1</v>
      </c>
      <c r="T273" s="189">
        <v>16</v>
      </c>
      <c r="U273" s="190">
        <v>0</v>
      </c>
      <c r="V273" s="190">
        <v>1</v>
      </c>
      <c r="W273" s="190">
        <v>7</v>
      </c>
      <c r="X273" s="191">
        <v>8</v>
      </c>
      <c r="Y273" s="189">
        <v>312</v>
      </c>
      <c r="Z273" s="191">
        <v>63</v>
      </c>
      <c r="AA273" s="189">
        <v>232</v>
      </c>
      <c r="AB273" s="191">
        <v>48</v>
      </c>
      <c r="AC273" s="189">
        <v>165</v>
      </c>
      <c r="AD273" s="191">
        <v>39</v>
      </c>
      <c r="AE273" s="189">
        <v>18</v>
      </c>
      <c r="AF273" s="190">
        <v>5</v>
      </c>
      <c r="AG273" s="191">
        <v>13</v>
      </c>
      <c r="AH273" s="136">
        <v>-0.25641025641025639</v>
      </c>
      <c r="AI273" s="33">
        <v>-0.47115384615384615</v>
      </c>
      <c r="AJ273" s="33">
        <v>-0.28879310344827586</v>
      </c>
      <c r="AK273" s="33">
        <v>-0.23809523809523808</v>
      </c>
      <c r="AL273" s="33">
        <v>-0.38095238095238093</v>
      </c>
      <c r="AM273" s="33">
        <v>-0.1875</v>
      </c>
      <c r="AN273" s="34">
        <v>5.15625</v>
      </c>
      <c r="AO273" s="33">
        <v>1.21875</v>
      </c>
      <c r="AP273" s="33">
        <v>0.15625</v>
      </c>
      <c r="AQ273" s="33">
        <v>0.40625</v>
      </c>
      <c r="AR273" s="33">
        <v>0.23809523809523808</v>
      </c>
      <c r="AS273" s="136">
        <v>3.125E-2</v>
      </c>
      <c r="AT273" s="35">
        <v>-0.46875</v>
      </c>
      <c r="AU273" s="30">
        <v>183</v>
      </c>
      <c r="AV273" s="30">
        <v>137</v>
      </c>
      <c r="AW273" s="31">
        <v>95</v>
      </c>
      <c r="AX273" s="136">
        <v>-0.25136612021857924</v>
      </c>
      <c r="AY273" s="33">
        <v>-0.48087431693989069</v>
      </c>
      <c r="AZ273" s="35">
        <v>-0.30656934306569344</v>
      </c>
      <c r="BA273" s="29">
        <v>30</v>
      </c>
      <c r="BB273" s="31">
        <v>12</v>
      </c>
      <c r="BC273" s="29">
        <v>2</v>
      </c>
      <c r="BD273" s="31">
        <v>2</v>
      </c>
      <c r="BE273" s="29">
        <v>117</v>
      </c>
      <c r="BF273" s="30">
        <v>165</v>
      </c>
      <c r="BG273" s="33">
        <v>0.70909090909090911</v>
      </c>
      <c r="BH273" s="30">
        <v>67</v>
      </c>
      <c r="BI273" s="30">
        <v>95</v>
      </c>
      <c r="BJ273" s="35">
        <v>0.70526315789473681</v>
      </c>
    </row>
    <row r="274" spans="1:62" x14ac:dyDescent="0.25">
      <c r="A274" s="29"/>
      <c r="B274" s="30"/>
      <c r="C274" s="30"/>
      <c r="D274" s="30"/>
      <c r="E274" s="31" t="s">
        <v>68</v>
      </c>
      <c r="F274" s="188">
        <v>290</v>
      </c>
      <c r="G274" s="189">
        <v>210</v>
      </c>
      <c r="H274" s="190">
        <v>0</v>
      </c>
      <c r="I274" s="190">
        <v>98</v>
      </c>
      <c r="J274" s="191">
        <v>112</v>
      </c>
      <c r="K274" s="189">
        <v>0</v>
      </c>
      <c r="L274" s="190">
        <v>17</v>
      </c>
      <c r="M274" s="190">
        <v>18</v>
      </c>
      <c r="N274" s="190">
        <v>1</v>
      </c>
      <c r="O274" s="190">
        <v>0</v>
      </c>
      <c r="P274" s="190">
        <v>0</v>
      </c>
      <c r="Q274" s="190">
        <v>1</v>
      </c>
      <c r="R274" s="191">
        <v>43</v>
      </c>
      <c r="S274" s="188">
        <v>34</v>
      </c>
      <c r="T274" s="189">
        <v>15</v>
      </c>
      <c r="U274" s="190">
        <v>2</v>
      </c>
      <c r="V274" s="190">
        <v>1</v>
      </c>
      <c r="W274" s="190">
        <v>11</v>
      </c>
      <c r="X274" s="191">
        <v>1</v>
      </c>
      <c r="Y274" s="189">
        <v>697</v>
      </c>
      <c r="Z274" s="191">
        <v>192</v>
      </c>
      <c r="AA274" s="189">
        <v>777</v>
      </c>
      <c r="AB274" s="191">
        <v>123</v>
      </c>
      <c r="AC274" s="189">
        <v>737</v>
      </c>
      <c r="AD274" s="191">
        <v>155</v>
      </c>
      <c r="AE274" s="189">
        <v>112</v>
      </c>
      <c r="AF274" s="190">
        <v>48</v>
      </c>
      <c r="AG274" s="191">
        <v>128</v>
      </c>
      <c r="AH274" s="136">
        <v>0.11477761836441894</v>
      </c>
      <c r="AI274" s="33">
        <v>5.7388809182209469E-2</v>
      </c>
      <c r="AJ274" s="33">
        <v>-5.1480051480051477E-2</v>
      </c>
      <c r="AK274" s="33">
        <v>-0.359375</v>
      </c>
      <c r="AL274" s="33">
        <v>-0.19270833333333334</v>
      </c>
      <c r="AM274" s="33">
        <v>0.26016260162601629</v>
      </c>
      <c r="AN274" s="34">
        <v>3.5095238095238095</v>
      </c>
      <c r="AO274" s="33">
        <v>0.73809523809523814</v>
      </c>
      <c r="AP274" s="33">
        <v>0.22857142857142856</v>
      </c>
      <c r="AQ274" s="33">
        <v>0.60952380952380958</v>
      </c>
      <c r="AR274" s="33">
        <v>0.16996047430830039</v>
      </c>
      <c r="AS274" s="136">
        <v>0.16190476190476191</v>
      </c>
      <c r="AT274" s="35">
        <v>9.0476190476190474E-2</v>
      </c>
      <c r="AU274" s="30">
        <v>402</v>
      </c>
      <c r="AV274" s="30">
        <v>435</v>
      </c>
      <c r="AW274" s="31">
        <v>390</v>
      </c>
      <c r="AX274" s="136">
        <v>8.2089552238805971E-2</v>
      </c>
      <c r="AY274" s="33">
        <v>-2.9850746268656716E-2</v>
      </c>
      <c r="AZ274" s="35">
        <v>-0.10344827586206896</v>
      </c>
      <c r="BA274" s="29">
        <v>18</v>
      </c>
      <c r="BB274" s="31">
        <v>12</v>
      </c>
      <c r="BC274" s="29">
        <v>2</v>
      </c>
      <c r="BD274" s="31">
        <v>1.5</v>
      </c>
      <c r="BE274" s="29">
        <v>495</v>
      </c>
      <c r="BF274" s="30">
        <v>737</v>
      </c>
      <c r="BG274" s="33">
        <v>0.67164179104477617</v>
      </c>
      <c r="BH274" s="30">
        <v>294</v>
      </c>
      <c r="BI274" s="30">
        <v>390</v>
      </c>
      <c r="BJ274" s="35">
        <v>0.75384615384615383</v>
      </c>
    </row>
    <row r="275" spans="1:62" x14ac:dyDescent="0.25">
      <c r="A275" s="15"/>
      <c r="B275" s="16"/>
      <c r="C275" s="16" t="s">
        <v>227</v>
      </c>
      <c r="D275" s="16"/>
      <c r="E275" s="17"/>
      <c r="F275" s="180">
        <v>463</v>
      </c>
      <c r="G275" s="181">
        <v>378</v>
      </c>
      <c r="H275" s="182">
        <v>0</v>
      </c>
      <c r="I275" s="182">
        <v>359</v>
      </c>
      <c r="J275" s="183">
        <v>19</v>
      </c>
      <c r="K275" s="181">
        <v>0</v>
      </c>
      <c r="L275" s="182">
        <v>1</v>
      </c>
      <c r="M275" s="182">
        <v>13</v>
      </c>
      <c r="N275" s="182">
        <v>2</v>
      </c>
      <c r="O275" s="182">
        <v>3</v>
      </c>
      <c r="P275" s="182">
        <v>0</v>
      </c>
      <c r="Q275" s="182">
        <v>1</v>
      </c>
      <c r="R275" s="183">
        <v>64</v>
      </c>
      <c r="S275" s="180">
        <v>22</v>
      </c>
      <c r="T275" s="181">
        <v>9</v>
      </c>
      <c r="U275" s="182">
        <v>2</v>
      </c>
      <c r="V275" s="182">
        <v>1</v>
      </c>
      <c r="W275" s="182">
        <v>5</v>
      </c>
      <c r="X275" s="183">
        <v>1</v>
      </c>
      <c r="Y275" s="181">
        <v>1385</v>
      </c>
      <c r="Z275" s="183">
        <v>370</v>
      </c>
      <c r="AA275" s="181">
        <v>1326</v>
      </c>
      <c r="AB275" s="183">
        <v>380</v>
      </c>
      <c r="AC275" s="181">
        <v>1190</v>
      </c>
      <c r="AD275" s="183">
        <v>351</v>
      </c>
      <c r="AE275" s="181">
        <v>113</v>
      </c>
      <c r="AF275" s="182">
        <v>40</v>
      </c>
      <c r="AG275" s="183">
        <v>147</v>
      </c>
      <c r="AH275" s="133">
        <v>-4.2599277978339352E-2</v>
      </c>
      <c r="AI275" s="19">
        <v>-0.1407942238267148</v>
      </c>
      <c r="AJ275" s="19">
        <v>-0.10256410256410256</v>
      </c>
      <c r="AK275" s="19">
        <v>2.7027027027027029E-2</v>
      </c>
      <c r="AL275" s="19">
        <v>-5.1351351351351354E-2</v>
      </c>
      <c r="AM275" s="19">
        <v>-7.6315789473684212E-2</v>
      </c>
      <c r="AN275" s="20">
        <v>3.1481481481481484</v>
      </c>
      <c r="AO275" s="19">
        <v>0.9285714285714286</v>
      </c>
      <c r="AP275" s="19">
        <v>0.10582010582010581</v>
      </c>
      <c r="AQ275" s="19">
        <v>0.3888888888888889</v>
      </c>
      <c r="AR275" s="19">
        <v>0.14479638009049775</v>
      </c>
      <c r="AS275" s="133">
        <v>5.8201058201058198E-2</v>
      </c>
      <c r="AT275" s="21">
        <v>3.439153439153439E-2</v>
      </c>
      <c r="AU275" s="16">
        <v>527</v>
      </c>
      <c r="AV275" s="16">
        <v>495</v>
      </c>
      <c r="AW275" s="17">
        <v>470</v>
      </c>
      <c r="AX275" s="133">
        <v>-6.0721062618595827E-2</v>
      </c>
      <c r="AY275" s="19">
        <v>-0.10815939278937381</v>
      </c>
      <c r="AZ275" s="21">
        <v>-5.0505050505050504E-2</v>
      </c>
      <c r="BA275" s="15">
        <v>10</v>
      </c>
      <c r="BB275" s="17">
        <v>11</v>
      </c>
      <c r="BC275" s="15">
        <v>2</v>
      </c>
      <c r="BD275" s="17">
        <v>2</v>
      </c>
      <c r="BE275" s="15">
        <v>759</v>
      </c>
      <c r="BF275" s="16">
        <v>1190</v>
      </c>
      <c r="BG275" s="19">
        <v>0.63781512605042012</v>
      </c>
      <c r="BH275" s="16">
        <v>309</v>
      </c>
      <c r="BI275" s="16">
        <v>470</v>
      </c>
      <c r="BJ275" s="21">
        <v>0.6574468085106383</v>
      </c>
    </row>
    <row r="276" spans="1:62" x14ac:dyDescent="0.25">
      <c r="A276" s="29"/>
      <c r="B276" s="30"/>
      <c r="C276" s="30"/>
      <c r="D276" s="30"/>
      <c r="E276" s="31" t="s">
        <v>82</v>
      </c>
      <c r="F276" s="188">
        <v>117</v>
      </c>
      <c r="G276" s="189">
        <v>107</v>
      </c>
      <c r="H276" s="190">
        <v>0</v>
      </c>
      <c r="I276" s="190">
        <v>107</v>
      </c>
      <c r="J276" s="191">
        <v>0</v>
      </c>
      <c r="K276" s="189">
        <v>0</v>
      </c>
      <c r="L276" s="190">
        <v>1</v>
      </c>
      <c r="M276" s="190">
        <v>1</v>
      </c>
      <c r="N276" s="190">
        <v>0</v>
      </c>
      <c r="O276" s="190">
        <v>1</v>
      </c>
      <c r="P276" s="190">
        <v>0</v>
      </c>
      <c r="Q276" s="190">
        <v>0</v>
      </c>
      <c r="R276" s="191">
        <v>7</v>
      </c>
      <c r="S276" s="188">
        <v>4</v>
      </c>
      <c r="T276" s="189">
        <v>1</v>
      </c>
      <c r="U276" s="190">
        <v>1</v>
      </c>
      <c r="V276" s="190">
        <v>0</v>
      </c>
      <c r="W276" s="190">
        <v>0</v>
      </c>
      <c r="X276" s="191">
        <v>0</v>
      </c>
      <c r="Y276" s="189">
        <v>381</v>
      </c>
      <c r="Z276" s="191">
        <v>111</v>
      </c>
      <c r="AA276" s="189">
        <v>303</v>
      </c>
      <c r="AB276" s="191">
        <v>104</v>
      </c>
      <c r="AC276" s="189">
        <v>226</v>
      </c>
      <c r="AD276" s="191">
        <v>87</v>
      </c>
      <c r="AE276" s="189">
        <v>29</v>
      </c>
      <c r="AF276" s="190">
        <v>4</v>
      </c>
      <c r="AG276" s="191">
        <v>20</v>
      </c>
      <c r="AH276" s="136">
        <v>-0.20472440944881889</v>
      </c>
      <c r="AI276" s="33">
        <v>-0.40682414698162728</v>
      </c>
      <c r="AJ276" s="33">
        <v>-0.25412541254125415</v>
      </c>
      <c r="AK276" s="33">
        <v>-6.3063063063063057E-2</v>
      </c>
      <c r="AL276" s="33">
        <v>-0.21621621621621623</v>
      </c>
      <c r="AM276" s="33">
        <v>-0.16346153846153846</v>
      </c>
      <c r="AN276" s="34">
        <v>2.1121495327102804</v>
      </c>
      <c r="AO276" s="33">
        <v>0.81308411214953269</v>
      </c>
      <c r="AP276" s="33">
        <v>3.7383177570093455E-2</v>
      </c>
      <c r="AQ276" s="33">
        <v>0.18691588785046728</v>
      </c>
      <c r="AR276" s="33">
        <v>6.1403508771929821E-2</v>
      </c>
      <c r="AS276" s="136">
        <v>3.7383177570093455E-2</v>
      </c>
      <c r="AT276" s="35">
        <v>2.8037383177570093E-2</v>
      </c>
      <c r="AU276" s="30">
        <v>192</v>
      </c>
      <c r="AV276" s="30">
        <v>163</v>
      </c>
      <c r="AW276" s="31">
        <v>148</v>
      </c>
      <c r="AX276" s="136">
        <v>-0.15104166666666666</v>
      </c>
      <c r="AY276" s="33">
        <v>-0.22916666666666666</v>
      </c>
      <c r="AZ276" s="35">
        <v>-9.202453987730061E-2</v>
      </c>
      <c r="BA276" s="29">
        <v>13</v>
      </c>
      <c r="BB276" s="31">
        <v>12.5</v>
      </c>
      <c r="BC276" s="29">
        <v>2</v>
      </c>
      <c r="BD276" s="31">
        <v>2</v>
      </c>
      <c r="BE276" s="29">
        <v>145</v>
      </c>
      <c r="BF276" s="30">
        <v>226</v>
      </c>
      <c r="BG276" s="33">
        <v>0.6415929203539823</v>
      </c>
      <c r="BH276" s="30">
        <v>96</v>
      </c>
      <c r="BI276" s="30">
        <v>148</v>
      </c>
      <c r="BJ276" s="35">
        <v>0.64864864864864868</v>
      </c>
    </row>
    <row r="277" spans="1:62" x14ac:dyDescent="0.25">
      <c r="A277" s="29"/>
      <c r="B277" s="30"/>
      <c r="C277" s="30"/>
      <c r="D277" s="30"/>
      <c r="E277" s="31" t="s">
        <v>68</v>
      </c>
      <c r="F277" s="188">
        <v>149</v>
      </c>
      <c r="G277" s="189">
        <v>126</v>
      </c>
      <c r="H277" s="190">
        <v>0</v>
      </c>
      <c r="I277" s="190">
        <v>117</v>
      </c>
      <c r="J277" s="191">
        <v>9</v>
      </c>
      <c r="K277" s="189">
        <v>0</v>
      </c>
      <c r="L277" s="190">
        <v>0</v>
      </c>
      <c r="M277" s="190">
        <v>4</v>
      </c>
      <c r="N277" s="190">
        <v>1</v>
      </c>
      <c r="O277" s="190">
        <v>0</v>
      </c>
      <c r="P277" s="190">
        <v>0</v>
      </c>
      <c r="Q277" s="190">
        <v>0</v>
      </c>
      <c r="R277" s="191">
        <v>18</v>
      </c>
      <c r="S277" s="188">
        <v>17</v>
      </c>
      <c r="T277" s="189">
        <v>3</v>
      </c>
      <c r="U277" s="190">
        <v>1</v>
      </c>
      <c r="V277" s="190">
        <v>0</v>
      </c>
      <c r="W277" s="190">
        <v>2</v>
      </c>
      <c r="X277" s="191">
        <v>0</v>
      </c>
      <c r="Y277" s="189">
        <v>397</v>
      </c>
      <c r="Z277" s="191">
        <v>115</v>
      </c>
      <c r="AA277" s="189">
        <v>444</v>
      </c>
      <c r="AB277" s="191">
        <v>119</v>
      </c>
      <c r="AC277" s="189">
        <v>425</v>
      </c>
      <c r="AD277" s="191">
        <v>124</v>
      </c>
      <c r="AE277" s="189">
        <v>26</v>
      </c>
      <c r="AF277" s="190">
        <v>7</v>
      </c>
      <c r="AG277" s="191">
        <v>49</v>
      </c>
      <c r="AH277" s="136">
        <v>0.11838790931989925</v>
      </c>
      <c r="AI277" s="33">
        <v>7.0528967254408062E-2</v>
      </c>
      <c r="AJ277" s="33">
        <v>-4.2792792792792793E-2</v>
      </c>
      <c r="AK277" s="33">
        <v>3.4782608695652174E-2</v>
      </c>
      <c r="AL277" s="33">
        <v>7.8260869565217397E-2</v>
      </c>
      <c r="AM277" s="33">
        <v>4.2016806722689079E-2</v>
      </c>
      <c r="AN277" s="34">
        <v>3.373015873015873</v>
      </c>
      <c r="AO277" s="33">
        <v>0.98412698412698407</v>
      </c>
      <c r="AP277" s="33">
        <v>5.5555555555555552E-2</v>
      </c>
      <c r="AQ277" s="33">
        <v>0.3888888888888889</v>
      </c>
      <c r="AR277" s="33">
        <v>0.125</v>
      </c>
      <c r="AS277" s="136">
        <v>0.13492063492063491</v>
      </c>
      <c r="AT277" s="35">
        <v>0.1111111111111111</v>
      </c>
      <c r="AU277" s="30">
        <v>261</v>
      </c>
      <c r="AV277" s="30">
        <v>252</v>
      </c>
      <c r="AW277" s="31">
        <v>240</v>
      </c>
      <c r="AX277" s="136">
        <v>-3.4482758620689655E-2</v>
      </c>
      <c r="AY277" s="33">
        <v>-8.0459770114942528E-2</v>
      </c>
      <c r="AZ277" s="35">
        <v>-4.7619047619047616E-2</v>
      </c>
      <c r="BA277" s="29">
        <v>10</v>
      </c>
      <c r="BB277" s="31">
        <v>10.5</v>
      </c>
      <c r="BC277" s="29">
        <v>1</v>
      </c>
      <c r="BD277" s="31">
        <v>1</v>
      </c>
      <c r="BE277" s="29">
        <v>272</v>
      </c>
      <c r="BF277" s="30">
        <v>425</v>
      </c>
      <c r="BG277" s="33">
        <v>0.64</v>
      </c>
      <c r="BH277" s="30">
        <v>153</v>
      </c>
      <c r="BI277" s="30">
        <v>240</v>
      </c>
      <c r="BJ277" s="35">
        <v>0.63749999999999996</v>
      </c>
    </row>
    <row r="278" spans="1:62" x14ac:dyDescent="0.25">
      <c r="A278" s="29"/>
      <c r="B278" s="30"/>
      <c r="C278" s="30"/>
      <c r="D278" s="30"/>
      <c r="E278" s="31" t="s">
        <v>174</v>
      </c>
      <c r="F278" s="188">
        <v>197</v>
      </c>
      <c r="G278" s="189">
        <v>145</v>
      </c>
      <c r="H278" s="190">
        <v>0</v>
      </c>
      <c r="I278" s="190">
        <v>135</v>
      </c>
      <c r="J278" s="191">
        <v>10</v>
      </c>
      <c r="K278" s="189">
        <v>0</v>
      </c>
      <c r="L278" s="190">
        <v>0</v>
      </c>
      <c r="M278" s="190">
        <v>8</v>
      </c>
      <c r="N278" s="190">
        <v>1</v>
      </c>
      <c r="O278" s="190">
        <v>2</v>
      </c>
      <c r="P278" s="190">
        <v>0</v>
      </c>
      <c r="Q278" s="190">
        <v>1</v>
      </c>
      <c r="R278" s="191">
        <v>39</v>
      </c>
      <c r="S278" s="188">
        <v>1</v>
      </c>
      <c r="T278" s="189">
        <v>5</v>
      </c>
      <c r="U278" s="190">
        <v>0</v>
      </c>
      <c r="V278" s="190">
        <v>1</v>
      </c>
      <c r="W278" s="190">
        <v>3</v>
      </c>
      <c r="X278" s="191">
        <v>1</v>
      </c>
      <c r="Y278" s="189">
        <v>607</v>
      </c>
      <c r="Z278" s="191">
        <v>144</v>
      </c>
      <c r="AA278" s="189">
        <v>579</v>
      </c>
      <c r="AB278" s="191">
        <v>157</v>
      </c>
      <c r="AC278" s="189">
        <v>539</v>
      </c>
      <c r="AD278" s="191">
        <v>140</v>
      </c>
      <c r="AE278" s="189">
        <v>58</v>
      </c>
      <c r="AF278" s="190">
        <v>29</v>
      </c>
      <c r="AG278" s="191">
        <v>78</v>
      </c>
      <c r="AH278" s="136">
        <v>-4.6128500823723231E-2</v>
      </c>
      <c r="AI278" s="33">
        <v>-0.11202635914332784</v>
      </c>
      <c r="AJ278" s="33">
        <v>-6.9084628670120898E-2</v>
      </c>
      <c r="AK278" s="33">
        <v>9.0277777777777776E-2</v>
      </c>
      <c r="AL278" s="33">
        <v>-2.7777777777777776E-2</v>
      </c>
      <c r="AM278" s="33">
        <v>-0.10828025477707007</v>
      </c>
      <c r="AN278" s="34">
        <v>3.7172413793103449</v>
      </c>
      <c r="AO278" s="33">
        <v>0.96551724137931039</v>
      </c>
      <c r="AP278" s="33">
        <v>0.2</v>
      </c>
      <c r="AQ278" s="33">
        <v>0.53793103448275859</v>
      </c>
      <c r="AR278" s="33">
        <v>0.21195652173913043</v>
      </c>
      <c r="AS278" s="136">
        <v>6.8965517241379309E-3</v>
      </c>
      <c r="AT278" s="35">
        <v>-2.7586206896551724E-2</v>
      </c>
      <c r="AU278" s="30">
        <v>283</v>
      </c>
      <c r="AV278" s="30">
        <v>300</v>
      </c>
      <c r="AW278" s="31">
        <v>292</v>
      </c>
      <c r="AX278" s="136">
        <v>6.0070671378091869E-2</v>
      </c>
      <c r="AY278" s="33">
        <v>3.1802120141342753E-2</v>
      </c>
      <c r="AZ278" s="35">
        <v>-2.6666666666666668E-2</v>
      </c>
      <c r="BA278" s="29">
        <v>10</v>
      </c>
      <c r="BB278" s="31">
        <v>10</v>
      </c>
      <c r="BC278" s="29">
        <v>2</v>
      </c>
      <c r="BD278" s="31">
        <v>2</v>
      </c>
      <c r="BE278" s="29">
        <v>342</v>
      </c>
      <c r="BF278" s="30">
        <v>539</v>
      </c>
      <c r="BG278" s="33">
        <v>0.63450834879406304</v>
      </c>
      <c r="BH278" s="30">
        <v>187</v>
      </c>
      <c r="BI278" s="30">
        <v>292</v>
      </c>
      <c r="BJ278" s="35">
        <v>0.6404109589041096</v>
      </c>
    </row>
    <row r="279" spans="1:62" x14ac:dyDescent="0.25">
      <c r="A279" s="15"/>
      <c r="B279" s="16"/>
      <c r="C279" s="16" t="s">
        <v>73</v>
      </c>
      <c r="D279" s="16"/>
      <c r="E279" s="17"/>
      <c r="F279" s="180">
        <v>3456</v>
      </c>
      <c r="G279" s="181">
        <v>3227</v>
      </c>
      <c r="H279" s="182">
        <v>0</v>
      </c>
      <c r="I279" s="182">
        <v>1104</v>
      </c>
      <c r="J279" s="183">
        <v>2123</v>
      </c>
      <c r="K279" s="181">
        <v>0</v>
      </c>
      <c r="L279" s="182">
        <v>7</v>
      </c>
      <c r="M279" s="182">
        <v>22</v>
      </c>
      <c r="N279" s="182">
        <v>27</v>
      </c>
      <c r="O279" s="182">
        <v>6</v>
      </c>
      <c r="P279" s="182">
        <v>0</v>
      </c>
      <c r="Q279" s="182">
        <v>10</v>
      </c>
      <c r="R279" s="183">
        <v>157</v>
      </c>
      <c r="S279" s="180">
        <v>80</v>
      </c>
      <c r="T279" s="181">
        <v>110</v>
      </c>
      <c r="U279" s="182">
        <v>1</v>
      </c>
      <c r="V279" s="182">
        <v>9</v>
      </c>
      <c r="W279" s="182">
        <v>13</v>
      </c>
      <c r="X279" s="183">
        <v>87</v>
      </c>
      <c r="Y279" s="181">
        <v>5128</v>
      </c>
      <c r="Z279" s="183">
        <v>2492</v>
      </c>
      <c r="AA279" s="181">
        <v>5009</v>
      </c>
      <c r="AB279" s="183">
        <v>2054</v>
      </c>
      <c r="AC279" s="181">
        <v>4600</v>
      </c>
      <c r="AD279" s="183">
        <v>2038</v>
      </c>
      <c r="AE279" s="181">
        <v>1418</v>
      </c>
      <c r="AF279" s="182">
        <v>692</v>
      </c>
      <c r="AG279" s="183">
        <v>1631</v>
      </c>
      <c r="AH279" s="133">
        <v>-2.3205928237129487E-2</v>
      </c>
      <c r="AI279" s="19">
        <v>-0.10296411856474259</v>
      </c>
      <c r="AJ279" s="19">
        <v>-8.1653024555799564E-2</v>
      </c>
      <c r="AK279" s="19">
        <v>-0.17576243980738362</v>
      </c>
      <c r="AL279" s="19">
        <v>-0.18218298555377208</v>
      </c>
      <c r="AM279" s="19">
        <v>-7.7896786757546254E-3</v>
      </c>
      <c r="AN279" s="20">
        <v>1.4254725751471955</v>
      </c>
      <c r="AO279" s="19">
        <v>0.63154632785869225</v>
      </c>
      <c r="AP279" s="19">
        <v>0.21444065695692593</v>
      </c>
      <c r="AQ279" s="19">
        <v>0.50542299349240782</v>
      </c>
      <c r="AR279" s="19">
        <v>4.639479905437352E-2</v>
      </c>
      <c r="AS279" s="133">
        <v>2.4790827393864269E-2</v>
      </c>
      <c r="AT279" s="21">
        <v>-9.2965602726991017E-3</v>
      </c>
      <c r="AU279" s="16">
        <v>1526</v>
      </c>
      <c r="AV279" s="16">
        <v>1409</v>
      </c>
      <c r="AW279" s="17">
        <v>1343</v>
      </c>
      <c r="AX279" s="133">
        <v>-7.6671035386631711E-2</v>
      </c>
      <c r="AY279" s="19">
        <v>-0.1199213630406291</v>
      </c>
      <c r="AZ279" s="21">
        <v>-4.6841731724627397E-2</v>
      </c>
      <c r="BA279" s="15">
        <v>10</v>
      </c>
      <c r="BB279" s="17">
        <v>11</v>
      </c>
      <c r="BC279" s="15">
        <v>3</v>
      </c>
      <c r="BD279" s="17">
        <v>2</v>
      </c>
      <c r="BE279" s="15">
        <v>3863</v>
      </c>
      <c r="BF279" s="16">
        <v>4600</v>
      </c>
      <c r="BG279" s="19">
        <v>0.83978260869565213</v>
      </c>
      <c r="BH279" s="16">
        <v>1038</v>
      </c>
      <c r="BI279" s="16">
        <v>1343</v>
      </c>
      <c r="BJ279" s="21">
        <v>0.77289650037230084</v>
      </c>
    </row>
    <row r="280" spans="1:62" x14ac:dyDescent="0.25">
      <c r="A280" s="29"/>
      <c r="B280" s="30"/>
      <c r="C280" s="30"/>
      <c r="D280" s="30"/>
      <c r="E280" s="31" t="s">
        <v>68</v>
      </c>
      <c r="F280" s="188">
        <v>3439</v>
      </c>
      <c r="G280" s="189">
        <v>3210</v>
      </c>
      <c r="H280" s="190">
        <v>0</v>
      </c>
      <c r="I280" s="190">
        <v>1102</v>
      </c>
      <c r="J280" s="191">
        <v>2108</v>
      </c>
      <c r="K280" s="189">
        <v>0</v>
      </c>
      <c r="L280" s="190">
        <v>7</v>
      </c>
      <c r="M280" s="190">
        <v>22</v>
      </c>
      <c r="N280" s="190">
        <v>27</v>
      </c>
      <c r="O280" s="190">
        <v>6</v>
      </c>
      <c r="P280" s="190">
        <v>0</v>
      </c>
      <c r="Q280" s="190">
        <v>10</v>
      </c>
      <c r="R280" s="191">
        <v>157</v>
      </c>
      <c r="S280" s="188">
        <v>73</v>
      </c>
      <c r="T280" s="189">
        <v>110</v>
      </c>
      <c r="U280" s="190">
        <v>1</v>
      </c>
      <c r="V280" s="190">
        <v>9</v>
      </c>
      <c r="W280" s="190">
        <v>13</v>
      </c>
      <c r="X280" s="191">
        <v>87</v>
      </c>
      <c r="Y280" s="189">
        <v>5110</v>
      </c>
      <c r="Z280" s="191">
        <v>2483</v>
      </c>
      <c r="AA280" s="189">
        <v>5002</v>
      </c>
      <c r="AB280" s="191">
        <v>2048</v>
      </c>
      <c r="AC280" s="189">
        <v>4582</v>
      </c>
      <c r="AD280" s="191">
        <v>2028</v>
      </c>
      <c r="AE280" s="189">
        <v>1411</v>
      </c>
      <c r="AF280" s="190">
        <v>687</v>
      </c>
      <c r="AG280" s="191">
        <v>1620</v>
      </c>
      <c r="AH280" s="136">
        <v>-2.1135029354207437E-2</v>
      </c>
      <c r="AI280" s="33">
        <v>-0.10332681017612524</v>
      </c>
      <c r="AJ280" s="33">
        <v>-8.3966413434626144E-2</v>
      </c>
      <c r="AK280" s="33">
        <v>-0.1751913008457511</v>
      </c>
      <c r="AL280" s="33">
        <v>-0.18324607329842932</v>
      </c>
      <c r="AM280" s="33">
        <v>-9.765625E-3</v>
      </c>
      <c r="AN280" s="34">
        <v>1.4274143302180686</v>
      </c>
      <c r="AO280" s="33">
        <v>0.63177570093457946</v>
      </c>
      <c r="AP280" s="33">
        <v>0.21401869158878506</v>
      </c>
      <c r="AQ280" s="33">
        <v>0.50467289719626163</v>
      </c>
      <c r="AR280" s="33">
        <v>4.6629046629046628E-2</v>
      </c>
      <c r="AS280" s="136">
        <v>2.2741433021806853E-2</v>
      </c>
      <c r="AT280" s="35">
        <v>-1.1526479750778817E-2</v>
      </c>
      <c r="AU280" s="30">
        <v>1523</v>
      </c>
      <c r="AV280" s="30">
        <v>1408</v>
      </c>
      <c r="AW280" s="31">
        <v>1341</v>
      </c>
      <c r="AX280" s="136">
        <v>-7.5508864084044655E-2</v>
      </c>
      <c r="AY280" s="33">
        <v>-0.11950098489822718</v>
      </c>
      <c r="AZ280" s="35">
        <v>-4.7585227272727272E-2</v>
      </c>
      <c r="BA280" s="29">
        <v>10</v>
      </c>
      <c r="BB280" s="31">
        <v>11</v>
      </c>
      <c r="BC280" s="29">
        <v>3</v>
      </c>
      <c r="BD280" s="31">
        <v>2</v>
      </c>
      <c r="BE280" s="29">
        <v>3846</v>
      </c>
      <c r="BF280" s="30">
        <v>4582</v>
      </c>
      <c r="BG280" s="33">
        <v>0.83937145351374942</v>
      </c>
      <c r="BH280" s="30">
        <v>1037</v>
      </c>
      <c r="BI280" s="30">
        <v>1341</v>
      </c>
      <c r="BJ280" s="35">
        <v>0.77330350484712895</v>
      </c>
    </row>
    <row r="281" spans="1:62" x14ac:dyDescent="0.25">
      <c r="A281" s="15"/>
      <c r="B281" s="16"/>
      <c r="C281" s="16" t="s">
        <v>74</v>
      </c>
      <c r="D281" s="16"/>
      <c r="E281" s="17"/>
      <c r="F281" s="180">
        <v>367</v>
      </c>
      <c r="G281" s="181">
        <v>321</v>
      </c>
      <c r="H281" s="182">
        <v>0</v>
      </c>
      <c r="I281" s="182">
        <v>156</v>
      </c>
      <c r="J281" s="183">
        <v>165</v>
      </c>
      <c r="K281" s="181">
        <v>0</v>
      </c>
      <c r="L281" s="182">
        <v>2</v>
      </c>
      <c r="M281" s="182">
        <v>12</v>
      </c>
      <c r="N281" s="182">
        <v>5</v>
      </c>
      <c r="O281" s="182">
        <v>1</v>
      </c>
      <c r="P281" s="182">
        <v>0</v>
      </c>
      <c r="Q281" s="182">
        <v>2</v>
      </c>
      <c r="R281" s="183">
        <v>24</v>
      </c>
      <c r="S281" s="180">
        <v>86</v>
      </c>
      <c r="T281" s="181">
        <v>14</v>
      </c>
      <c r="U281" s="182">
        <v>1</v>
      </c>
      <c r="V281" s="182">
        <v>1</v>
      </c>
      <c r="W281" s="182">
        <v>9</v>
      </c>
      <c r="X281" s="183">
        <v>3</v>
      </c>
      <c r="Y281" s="181">
        <v>904</v>
      </c>
      <c r="Z281" s="183">
        <v>212</v>
      </c>
      <c r="AA281" s="181">
        <v>1281</v>
      </c>
      <c r="AB281" s="183">
        <v>210</v>
      </c>
      <c r="AC281" s="181">
        <v>1492</v>
      </c>
      <c r="AD281" s="183">
        <v>316</v>
      </c>
      <c r="AE281" s="181">
        <v>52</v>
      </c>
      <c r="AF281" s="182">
        <v>22</v>
      </c>
      <c r="AG281" s="183">
        <v>224</v>
      </c>
      <c r="AH281" s="133">
        <v>0.41703539823008851</v>
      </c>
      <c r="AI281" s="19">
        <v>0.65044247787610621</v>
      </c>
      <c r="AJ281" s="19">
        <v>0.16471506635441061</v>
      </c>
      <c r="AK281" s="19">
        <v>-9.433962264150943E-3</v>
      </c>
      <c r="AL281" s="19">
        <v>0.49056603773584906</v>
      </c>
      <c r="AM281" s="19">
        <v>0.50476190476190474</v>
      </c>
      <c r="AN281" s="20">
        <v>4.64797507788162</v>
      </c>
      <c r="AO281" s="19">
        <v>0.98442367601246106</v>
      </c>
      <c r="AP281" s="19">
        <v>6.8535825545171333E-2</v>
      </c>
      <c r="AQ281" s="19">
        <v>0.69781931464174451</v>
      </c>
      <c r="AR281" s="19">
        <v>6.9565217391304349E-2</v>
      </c>
      <c r="AS281" s="133">
        <v>0.26791277258566976</v>
      </c>
      <c r="AT281" s="21">
        <v>0.22429906542056074</v>
      </c>
      <c r="AU281" s="16">
        <v>485</v>
      </c>
      <c r="AV281" s="16">
        <v>608</v>
      </c>
      <c r="AW281" s="17">
        <v>670</v>
      </c>
      <c r="AX281" s="133">
        <v>0.2536082474226804</v>
      </c>
      <c r="AY281" s="19">
        <v>0.38144329896907214</v>
      </c>
      <c r="AZ281" s="21">
        <v>0.10197368421052631</v>
      </c>
      <c r="BA281" s="15">
        <v>9</v>
      </c>
      <c r="BB281" s="17">
        <v>9</v>
      </c>
      <c r="BC281" s="15">
        <v>2</v>
      </c>
      <c r="BD281" s="17">
        <v>2</v>
      </c>
      <c r="BE281" s="15">
        <v>1101</v>
      </c>
      <c r="BF281" s="16">
        <v>1492</v>
      </c>
      <c r="BG281" s="19">
        <v>0.73793565683646112</v>
      </c>
      <c r="BH281" s="16">
        <v>517</v>
      </c>
      <c r="BI281" s="16">
        <v>670</v>
      </c>
      <c r="BJ281" s="21">
        <v>0.77164179104477615</v>
      </c>
    </row>
    <row r="282" spans="1:62" x14ac:dyDescent="0.25">
      <c r="A282" s="29"/>
      <c r="B282" s="30"/>
      <c r="C282" s="30"/>
      <c r="D282" s="30"/>
      <c r="E282" s="31" t="s">
        <v>68</v>
      </c>
      <c r="F282" s="188">
        <v>365</v>
      </c>
      <c r="G282" s="189">
        <v>320</v>
      </c>
      <c r="H282" s="190">
        <v>0</v>
      </c>
      <c r="I282" s="190">
        <v>155</v>
      </c>
      <c r="J282" s="191">
        <v>165</v>
      </c>
      <c r="K282" s="189">
        <v>0</v>
      </c>
      <c r="L282" s="190">
        <v>2</v>
      </c>
      <c r="M282" s="190">
        <v>11</v>
      </c>
      <c r="N282" s="190">
        <v>5</v>
      </c>
      <c r="O282" s="190">
        <v>1</v>
      </c>
      <c r="P282" s="190">
        <v>0</v>
      </c>
      <c r="Q282" s="190">
        <v>2</v>
      </c>
      <c r="R282" s="191">
        <v>24</v>
      </c>
      <c r="S282" s="188">
        <v>86</v>
      </c>
      <c r="T282" s="189">
        <v>13</v>
      </c>
      <c r="U282" s="190">
        <v>1</v>
      </c>
      <c r="V282" s="190">
        <v>1</v>
      </c>
      <c r="W282" s="190">
        <v>8</v>
      </c>
      <c r="X282" s="191">
        <v>3</v>
      </c>
      <c r="Y282" s="189">
        <v>898</v>
      </c>
      <c r="Z282" s="191">
        <v>211</v>
      </c>
      <c r="AA282" s="189">
        <v>1273</v>
      </c>
      <c r="AB282" s="191">
        <v>209</v>
      </c>
      <c r="AC282" s="189">
        <v>1489</v>
      </c>
      <c r="AD282" s="191">
        <v>314</v>
      </c>
      <c r="AE282" s="189">
        <v>52</v>
      </c>
      <c r="AF282" s="190">
        <v>22</v>
      </c>
      <c r="AG282" s="191">
        <v>224</v>
      </c>
      <c r="AH282" s="136">
        <v>0.41759465478841873</v>
      </c>
      <c r="AI282" s="33">
        <v>0.65812917594654785</v>
      </c>
      <c r="AJ282" s="33">
        <v>0.16967792615868027</v>
      </c>
      <c r="AK282" s="33">
        <v>-9.4786729857819912E-3</v>
      </c>
      <c r="AL282" s="33">
        <v>0.4881516587677725</v>
      </c>
      <c r="AM282" s="33">
        <v>0.50239234449760761</v>
      </c>
      <c r="AN282" s="34">
        <v>4.6531250000000002</v>
      </c>
      <c r="AO282" s="33">
        <v>0.98124999999999996</v>
      </c>
      <c r="AP282" s="33">
        <v>6.8750000000000006E-2</v>
      </c>
      <c r="AQ282" s="33">
        <v>0.7</v>
      </c>
      <c r="AR282" s="33">
        <v>6.9767441860465115E-2</v>
      </c>
      <c r="AS282" s="136">
        <v>0.26874999999999999</v>
      </c>
      <c r="AT282" s="35">
        <v>0.22812499999999999</v>
      </c>
      <c r="AU282" s="30">
        <v>479</v>
      </c>
      <c r="AV282" s="30">
        <v>602</v>
      </c>
      <c r="AW282" s="31">
        <v>669</v>
      </c>
      <c r="AX282" s="136">
        <v>0.25678496868475992</v>
      </c>
      <c r="AY282" s="33">
        <v>0.39665970772442588</v>
      </c>
      <c r="AZ282" s="35">
        <v>0.11129568106312292</v>
      </c>
      <c r="BA282" s="29">
        <v>9</v>
      </c>
      <c r="BB282" s="31">
        <v>9</v>
      </c>
      <c r="BC282" s="29">
        <v>2</v>
      </c>
      <c r="BD282" s="31">
        <v>2</v>
      </c>
      <c r="BE282" s="29">
        <v>1098</v>
      </c>
      <c r="BF282" s="30">
        <v>1489</v>
      </c>
      <c r="BG282" s="33">
        <v>0.73740765614506376</v>
      </c>
      <c r="BH282" s="30">
        <v>516</v>
      </c>
      <c r="BI282" s="30">
        <v>669</v>
      </c>
      <c r="BJ282" s="35">
        <v>0.77130044843049328</v>
      </c>
    </row>
    <row r="283" spans="1:62" x14ac:dyDescent="0.25">
      <c r="A283" s="15"/>
      <c r="B283" s="16"/>
      <c r="C283" s="16" t="s">
        <v>80</v>
      </c>
      <c r="D283" s="16"/>
      <c r="E283" s="17"/>
      <c r="F283" s="180">
        <v>242</v>
      </c>
      <c r="G283" s="181">
        <v>214</v>
      </c>
      <c r="H283" s="182">
        <v>0</v>
      </c>
      <c r="I283" s="182">
        <v>211</v>
      </c>
      <c r="J283" s="183">
        <v>3</v>
      </c>
      <c r="K283" s="181">
        <v>0</v>
      </c>
      <c r="L283" s="182">
        <v>3</v>
      </c>
      <c r="M283" s="182">
        <v>5</v>
      </c>
      <c r="N283" s="182">
        <v>0</v>
      </c>
      <c r="O283" s="182">
        <v>0</v>
      </c>
      <c r="P283" s="182">
        <v>0</v>
      </c>
      <c r="Q283" s="182">
        <v>1</v>
      </c>
      <c r="R283" s="183">
        <v>19</v>
      </c>
      <c r="S283" s="180">
        <v>8</v>
      </c>
      <c r="T283" s="181">
        <v>3</v>
      </c>
      <c r="U283" s="182">
        <v>0</v>
      </c>
      <c r="V283" s="182">
        <v>0</v>
      </c>
      <c r="W283" s="182">
        <v>3</v>
      </c>
      <c r="X283" s="183">
        <v>0</v>
      </c>
      <c r="Y283" s="181">
        <v>925</v>
      </c>
      <c r="Z283" s="183">
        <v>271</v>
      </c>
      <c r="AA283" s="181">
        <v>1017</v>
      </c>
      <c r="AB283" s="183">
        <v>210</v>
      </c>
      <c r="AC283" s="181">
        <v>948</v>
      </c>
      <c r="AD283" s="183">
        <v>213</v>
      </c>
      <c r="AE283" s="181">
        <v>32</v>
      </c>
      <c r="AF283" s="182">
        <v>16</v>
      </c>
      <c r="AG283" s="183">
        <v>115</v>
      </c>
      <c r="AH283" s="133">
        <v>9.9459459459459457E-2</v>
      </c>
      <c r="AI283" s="19">
        <v>2.4864864864864864E-2</v>
      </c>
      <c r="AJ283" s="19">
        <v>-6.7846607669616518E-2</v>
      </c>
      <c r="AK283" s="19">
        <v>-0.22509225092250923</v>
      </c>
      <c r="AL283" s="19">
        <v>-0.2140221402214022</v>
      </c>
      <c r="AM283" s="19">
        <v>1.4285714285714285E-2</v>
      </c>
      <c r="AN283" s="20">
        <v>4.4299065420560746</v>
      </c>
      <c r="AO283" s="19">
        <v>0.99532710280373837</v>
      </c>
      <c r="AP283" s="19">
        <v>7.476635514018691E-2</v>
      </c>
      <c r="AQ283" s="19">
        <v>0.53738317757009346</v>
      </c>
      <c r="AR283" s="19">
        <v>8.15450643776824E-2</v>
      </c>
      <c r="AS283" s="133">
        <v>3.7383177570093455E-2</v>
      </c>
      <c r="AT283" s="21">
        <v>2.336448598130841E-2</v>
      </c>
      <c r="AU283" s="16">
        <v>499</v>
      </c>
      <c r="AV283" s="16">
        <v>536</v>
      </c>
      <c r="AW283" s="17">
        <v>520</v>
      </c>
      <c r="AX283" s="133">
        <v>7.4148296593186377E-2</v>
      </c>
      <c r="AY283" s="19">
        <v>4.2084168336673347E-2</v>
      </c>
      <c r="AZ283" s="21">
        <v>-2.9850746268656716E-2</v>
      </c>
      <c r="BA283" s="15">
        <v>9</v>
      </c>
      <c r="BB283" s="17">
        <v>9</v>
      </c>
      <c r="BC283" s="15">
        <v>2</v>
      </c>
      <c r="BD283" s="17">
        <v>2</v>
      </c>
      <c r="BE283" s="15">
        <v>646</v>
      </c>
      <c r="BF283" s="16">
        <v>948</v>
      </c>
      <c r="BG283" s="19">
        <v>0.68143459915611815</v>
      </c>
      <c r="BH283" s="16">
        <v>362</v>
      </c>
      <c r="BI283" s="16">
        <v>520</v>
      </c>
      <c r="BJ283" s="21">
        <v>0.69615384615384612</v>
      </c>
    </row>
    <row r="284" spans="1:62" x14ac:dyDescent="0.25">
      <c r="A284" s="29"/>
      <c r="B284" s="30"/>
      <c r="C284" s="30"/>
      <c r="D284" s="30"/>
      <c r="E284" s="31" t="s">
        <v>68</v>
      </c>
      <c r="F284" s="188">
        <v>242</v>
      </c>
      <c r="G284" s="189">
        <v>214</v>
      </c>
      <c r="H284" s="190">
        <v>0</v>
      </c>
      <c r="I284" s="190">
        <v>211</v>
      </c>
      <c r="J284" s="191">
        <v>3</v>
      </c>
      <c r="K284" s="189">
        <v>0</v>
      </c>
      <c r="L284" s="190">
        <v>3</v>
      </c>
      <c r="M284" s="190">
        <v>5</v>
      </c>
      <c r="N284" s="190">
        <v>0</v>
      </c>
      <c r="O284" s="190">
        <v>0</v>
      </c>
      <c r="P284" s="190">
        <v>0</v>
      </c>
      <c r="Q284" s="190">
        <v>1</v>
      </c>
      <c r="R284" s="191">
        <v>19</v>
      </c>
      <c r="S284" s="188">
        <v>8</v>
      </c>
      <c r="T284" s="189">
        <v>3</v>
      </c>
      <c r="U284" s="190">
        <v>0</v>
      </c>
      <c r="V284" s="190">
        <v>0</v>
      </c>
      <c r="W284" s="190">
        <v>3</v>
      </c>
      <c r="X284" s="191">
        <v>0</v>
      </c>
      <c r="Y284" s="189">
        <v>925</v>
      </c>
      <c r="Z284" s="191">
        <v>271</v>
      </c>
      <c r="AA284" s="189">
        <v>1017</v>
      </c>
      <c r="AB284" s="191">
        <v>210</v>
      </c>
      <c r="AC284" s="189">
        <v>948</v>
      </c>
      <c r="AD284" s="191">
        <v>213</v>
      </c>
      <c r="AE284" s="189">
        <v>32</v>
      </c>
      <c r="AF284" s="190">
        <v>16</v>
      </c>
      <c r="AG284" s="191">
        <v>115</v>
      </c>
      <c r="AH284" s="136">
        <v>9.9459459459459457E-2</v>
      </c>
      <c r="AI284" s="33">
        <v>2.4864864864864864E-2</v>
      </c>
      <c r="AJ284" s="33">
        <v>-6.7846607669616518E-2</v>
      </c>
      <c r="AK284" s="33">
        <v>-0.22509225092250923</v>
      </c>
      <c r="AL284" s="33">
        <v>-0.2140221402214022</v>
      </c>
      <c r="AM284" s="33">
        <v>1.4285714285714285E-2</v>
      </c>
      <c r="AN284" s="34">
        <v>4.4299065420560746</v>
      </c>
      <c r="AO284" s="33">
        <v>0.99532710280373837</v>
      </c>
      <c r="AP284" s="33">
        <v>7.476635514018691E-2</v>
      </c>
      <c r="AQ284" s="33">
        <v>0.53738317757009346</v>
      </c>
      <c r="AR284" s="33">
        <v>8.15450643776824E-2</v>
      </c>
      <c r="AS284" s="136">
        <v>3.7383177570093455E-2</v>
      </c>
      <c r="AT284" s="35">
        <v>2.336448598130841E-2</v>
      </c>
      <c r="AU284" s="30">
        <v>499</v>
      </c>
      <c r="AV284" s="30">
        <v>536</v>
      </c>
      <c r="AW284" s="31">
        <v>520</v>
      </c>
      <c r="AX284" s="136">
        <v>7.4148296593186377E-2</v>
      </c>
      <c r="AY284" s="33">
        <v>4.2084168336673347E-2</v>
      </c>
      <c r="AZ284" s="35">
        <v>-2.9850746268656716E-2</v>
      </c>
      <c r="BA284" s="29">
        <v>9</v>
      </c>
      <c r="BB284" s="31">
        <v>9</v>
      </c>
      <c r="BC284" s="29">
        <v>2</v>
      </c>
      <c r="BD284" s="31">
        <v>2</v>
      </c>
      <c r="BE284" s="29">
        <v>646</v>
      </c>
      <c r="BF284" s="30">
        <v>948</v>
      </c>
      <c r="BG284" s="33">
        <v>0.68143459915611815</v>
      </c>
      <c r="BH284" s="30">
        <v>362</v>
      </c>
      <c r="BI284" s="30">
        <v>520</v>
      </c>
      <c r="BJ284" s="35">
        <v>0.69615384615384612</v>
      </c>
    </row>
    <row r="285" spans="1:62" x14ac:dyDescent="0.25">
      <c r="A285" s="15"/>
      <c r="B285" s="16"/>
      <c r="C285" s="16" t="s">
        <v>75</v>
      </c>
      <c r="D285" s="16"/>
      <c r="E285" s="17"/>
      <c r="F285" s="180">
        <v>1334</v>
      </c>
      <c r="G285" s="181">
        <v>844</v>
      </c>
      <c r="H285" s="182">
        <v>0</v>
      </c>
      <c r="I285" s="182">
        <v>778</v>
      </c>
      <c r="J285" s="183">
        <v>66</v>
      </c>
      <c r="K285" s="181">
        <v>0</v>
      </c>
      <c r="L285" s="182">
        <v>8</v>
      </c>
      <c r="M285" s="182">
        <v>212</v>
      </c>
      <c r="N285" s="182">
        <v>3</v>
      </c>
      <c r="O285" s="182">
        <v>3</v>
      </c>
      <c r="P285" s="182">
        <v>0</v>
      </c>
      <c r="Q285" s="182">
        <v>21</v>
      </c>
      <c r="R285" s="183">
        <v>242</v>
      </c>
      <c r="S285" s="180">
        <v>229</v>
      </c>
      <c r="T285" s="181">
        <v>181</v>
      </c>
      <c r="U285" s="182">
        <v>5</v>
      </c>
      <c r="V285" s="182">
        <v>13</v>
      </c>
      <c r="W285" s="182">
        <v>161</v>
      </c>
      <c r="X285" s="183">
        <v>2</v>
      </c>
      <c r="Y285" s="181">
        <v>7383</v>
      </c>
      <c r="Z285" s="183">
        <v>1285</v>
      </c>
      <c r="AA285" s="181">
        <v>8752</v>
      </c>
      <c r="AB285" s="183">
        <v>968</v>
      </c>
      <c r="AC285" s="181">
        <v>8710</v>
      </c>
      <c r="AD285" s="183">
        <v>1045</v>
      </c>
      <c r="AE285" s="181">
        <v>280</v>
      </c>
      <c r="AF285" s="182">
        <v>148</v>
      </c>
      <c r="AG285" s="183">
        <v>902</v>
      </c>
      <c r="AH285" s="133">
        <v>0.18542597859948531</v>
      </c>
      <c r="AI285" s="19">
        <v>0.179737234186645</v>
      </c>
      <c r="AJ285" s="19">
        <v>-4.7989031078610606E-3</v>
      </c>
      <c r="AK285" s="19">
        <v>-0.24669260700389106</v>
      </c>
      <c r="AL285" s="19">
        <v>-0.1867704280155642</v>
      </c>
      <c r="AM285" s="19">
        <v>7.9545454545454544E-2</v>
      </c>
      <c r="AN285" s="20">
        <v>10.319905213270141</v>
      </c>
      <c r="AO285" s="19">
        <v>1.2381516587677726</v>
      </c>
      <c r="AP285" s="19">
        <v>0.17535545023696683</v>
      </c>
      <c r="AQ285" s="19">
        <v>1.0687203791469195</v>
      </c>
      <c r="AR285" s="19">
        <v>0.22283609576427257</v>
      </c>
      <c r="AS285" s="133">
        <v>0.27132701421800948</v>
      </c>
      <c r="AT285" s="21">
        <v>5.6872037914691941E-2</v>
      </c>
      <c r="AU285" s="16">
        <v>1693</v>
      </c>
      <c r="AV285" s="16">
        <v>1820</v>
      </c>
      <c r="AW285" s="17">
        <v>1767</v>
      </c>
      <c r="AX285" s="133">
        <v>7.501476668635558E-2</v>
      </c>
      <c r="AY285" s="19">
        <v>4.3709391612522151E-2</v>
      </c>
      <c r="AZ285" s="21">
        <v>-2.9120879120879122E-2</v>
      </c>
      <c r="BA285" s="15">
        <v>11</v>
      </c>
      <c r="BB285" s="17">
        <v>10</v>
      </c>
      <c r="BC285" s="15">
        <v>1</v>
      </c>
      <c r="BD285" s="17">
        <v>1</v>
      </c>
      <c r="BE285" s="15">
        <v>6732</v>
      </c>
      <c r="BF285" s="16">
        <v>8710</v>
      </c>
      <c r="BG285" s="19">
        <v>0.77290470723306548</v>
      </c>
      <c r="BH285" s="16">
        <v>1378</v>
      </c>
      <c r="BI285" s="16">
        <v>1767</v>
      </c>
      <c r="BJ285" s="21">
        <v>0.77985285795132997</v>
      </c>
    </row>
    <row r="286" spans="1:62" x14ac:dyDescent="0.25">
      <c r="A286" s="29"/>
      <c r="B286" s="30"/>
      <c r="C286" s="30"/>
      <c r="D286" s="30"/>
      <c r="E286" s="31" t="s">
        <v>68</v>
      </c>
      <c r="F286" s="188">
        <v>1330</v>
      </c>
      <c r="G286" s="189">
        <v>840</v>
      </c>
      <c r="H286" s="190">
        <v>0</v>
      </c>
      <c r="I286" s="190">
        <v>774</v>
      </c>
      <c r="J286" s="191">
        <v>66</v>
      </c>
      <c r="K286" s="189">
        <v>0</v>
      </c>
      <c r="L286" s="190">
        <v>8</v>
      </c>
      <c r="M286" s="190">
        <v>212</v>
      </c>
      <c r="N286" s="190">
        <v>3</v>
      </c>
      <c r="O286" s="190">
        <v>3</v>
      </c>
      <c r="P286" s="190">
        <v>0</v>
      </c>
      <c r="Q286" s="190">
        <v>21</v>
      </c>
      <c r="R286" s="191">
        <v>242</v>
      </c>
      <c r="S286" s="188">
        <v>225</v>
      </c>
      <c r="T286" s="189">
        <v>181</v>
      </c>
      <c r="U286" s="190">
        <v>5</v>
      </c>
      <c r="V286" s="190">
        <v>13</v>
      </c>
      <c r="W286" s="190">
        <v>161</v>
      </c>
      <c r="X286" s="191">
        <v>2</v>
      </c>
      <c r="Y286" s="189">
        <v>7383</v>
      </c>
      <c r="Z286" s="191">
        <v>1285</v>
      </c>
      <c r="AA286" s="189">
        <v>8752</v>
      </c>
      <c r="AB286" s="191">
        <v>968</v>
      </c>
      <c r="AC286" s="189">
        <v>8691</v>
      </c>
      <c r="AD286" s="191">
        <v>1041</v>
      </c>
      <c r="AE286" s="189">
        <v>280</v>
      </c>
      <c r="AF286" s="190">
        <v>148</v>
      </c>
      <c r="AG286" s="191">
        <v>899</v>
      </c>
      <c r="AH286" s="136">
        <v>0.18542597859948531</v>
      </c>
      <c r="AI286" s="33">
        <v>0.17716375457131248</v>
      </c>
      <c r="AJ286" s="33">
        <v>-6.9698354661791593E-3</v>
      </c>
      <c r="AK286" s="33">
        <v>-0.24669260700389106</v>
      </c>
      <c r="AL286" s="33">
        <v>-0.18988326848249026</v>
      </c>
      <c r="AM286" s="33">
        <v>7.5413223140495866E-2</v>
      </c>
      <c r="AN286" s="34">
        <v>10.346428571428572</v>
      </c>
      <c r="AO286" s="33">
        <v>1.2392857142857143</v>
      </c>
      <c r="AP286" s="33">
        <v>0.1761904761904762</v>
      </c>
      <c r="AQ286" s="33">
        <v>1.0702380952380952</v>
      </c>
      <c r="AR286" s="33">
        <v>0.22365988909426987</v>
      </c>
      <c r="AS286" s="136">
        <v>0.26785714285714285</v>
      </c>
      <c r="AT286" s="35">
        <v>5.2380952380952382E-2</v>
      </c>
      <c r="AU286" s="30">
        <v>1693</v>
      </c>
      <c r="AV286" s="30">
        <v>1820</v>
      </c>
      <c r="AW286" s="31">
        <v>1757</v>
      </c>
      <c r="AX286" s="136">
        <v>7.501476668635558E-2</v>
      </c>
      <c r="AY286" s="33">
        <v>3.7802717070289427E-2</v>
      </c>
      <c r="AZ286" s="35">
        <v>-3.4615384615384617E-2</v>
      </c>
      <c r="BA286" s="29">
        <v>11</v>
      </c>
      <c r="BB286" s="31">
        <v>10</v>
      </c>
      <c r="BC286" s="29">
        <v>1</v>
      </c>
      <c r="BD286" s="31">
        <v>1</v>
      </c>
      <c r="BE286" s="29">
        <v>6718</v>
      </c>
      <c r="BF286" s="30">
        <v>8691</v>
      </c>
      <c r="BG286" s="33">
        <v>0.77298354619721554</v>
      </c>
      <c r="BH286" s="30">
        <v>1370</v>
      </c>
      <c r="BI286" s="30">
        <v>1757</v>
      </c>
      <c r="BJ286" s="35">
        <v>0.77973819009675582</v>
      </c>
    </row>
    <row r="287" spans="1:62" x14ac:dyDescent="0.25">
      <c r="A287" s="15"/>
      <c r="B287" s="16"/>
      <c r="C287" s="16" t="s">
        <v>76</v>
      </c>
      <c r="D287" s="16"/>
      <c r="E287" s="17"/>
      <c r="F287" s="180">
        <v>680</v>
      </c>
      <c r="G287" s="181">
        <v>512</v>
      </c>
      <c r="H287" s="182">
        <v>0</v>
      </c>
      <c r="I287" s="182">
        <v>232</v>
      </c>
      <c r="J287" s="183">
        <v>280</v>
      </c>
      <c r="K287" s="181">
        <v>0</v>
      </c>
      <c r="L287" s="182">
        <v>10</v>
      </c>
      <c r="M287" s="182">
        <v>73</v>
      </c>
      <c r="N287" s="182">
        <v>4</v>
      </c>
      <c r="O287" s="182">
        <v>0</v>
      </c>
      <c r="P287" s="182">
        <v>0</v>
      </c>
      <c r="Q287" s="182">
        <v>5</v>
      </c>
      <c r="R287" s="183">
        <v>76</v>
      </c>
      <c r="S287" s="180">
        <v>95</v>
      </c>
      <c r="T287" s="181">
        <v>48</v>
      </c>
      <c r="U287" s="182">
        <v>0</v>
      </c>
      <c r="V287" s="182">
        <v>4</v>
      </c>
      <c r="W287" s="182">
        <v>43</v>
      </c>
      <c r="X287" s="183">
        <v>1</v>
      </c>
      <c r="Y287" s="181">
        <v>2149</v>
      </c>
      <c r="Z287" s="183">
        <v>429</v>
      </c>
      <c r="AA287" s="181">
        <v>2204</v>
      </c>
      <c r="AB287" s="183">
        <v>306</v>
      </c>
      <c r="AC287" s="181">
        <v>2203</v>
      </c>
      <c r="AD287" s="183">
        <v>420</v>
      </c>
      <c r="AE287" s="181">
        <v>242</v>
      </c>
      <c r="AF287" s="182">
        <v>157</v>
      </c>
      <c r="AG287" s="183">
        <v>328</v>
      </c>
      <c r="AH287" s="133">
        <v>2.5593299208934387E-2</v>
      </c>
      <c r="AI287" s="19">
        <v>2.5127966496044672E-2</v>
      </c>
      <c r="AJ287" s="19">
        <v>-4.5372050816696913E-4</v>
      </c>
      <c r="AK287" s="19">
        <v>-0.28671328671328672</v>
      </c>
      <c r="AL287" s="19">
        <v>-2.097902097902098E-2</v>
      </c>
      <c r="AM287" s="19">
        <v>0.37254901960784315</v>
      </c>
      <c r="AN287" s="20">
        <v>4.302734375</v>
      </c>
      <c r="AO287" s="19">
        <v>0.8203125</v>
      </c>
      <c r="AP287" s="19">
        <v>0.306640625</v>
      </c>
      <c r="AQ287" s="19">
        <v>0.640625</v>
      </c>
      <c r="AR287" s="19">
        <v>0.12925170068027211</v>
      </c>
      <c r="AS287" s="133">
        <v>0.185546875</v>
      </c>
      <c r="AT287" s="21">
        <v>9.1796875E-2</v>
      </c>
      <c r="AU287" s="16">
        <v>1022</v>
      </c>
      <c r="AV287" s="16">
        <v>1035</v>
      </c>
      <c r="AW287" s="17">
        <v>1034</v>
      </c>
      <c r="AX287" s="133">
        <v>1.2720156555772993E-2</v>
      </c>
      <c r="AY287" s="19">
        <v>1.1741682974559686E-2</v>
      </c>
      <c r="AZ287" s="21">
        <v>-9.6618357487922703E-4</v>
      </c>
      <c r="BA287" s="15">
        <v>10</v>
      </c>
      <c r="BB287" s="17">
        <v>10</v>
      </c>
      <c r="BC287" s="15">
        <v>1</v>
      </c>
      <c r="BD287" s="17">
        <v>1</v>
      </c>
      <c r="BE287" s="15">
        <v>1723</v>
      </c>
      <c r="BF287" s="16">
        <v>2203</v>
      </c>
      <c r="BG287" s="19">
        <v>0.78211529732183382</v>
      </c>
      <c r="BH287" s="16">
        <v>801</v>
      </c>
      <c r="BI287" s="16">
        <v>1034</v>
      </c>
      <c r="BJ287" s="21">
        <v>0.77466150870406192</v>
      </c>
    </row>
    <row r="288" spans="1:62" x14ac:dyDescent="0.25">
      <c r="A288" s="29"/>
      <c r="B288" s="30"/>
      <c r="C288" s="30"/>
      <c r="D288" s="30"/>
      <c r="E288" s="31" t="s">
        <v>68</v>
      </c>
      <c r="F288" s="188">
        <v>680</v>
      </c>
      <c r="G288" s="189">
        <v>512</v>
      </c>
      <c r="H288" s="190">
        <v>0</v>
      </c>
      <c r="I288" s="190">
        <v>232</v>
      </c>
      <c r="J288" s="191">
        <v>280</v>
      </c>
      <c r="K288" s="189">
        <v>0</v>
      </c>
      <c r="L288" s="190">
        <v>10</v>
      </c>
      <c r="M288" s="190">
        <v>73</v>
      </c>
      <c r="N288" s="190">
        <v>4</v>
      </c>
      <c r="O288" s="190">
        <v>0</v>
      </c>
      <c r="P288" s="190">
        <v>0</v>
      </c>
      <c r="Q288" s="190">
        <v>5</v>
      </c>
      <c r="R288" s="191">
        <v>76</v>
      </c>
      <c r="S288" s="188">
        <v>95</v>
      </c>
      <c r="T288" s="189">
        <v>48</v>
      </c>
      <c r="U288" s="190">
        <v>0</v>
      </c>
      <c r="V288" s="190">
        <v>4</v>
      </c>
      <c r="W288" s="190">
        <v>43</v>
      </c>
      <c r="X288" s="191">
        <v>1</v>
      </c>
      <c r="Y288" s="189">
        <v>2149</v>
      </c>
      <c r="Z288" s="191">
        <v>429</v>
      </c>
      <c r="AA288" s="189">
        <v>2204</v>
      </c>
      <c r="AB288" s="191">
        <v>306</v>
      </c>
      <c r="AC288" s="189">
        <v>2203</v>
      </c>
      <c r="AD288" s="191">
        <v>420</v>
      </c>
      <c r="AE288" s="189">
        <v>242</v>
      </c>
      <c r="AF288" s="190">
        <v>157</v>
      </c>
      <c r="AG288" s="191">
        <v>328</v>
      </c>
      <c r="AH288" s="136">
        <v>2.5593299208934387E-2</v>
      </c>
      <c r="AI288" s="33">
        <v>2.5127966496044672E-2</v>
      </c>
      <c r="AJ288" s="33">
        <v>-4.5372050816696913E-4</v>
      </c>
      <c r="AK288" s="33">
        <v>-0.28671328671328672</v>
      </c>
      <c r="AL288" s="33">
        <v>-2.097902097902098E-2</v>
      </c>
      <c r="AM288" s="33">
        <v>0.37254901960784315</v>
      </c>
      <c r="AN288" s="34">
        <v>4.302734375</v>
      </c>
      <c r="AO288" s="33">
        <v>0.8203125</v>
      </c>
      <c r="AP288" s="33">
        <v>0.306640625</v>
      </c>
      <c r="AQ288" s="33">
        <v>0.640625</v>
      </c>
      <c r="AR288" s="33">
        <v>0.12925170068027211</v>
      </c>
      <c r="AS288" s="136">
        <v>0.185546875</v>
      </c>
      <c r="AT288" s="35">
        <v>9.1796875E-2</v>
      </c>
      <c r="AU288" s="30">
        <v>1022</v>
      </c>
      <c r="AV288" s="30">
        <v>1035</v>
      </c>
      <c r="AW288" s="31">
        <v>1034</v>
      </c>
      <c r="AX288" s="136">
        <v>1.2720156555772993E-2</v>
      </c>
      <c r="AY288" s="33">
        <v>1.1741682974559686E-2</v>
      </c>
      <c r="AZ288" s="35">
        <v>-9.6618357487922703E-4</v>
      </c>
      <c r="BA288" s="29">
        <v>10</v>
      </c>
      <c r="BB288" s="31">
        <v>10</v>
      </c>
      <c r="BC288" s="29">
        <v>1</v>
      </c>
      <c r="BD288" s="31">
        <v>1</v>
      </c>
      <c r="BE288" s="29">
        <v>1723</v>
      </c>
      <c r="BF288" s="30">
        <v>2203</v>
      </c>
      <c r="BG288" s="33">
        <v>0.78211529732183382</v>
      </c>
      <c r="BH288" s="30">
        <v>801</v>
      </c>
      <c r="BI288" s="30">
        <v>1034</v>
      </c>
      <c r="BJ288" s="35">
        <v>0.77466150870406192</v>
      </c>
    </row>
    <row r="289" spans="1:62" x14ac:dyDescent="0.25">
      <c r="A289" s="15"/>
      <c r="B289" s="16"/>
      <c r="C289" s="16" t="s">
        <v>77</v>
      </c>
      <c r="D289" s="16"/>
      <c r="E289" s="17"/>
      <c r="F289" s="180">
        <v>242</v>
      </c>
      <c r="G289" s="181">
        <v>188</v>
      </c>
      <c r="H289" s="182">
        <v>0</v>
      </c>
      <c r="I289" s="182">
        <v>176</v>
      </c>
      <c r="J289" s="183">
        <v>12</v>
      </c>
      <c r="K289" s="181">
        <v>0</v>
      </c>
      <c r="L289" s="182">
        <v>3</v>
      </c>
      <c r="M289" s="182">
        <v>29</v>
      </c>
      <c r="N289" s="182">
        <v>0</v>
      </c>
      <c r="O289" s="182">
        <v>2</v>
      </c>
      <c r="P289" s="182">
        <v>0</v>
      </c>
      <c r="Q289" s="182">
        <v>3</v>
      </c>
      <c r="R289" s="183">
        <v>17</v>
      </c>
      <c r="S289" s="180">
        <v>26</v>
      </c>
      <c r="T289" s="181">
        <v>17</v>
      </c>
      <c r="U289" s="182">
        <v>0</v>
      </c>
      <c r="V289" s="182">
        <v>2</v>
      </c>
      <c r="W289" s="182">
        <v>15</v>
      </c>
      <c r="X289" s="183">
        <v>0</v>
      </c>
      <c r="Y289" s="181">
        <v>522</v>
      </c>
      <c r="Z289" s="183">
        <v>219</v>
      </c>
      <c r="AA289" s="181">
        <v>484</v>
      </c>
      <c r="AB289" s="183">
        <v>141</v>
      </c>
      <c r="AC289" s="181">
        <v>446</v>
      </c>
      <c r="AD289" s="183">
        <v>147</v>
      </c>
      <c r="AE289" s="181">
        <v>86</v>
      </c>
      <c r="AF289" s="182">
        <v>31</v>
      </c>
      <c r="AG289" s="183">
        <v>51</v>
      </c>
      <c r="AH289" s="133">
        <v>-7.2796934865900387E-2</v>
      </c>
      <c r="AI289" s="19">
        <v>-0.14559386973180077</v>
      </c>
      <c r="AJ289" s="19">
        <v>-7.8512396694214878E-2</v>
      </c>
      <c r="AK289" s="19">
        <v>-0.35616438356164382</v>
      </c>
      <c r="AL289" s="19">
        <v>-0.32876712328767121</v>
      </c>
      <c r="AM289" s="19">
        <v>4.2553191489361701E-2</v>
      </c>
      <c r="AN289" s="20">
        <v>2.3723404255319149</v>
      </c>
      <c r="AO289" s="19">
        <v>0.78191489361702127</v>
      </c>
      <c r="AP289" s="19">
        <v>0.16489361702127658</v>
      </c>
      <c r="AQ289" s="19">
        <v>0.27127659574468083</v>
      </c>
      <c r="AR289" s="19">
        <v>8.2926829268292687E-2</v>
      </c>
      <c r="AS289" s="133">
        <v>0.13829787234042554</v>
      </c>
      <c r="AT289" s="21">
        <v>4.7872340425531915E-2</v>
      </c>
      <c r="AU289" s="16">
        <v>307</v>
      </c>
      <c r="AV289" s="16">
        <v>252</v>
      </c>
      <c r="AW289" s="17">
        <v>217</v>
      </c>
      <c r="AX289" s="133">
        <v>-0.17915309446254071</v>
      </c>
      <c r="AY289" s="19">
        <v>-0.29315960912052119</v>
      </c>
      <c r="AZ289" s="21">
        <v>-0.1388888888888889</v>
      </c>
      <c r="BA289" s="15">
        <v>12</v>
      </c>
      <c r="BB289" s="17">
        <v>11</v>
      </c>
      <c r="BC289" s="15">
        <v>3</v>
      </c>
      <c r="BD289" s="17">
        <v>2</v>
      </c>
      <c r="BE289" s="15">
        <v>365</v>
      </c>
      <c r="BF289" s="16">
        <v>446</v>
      </c>
      <c r="BG289" s="19">
        <v>0.81838565022421528</v>
      </c>
      <c r="BH289" s="16">
        <v>169</v>
      </c>
      <c r="BI289" s="16">
        <v>217</v>
      </c>
      <c r="BJ289" s="21">
        <v>0.77880184331797231</v>
      </c>
    </row>
    <row r="290" spans="1:62" x14ac:dyDescent="0.25">
      <c r="A290" s="29"/>
      <c r="B290" s="30"/>
      <c r="C290" s="30"/>
      <c r="D290" s="30"/>
      <c r="E290" s="31" t="s">
        <v>68</v>
      </c>
      <c r="F290" s="188">
        <v>242</v>
      </c>
      <c r="G290" s="189">
        <v>188</v>
      </c>
      <c r="H290" s="190">
        <v>0</v>
      </c>
      <c r="I290" s="190">
        <v>176</v>
      </c>
      <c r="J290" s="191">
        <v>12</v>
      </c>
      <c r="K290" s="189">
        <v>0</v>
      </c>
      <c r="L290" s="190">
        <v>3</v>
      </c>
      <c r="M290" s="190">
        <v>29</v>
      </c>
      <c r="N290" s="190">
        <v>0</v>
      </c>
      <c r="O290" s="190">
        <v>2</v>
      </c>
      <c r="P290" s="190">
        <v>0</v>
      </c>
      <c r="Q290" s="190">
        <v>3</v>
      </c>
      <c r="R290" s="191">
        <v>17</v>
      </c>
      <c r="S290" s="188">
        <v>26</v>
      </c>
      <c r="T290" s="189">
        <v>17</v>
      </c>
      <c r="U290" s="190">
        <v>0</v>
      </c>
      <c r="V290" s="190">
        <v>2</v>
      </c>
      <c r="W290" s="190">
        <v>15</v>
      </c>
      <c r="X290" s="191">
        <v>0</v>
      </c>
      <c r="Y290" s="189">
        <v>522</v>
      </c>
      <c r="Z290" s="191">
        <v>219</v>
      </c>
      <c r="AA290" s="189">
        <v>484</v>
      </c>
      <c r="AB290" s="191">
        <v>141</v>
      </c>
      <c r="AC290" s="189">
        <v>446</v>
      </c>
      <c r="AD290" s="191">
        <v>147</v>
      </c>
      <c r="AE290" s="189">
        <v>86</v>
      </c>
      <c r="AF290" s="190">
        <v>31</v>
      </c>
      <c r="AG290" s="191">
        <v>51</v>
      </c>
      <c r="AH290" s="136">
        <v>-7.2796934865900387E-2</v>
      </c>
      <c r="AI290" s="33">
        <v>-0.14559386973180077</v>
      </c>
      <c r="AJ290" s="33">
        <v>-7.8512396694214878E-2</v>
      </c>
      <c r="AK290" s="33">
        <v>-0.35616438356164382</v>
      </c>
      <c r="AL290" s="33">
        <v>-0.32876712328767121</v>
      </c>
      <c r="AM290" s="33">
        <v>4.2553191489361701E-2</v>
      </c>
      <c r="AN290" s="34">
        <v>2.3723404255319149</v>
      </c>
      <c r="AO290" s="33">
        <v>0.78191489361702127</v>
      </c>
      <c r="AP290" s="33">
        <v>0.16489361702127658</v>
      </c>
      <c r="AQ290" s="33">
        <v>0.27127659574468083</v>
      </c>
      <c r="AR290" s="33">
        <v>8.2926829268292687E-2</v>
      </c>
      <c r="AS290" s="136">
        <v>0.13829787234042554</v>
      </c>
      <c r="AT290" s="35">
        <v>4.7872340425531915E-2</v>
      </c>
      <c r="AU290" s="30">
        <v>307</v>
      </c>
      <c r="AV290" s="30">
        <v>252</v>
      </c>
      <c r="AW290" s="31">
        <v>217</v>
      </c>
      <c r="AX290" s="136">
        <v>-0.17915309446254071</v>
      </c>
      <c r="AY290" s="33">
        <v>-0.29315960912052119</v>
      </c>
      <c r="AZ290" s="35">
        <v>-0.1388888888888889</v>
      </c>
      <c r="BA290" s="29">
        <v>12</v>
      </c>
      <c r="BB290" s="31">
        <v>11</v>
      </c>
      <c r="BC290" s="29">
        <v>3</v>
      </c>
      <c r="BD290" s="31">
        <v>2</v>
      </c>
      <c r="BE290" s="29">
        <v>365</v>
      </c>
      <c r="BF290" s="30">
        <v>446</v>
      </c>
      <c r="BG290" s="33">
        <v>0.81838565022421528</v>
      </c>
      <c r="BH290" s="30">
        <v>169</v>
      </c>
      <c r="BI290" s="30">
        <v>217</v>
      </c>
      <c r="BJ290" s="35">
        <v>0.77880184331797231</v>
      </c>
    </row>
    <row r="291" spans="1:62" x14ac:dyDescent="0.25">
      <c r="A291" s="8"/>
      <c r="B291" s="9" t="s">
        <v>78</v>
      </c>
      <c r="C291" s="9"/>
      <c r="D291" s="9"/>
      <c r="E291" s="10"/>
      <c r="F291" s="176">
        <v>13698</v>
      </c>
      <c r="G291" s="177">
        <v>11190</v>
      </c>
      <c r="H291" s="178">
        <v>0</v>
      </c>
      <c r="I291" s="178">
        <v>6488</v>
      </c>
      <c r="J291" s="179">
        <v>4702</v>
      </c>
      <c r="K291" s="177">
        <v>0</v>
      </c>
      <c r="L291" s="178">
        <v>121</v>
      </c>
      <c r="M291" s="178">
        <v>666</v>
      </c>
      <c r="N291" s="178">
        <v>186</v>
      </c>
      <c r="O291" s="178">
        <v>16</v>
      </c>
      <c r="P291" s="178">
        <v>0</v>
      </c>
      <c r="Q291" s="178">
        <v>53</v>
      </c>
      <c r="R291" s="179">
        <v>1429</v>
      </c>
      <c r="S291" s="176">
        <v>1273</v>
      </c>
      <c r="T291" s="177">
        <v>766</v>
      </c>
      <c r="U291" s="178">
        <v>18</v>
      </c>
      <c r="V291" s="178">
        <v>39</v>
      </c>
      <c r="W291" s="178">
        <v>464</v>
      </c>
      <c r="X291" s="179">
        <v>245</v>
      </c>
      <c r="Y291" s="177">
        <v>57929</v>
      </c>
      <c r="Z291" s="179">
        <v>9001</v>
      </c>
      <c r="AA291" s="177">
        <v>59627</v>
      </c>
      <c r="AB291" s="179">
        <v>9268</v>
      </c>
      <c r="AC291" s="177">
        <v>61629</v>
      </c>
      <c r="AD291" s="179">
        <v>9478</v>
      </c>
      <c r="AE291" s="177">
        <v>4187</v>
      </c>
      <c r="AF291" s="178">
        <v>2201</v>
      </c>
      <c r="AG291" s="179">
        <v>7699</v>
      </c>
      <c r="AH291" s="131">
        <v>2.93117436862366E-2</v>
      </c>
      <c r="AI291" s="12">
        <v>6.3871290717947837E-2</v>
      </c>
      <c r="AJ291" s="12">
        <v>3.3575393697486036E-2</v>
      </c>
      <c r="AK291" s="12">
        <v>2.9663370736584822E-2</v>
      </c>
      <c r="AL291" s="12">
        <v>5.2994111765359404E-2</v>
      </c>
      <c r="AM291" s="12">
        <v>2.2658610271903322E-2</v>
      </c>
      <c r="AN291" s="13">
        <v>5.5075067024128685</v>
      </c>
      <c r="AO291" s="12">
        <v>0.84700625558534404</v>
      </c>
      <c r="AP291" s="12">
        <v>0.19669347631814119</v>
      </c>
      <c r="AQ291" s="12">
        <v>0.68802502234137619</v>
      </c>
      <c r="AR291" s="12">
        <v>0.11324193676202551</v>
      </c>
      <c r="AS291" s="131">
        <v>0.11376228775692583</v>
      </c>
      <c r="AT291" s="14">
        <v>4.5308310991957104E-2</v>
      </c>
      <c r="AU291" s="9">
        <v>4519</v>
      </c>
      <c r="AV291" s="9">
        <v>4698</v>
      </c>
      <c r="AW291" s="10">
        <v>4824</v>
      </c>
      <c r="AX291" s="131">
        <v>3.9610533303828278E-2</v>
      </c>
      <c r="AY291" s="12">
        <v>6.7492808143394561E-2</v>
      </c>
      <c r="AZ291" s="14">
        <v>2.681992337164751E-2</v>
      </c>
      <c r="BA291" s="8">
        <v>12</v>
      </c>
      <c r="BB291" s="10">
        <v>12</v>
      </c>
      <c r="BC291" s="8">
        <v>3</v>
      </c>
      <c r="BD291" s="10">
        <v>2</v>
      </c>
      <c r="BE291" s="8">
        <v>44721</v>
      </c>
      <c r="BF291" s="9">
        <v>61629</v>
      </c>
      <c r="BG291" s="12">
        <v>0.72564863943922508</v>
      </c>
      <c r="BH291" s="9">
        <v>3662</v>
      </c>
      <c r="BI291" s="9">
        <v>4824</v>
      </c>
      <c r="BJ291" s="14">
        <v>0.75912106135986734</v>
      </c>
    </row>
    <row r="292" spans="1:62" x14ac:dyDescent="0.25">
      <c r="A292" s="15"/>
      <c r="B292" s="16"/>
      <c r="C292" s="16" t="s">
        <v>79</v>
      </c>
      <c r="D292" s="16"/>
      <c r="E292" s="17"/>
      <c r="F292" s="180">
        <v>7636</v>
      </c>
      <c r="G292" s="181">
        <v>6261</v>
      </c>
      <c r="H292" s="182">
        <v>0</v>
      </c>
      <c r="I292" s="182">
        <v>1581</v>
      </c>
      <c r="J292" s="183">
        <v>4680</v>
      </c>
      <c r="K292" s="181">
        <v>0</v>
      </c>
      <c r="L292" s="182">
        <v>77</v>
      </c>
      <c r="M292" s="182">
        <v>107</v>
      </c>
      <c r="N292" s="182">
        <v>154</v>
      </c>
      <c r="O292" s="182">
        <v>6</v>
      </c>
      <c r="P292" s="182">
        <v>0</v>
      </c>
      <c r="Q292" s="182">
        <v>13</v>
      </c>
      <c r="R292" s="183">
        <v>982</v>
      </c>
      <c r="S292" s="180">
        <v>623</v>
      </c>
      <c r="T292" s="181">
        <v>276</v>
      </c>
      <c r="U292" s="182">
        <v>4</v>
      </c>
      <c r="V292" s="182">
        <v>10</v>
      </c>
      <c r="W292" s="182">
        <v>48</v>
      </c>
      <c r="X292" s="183">
        <v>214</v>
      </c>
      <c r="Y292" s="181">
        <v>16237</v>
      </c>
      <c r="Z292" s="183">
        <v>4347</v>
      </c>
      <c r="AA292" s="181">
        <v>15406</v>
      </c>
      <c r="AB292" s="183">
        <v>4142</v>
      </c>
      <c r="AC292" s="181">
        <v>14251</v>
      </c>
      <c r="AD292" s="183">
        <v>3975</v>
      </c>
      <c r="AE292" s="181">
        <v>3654</v>
      </c>
      <c r="AF292" s="182">
        <v>2127</v>
      </c>
      <c r="AG292" s="183">
        <v>4252</v>
      </c>
      <c r="AH292" s="133">
        <v>-5.1179405062511549E-2</v>
      </c>
      <c r="AI292" s="19">
        <v>-0.12231323520354745</v>
      </c>
      <c r="AJ292" s="19">
        <v>-7.4970790601064527E-2</v>
      </c>
      <c r="AK292" s="19">
        <v>-4.7158960202438462E-2</v>
      </c>
      <c r="AL292" s="19">
        <v>-8.5576259489302961E-2</v>
      </c>
      <c r="AM292" s="19">
        <v>-4.0318686624818925E-2</v>
      </c>
      <c r="AN292" s="20">
        <v>2.2761539690145343</v>
      </c>
      <c r="AO292" s="19">
        <v>0.63488260661236229</v>
      </c>
      <c r="AP292" s="19">
        <v>0.33972208912314328</v>
      </c>
      <c r="AQ292" s="19">
        <v>0.67912474045679605</v>
      </c>
      <c r="AR292" s="19">
        <v>0.13557917989783239</v>
      </c>
      <c r="AS292" s="133">
        <v>9.9504871426289734E-2</v>
      </c>
      <c r="AT292" s="21">
        <v>5.5422456476601184E-2</v>
      </c>
      <c r="AU292" s="16">
        <v>2629</v>
      </c>
      <c r="AV292" s="16">
        <v>2557</v>
      </c>
      <c r="AW292" s="17">
        <v>2436</v>
      </c>
      <c r="AX292" s="133">
        <v>-2.7386839102320273E-2</v>
      </c>
      <c r="AY292" s="19">
        <v>-7.3411943704830729E-2</v>
      </c>
      <c r="AZ292" s="21">
        <v>-4.7321079389910051E-2</v>
      </c>
      <c r="BA292" s="15">
        <v>11</v>
      </c>
      <c r="BB292" s="17">
        <v>11</v>
      </c>
      <c r="BC292" s="15">
        <v>4</v>
      </c>
      <c r="BD292" s="17">
        <v>2</v>
      </c>
      <c r="BE292" s="15">
        <v>10170</v>
      </c>
      <c r="BF292" s="16">
        <v>14251</v>
      </c>
      <c r="BG292" s="19">
        <v>0.71363413093817973</v>
      </c>
      <c r="BH292" s="16">
        <v>1825</v>
      </c>
      <c r="BI292" s="16">
        <v>2436</v>
      </c>
      <c r="BJ292" s="21">
        <v>0.74917898193760257</v>
      </c>
    </row>
    <row r="293" spans="1:62" x14ac:dyDescent="0.25">
      <c r="A293" s="29"/>
      <c r="B293" s="30"/>
      <c r="C293" s="30"/>
      <c r="D293" s="30"/>
      <c r="E293" s="31" t="s">
        <v>68</v>
      </c>
      <c r="F293" s="188">
        <v>7525</v>
      </c>
      <c r="G293" s="189">
        <v>6152</v>
      </c>
      <c r="H293" s="190">
        <v>0</v>
      </c>
      <c r="I293" s="190">
        <v>1539</v>
      </c>
      <c r="J293" s="191">
        <v>4613</v>
      </c>
      <c r="K293" s="189">
        <v>0</v>
      </c>
      <c r="L293" s="190">
        <v>76</v>
      </c>
      <c r="M293" s="190">
        <v>107</v>
      </c>
      <c r="N293" s="190">
        <v>154</v>
      </c>
      <c r="O293" s="190">
        <v>6</v>
      </c>
      <c r="P293" s="190">
        <v>0</v>
      </c>
      <c r="Q293" s="190">
        <v>13</v>
      </c>
      <c r="R293" s="191">
        <v>981</v>
      </c>
      <c r="S293" s="188">
        <v>513</v>
      </c>
      <c r="T293" s="189">
        <v>276</v>
      </c>
      <c r="U293" s="190">
        <v>4</v>
      </c>
      <c r="V293" s="190">
        <v>10</v>
      </c>
      <c r="W293" s="190">
        <v>48</v>
      </c>
      <c r="X293" s="191">
        <v>214</v>
      </c>
      <c r="Y293" s="189">
        <v>16236</v>
      </c>
      <c r="Z293" s="191">
        <v>4346</v>
      </c>
      <c r="AA293" s="189">
        <v>15406</v>
      </c>
      <c r="AB293" s="191">
        <v>4142</v>
      </c>
      <c r="AC293" s="189">
        <v>13922</v>
      </c>
      <c r="AD293" s="191">
        <v>3872</v>
      </c>
      <c r="AE293" s="189">
        <v>3646</v>
      </c>
      <c r="AF293" s="190">
        <v>2120</v>
      </c>
      <c r="AG293" s="191">
        <v>4169</v>
      </c>
      <c r="AH293" s="136">
        <v>-5.1120965755112095E-2</v>
      </c>
      <c r="AI293" s="33">
        <v>-0.14252278886425229</v>
      </c>
      <c r="AJ293" s="33">
        <v>-9.6326106711670773E-2</v>
      </c>
      <c r="AK293" s="33">
        <v>-4.6939714680165667E-2</v>
      </c>
      <c r="AL293" s="33">
        <v>-0.10906580763920846</v>
      </c>
      <c r="AM293" s="33">
        <v>-6.518590053114437E-2</v>
      </c>
      <c r="AN293" s="34">
        <v>2.2630039011703511</v>
      </c>
      <c r="AO293" s="33">
        <v>0.62938881664499347</v>
      </c>
      <c r="AP293" s="33">
        <v>0.34460338101430427</v>
      </c>
      <c r="AQ293" s="33">
        <v>0.67766579973992203</v>
      </c>
      <c r="AR293" s="33">
        <v>0.13752979111173419</v>
      </c>
      <c r="AS293" s="136">
        <v>8.3387516254876462E-2</v>
      </c>
      <c r="AT293" s="35">
        <v>3.8524057217165147E-2</v>
      </c>
      <c r="AU293" s="30">
        <v>2629</v>
      </c>
      <c r="AV293" s="30">
        <v>2557</v>
      </c>
      <c r="AW293" s="31">
        <v>2419</v>
      </c>
      <c r="AX293" s="136">
        <v>-2.7386839102320273E-2</v>
      </c>
      <c r="AY293" s="33">
        <v>-7.9878280715100794E-2</v>
      </c>
      <c r="AZ293" s="35">
        <v>-5.3969495502542042E-2</v>
      </c>
      <c r="BA293" s="29">
        <v>11</v>
      </c>
      <c r="BB293" s="31">
        <v>11</v>
      </c>
      <c r="BC293" s="29">
        <v>4</v>
      </c>
      <c r="BD293" s="31">
        <v>2</v>
      </c>
      <c r="BE293" s="29">
        <v>9952</v>
      </c>
      <c r="BF293" s="30">
        <v>13922</v>
      </c>
      <c r="BG293" s="33">
        <v>0.71483982186467465</v>
      </c>
      <c r="BH293" s="30">
        <v>1813</v>
      </c>
      <c r="BI293" s="30">
        <v>2419</v>
      </c>
      <c r="BJ293" s="35">
        <v>0.7494832575444399</v>
      </c>
    </row>
    <row r="294" spans="1:62" x14ac:dyDescent="0.25">
      <c r="A294" s="15"/>
      <c r="B294" s="16"/>
      <c r="C294" s="16" t="s">
        <v>228</v>
      </c>
      <c r="D294" s="16"/>
      <c r="E294" s="17"/>
      <c r="F294" s="180">
        <v>33</v>
      </c>
      <c r="G294" s="181">
        <v>30</v>
      </c>
      <c r="H294" s="182">
        <v>0</v>
      </c>
      <c r="I294" s="182">
        <v>29</v>
      </c>
      <c r="J294" s="183">
        <v>1</v>
      </c>
      <c r="K294" s="181">
        <v>0</v>
      </c>
      <c r="L294" s="182">
        <v>2</v>
      </c>
      <c r="M294" s="182">
        <v>0</v>
      </c>
      <c r="N294" s="182">
        <v>0</v>
      </c>
      <c r="O294" s="182">
        <v>0</v>
      </c>
      <c r="P294" s="182">
        <v>0</v>
      </c>
      <c r="Q294" s="182">
        <v>0</v>
      </c>
      <c r="R294" s="183">
        <v>1</v>
      </c>
      <c r="S294" s="180">
        <v>13</v>
      </c>
      <c r="T294" s="181">
        <v>1</v>
      </c>
      <c r="U294" s="182">
        <v>1</v>
      </c>
      <c r="V294" s="182">
        <v>0</v>
      </c>
      <c r="W294" s="182">
        <v>0</v>
      </c>
      <c r="X294" s="183">
        <v>0</v>
      </c>
      <c r="Y294" s="181">
        <v>2</v>
      </c>
      <c r="Z294" s="183">
        <v>2</v>
      </c>
      <c r="AA294" s="181">
        <v>84</v>
      </c>
      <c r="AB294" s="183">
        <v>17</v>
      </c>
      <c r="AC294" s="181">
        <v>209</v>
      </c>
      <c r="AD294" s="183">
        <v>30</v>
      </c>
      <c r="AE294" s="181">
        <v>1</v>
      </c>
      <c r="AF294" s="182">
        <v>1</v>
      </c>
      <c r="AG294" s="183">
        <v>15</v>
      </c>
      <c r="AH294" s="133">
        <v>41</v>
      </c>
      <c r="AI294" s="19">
        <v>103.5</v>
      </c>
      <c r="AJ294" s="19">
        <v>1.4880952380952381</v>
      </c>
      <c r="AK294" s="19">
        <v>7.5</v>
      </c>
      <c r="AL294" s="19">
        <v>14</v>
      </c>
      <c r="AM294" s="19">
        <v>0.76470588235294112</v>
      </c>
      <c r="AN294" s="20">
        <v>6.9666666666666668</v>
      </c>
      <c r="AO294" s="19">
        <v>1</v>
      </c>
      <c r="AP294" s="19">
        <v>3.3333333333333333E-2</v>
      </c>
      <c r="AQ294" s="19">
        <v>0.5</v>
      </c>
      <c r="AR294" s="19">
        <v>3.2258064516129031E-2</v>
      </c>
      <c r="AS294" s="133">
        <v>0.43333333333333335</v>
      </c>
      <c r="AT294" s="21">
        <v>0.4</v>
      </c>
      <c r="AU294" s="16">
        <v>2</v>
      </c>
      <c r="AV294" s="16">
        <v>72</v>
      </c>
      <c r="AW294" s="17">
        <v>162</v>
      </c>
      <c r="AX294" s="133">
        <v>35</v>
      </c>
      <c r="AY294" s="19">
        <v>80</v>
      </c>
      <c r="AZ294" s="21">
        <v>1.25</v>
      </c>
      <c r="BA294" s="15">
        <v>13</v>
      </c>
      <c r="BB294" s="17">
        <v>14</v>
      </c>
      <c r="BC294" s="15">
        <v>3</v>
      </c>
      <c r="BD294" s="17">
        <v>3</v>
      </c>
      <c r="BE294" s="15">
        <v>116</v>
      </c>
      <c r="BF294" s="16">
        <v>209</v>
      </c>
      <c r="BG294" s="19">
        <v>0.55502392344497609</v>
      </c>
      <c r="BH294" s="16">
        <v>97</v>
      </c>
      <c r="BI294" s="16">
        <v>162</v>
      </c>
      <c r="BJ294" s="21">
        <v>0.59876543209876543</v>
      </c>
    </row>
    <row r="295" spans="1:62" x14ac:dyDescent="0.25">
      <c r="A295" s="29"/>
      <c r="B295" s="30"/>
      <c r="C295" s="30"/>
      <c r="D295" s="30"/>
      <c r="E295" s="31" t="s">
        <v>68</v>
      </c>
      <c r="F295" s="188">
        <v>31</v>
      </c>
      <c r="G295" s="189">
        <v>29</v>
      </c>
      <c r="H295" s="190">
        <v>0</v>
      </c>
      <c r="I295" s="190">
        <v>28</v>
      </c>
      <c r="J295" s="191">
        <v>1</v>
      </c>
      <c r="K295" s="189">
        <v>0</v>
      </c>
      <c r="L295" s="190">
        <v>1</v>
      </c>
      <c r="M295" s="190">
        <v>0</v>
      </c>
      <c r="N295" s="190">
        <v>0</v>
      </c>
      <c r="O295" s="190">
        <v>0</v>
      </c>
      <c r="P295" s="190">
        <v>0</v>
      </c>
      <c r="Q295" s="190">
        <v>0</v>
      </c>
      <c r="R295" s="191">
        <v>1</v>
      </c>
      <c r="S295" s="188">
        <v>11</v>
      </c>
      <c r="T295" s="189">
        <v>1</v>
      </c>
      <c r="U295" s="190">
        <v>1</v>
      </c>
      <c r="V295" s="190">
        <v>0</v>
      </c>
      <c r="W295" s="190">
        <v>0</v>
      </c>
      <c r="X295" s="191">
        <v>0</v>
      </c>
      <c r="Y295" s="189">
        <v>2</v>
      </c>
      <c r="Z295" s="191">
        <v>2</v>
      </c>
      <c r="AA295" s="189">
        <v>84</v>
      </c>
      <c r="AB295" s="191">
        <v>17</v>
      </c>
      <c r="AC295" s="189">
        <v>205</v>
      </c>
      <c r="AD295" s="191">
        <v>29</v>
      </c>
      <c r="AE295" s="189">
        <v>1</v>
      </c>
      <c r="AF295" s="190">
        <v>1</v>
      </c>
      <c r="AG295" s="191">
        <v>14</v>
      </c>
      <c r="AH295" s="136">
        <v>41</v>
      </c>
      <c r="AI295" s="33">
        <v>101.5</v>
      </c>
      <c r="AJ295" s="33">
        <v>1.4404761904761905</v>
      </c>
      <c r="AK295" s="33">
        <v>7.5</v>
      </c>
      <c r="AL295" s="33">
        <v>13.5</v>
      </c>
      <c r="AM295" s="33">
        <v>0.70588235294117652</v>
      </c>
      <c r="AN295" s="34">
        <v>7.068965517241379</v>
      </c>
      <c r="AO295" s="33">
        <v>1</v>
      </c>
      <c r="AP295" s="33">
        <v>3.4482758620689655E-2</v>
      </c>
      <c r="AQ295" s="33">
        <v>0.48275862068965519</v>
      </c>
      <c r="AR295" s="33">
        <v>3.3333333333333333E-2</v>
      </c>
      <c r="AS295" s="136">
        <v>0.37931034482758619</v>
      </c>
      <c r="AT295" s="35">
        <v>0.34482758620689657</v>
      </c>
      <c r="AU295" s="30">
        <v>2</v>
      </c>
      <c r="AV295" s="30">
        <v>72</v>
      </c>
      <c r="AW295" s="31">
        <v>159</v>
      </c>
      <c r="AX295" s="136">
        <v>35</v>
      </c>
      <c r="AY295" s="33">
        <v>78.5</v>
      </c>
      <c r="AZ295" s="35">
        <v>1.2083333333333333</v>
      </c>
      <c r="BA295" s="29">
        <v>13</v>
      </c>
      <c r="BB295" s="31">
        <v>13</v>
      </c>
      <c r="BC295" s="29">
        <v>4</v>
      </c>
      <c r="BD295" s="31">
        <v>3</v>
      </c>
      <c r="BE295" s="29">
        <v>115</v>
      </c>
      <c r="BF295" s="30">
        <v>205</v>
      </c>
      <c r="BG295" s="33">
        <v>0.56097560975609762</v>
      </c>
      <c r="BH295" s="30">
        <v>97</v>
      </c>
      <c r="BI295" s="30">
        <v>159</v>
      </c>
      <c r="BJ295" s="35">
        <v>0.61006289308176098</v>
      </c>
    </row>
    <row r="296" spans="1:62" x14ac:dyDescent="0.25">
      <c r="A296" s="15"/>
      <c r="B296" s="16"/>
      <c r="C296" s="16" t="s">
        <v>133</v>
      </c>
      <c r="D296" s="16"/>
      <c r="E296" s="17"/>
      <c r="F296" s="180">
        <v>173</v>
      </c>
      <c r="G296" s="181">
        <v>122</v>
      </c>
      <c r="H296" s="182">
        <v>0</v>
      </c>
      <c r="I296" s="182">
        <v>122</v>
      </c>
      <c r="J296" s="183">
        <v>0</v>
      </c>
      <c r="K296" s="181">
        <v>0</v>
      </c>
      <c r="L296" s="182">
        <v>7</v>
      </c>
      <c r="M296" s="182">
        <v>19</v>
      </c>
      <c r="N296" s="182">
        <v>3</v>
      </c>
      <c r="O296" s="182">
        <v>0</v>
      </c>
      <c r="P296" s="182">
        <v>0</v>
      </c>
      <c r="Q296" s="182">
        <v>3</v>
      </c>
      <c r="R296" s="183">
        <v>19</v>
      </c>
      <c r="S296" s="180">
        <v>23</v>
      </c>
      <c r="T296" s="181">
        <v>19</v>
      </c>
      <c r="U296" s="182">
        <v>1</v>
      </c>
      <c r="V296" s="182">
        <v>3</v>
      </c>
      <c r="W296" s="182">
        <v>14</v>
      </c>
      <c r="X296" s="183">
        <v>1</v>
      </c>
      <c r="Y296" s="181">
        <v>699</v>
      </c>
      <c r="Z296" s="183">
        <v>107</v>
      </c>
      <c r="AA296" s="181">
        <v>959</v>
      </c>
      <c r="AB296" s="183">
        <v>149</v>
      </c>
      <c r="AC296" s="181">
        <v>1075</v>
      </c>
      <c r="AD296" s="183">
        <v>140</v>
      </c>
      <c r="AE296" s="181">
        <v>25</v>
      </c>
      <c r="AF296" s="182">
        <v>0</v>
      </c>
      <c r="AG296" s="183">
        <v>92</v>
      </c>
      <c r="AH296" s="133">
        <v>0.3719599427753934</v>
      </c>
      <c r="AI296" s="19">
        <v>0.53791130185979974</v>
      </c>
      <c r="AJ296" s="19">
        <v>0.12095933263816476</v>
      </c>
      <c r="AK296" s="19">
        <v>0.3925233644859813</v>
      </c>
      <c r="AL296" s="19">
        <v>0.30841121495327101</v>
      </c>
      <c r="AM296" s="19">
        <v>-6.0402684563758392E-2</v>
      </c>
      <c r="AN296" s="20">
        <v>8.8114754098360653</v>
      </c>
      <c r="AO296" s="19">
        <v>1.1475409836065573</v>
      </c>
      <c r="AP296" s="19">
        <v>0</v>
      </c>
      <c r="AQ296" s="19">
        <v>0.75409836065573765</v>
      </c>
      <c r="AR296" s="19">
        <v>0.13475177304964539</v>
      </c>
      <c r="AS296" s="133">
        <v>0.18852459016393441</v>
      </c>
      <c r="AT296" s="21">
        <v>3.2786885245901641E-2</v>
      </c>
      <c r="AU296" s="16">
        <v>299</v>
      </c>
      <c r="AV296" s="16">
        <v>356</v>
      </c>
      <c r="AW296" s="17">
        <v>452</v>
      </c>
      <c r="AX296" s="133">
        <v>0.19063545150501673</v>
      </c>
      <c r="AY296" s="19">
        <v>0.51170568561872909</v>
      </c>
      <c r="AZ296" s="21">
        <v>0.2696629213483146</v>
      </c>
      <c r="BA296" s="15">
        <v>10</v>
      </c>
      <c r="BB296" s="17">
        <v>11</v>
      </c>
      <c r="BC296" s="15">
        <v>2</v>
      </c>
      <c r="BD296" s="17">
        <v>2</v>
      </c>
      <c r="BE296" s="15">
        <v>932</v>
      </c>
      <c r="BF296" s="16">
        <v>1075</v>
      </c>
      <c r="BG296" s="19">
        <v>0.86697674418604653</v>
      </c>
      <c r="BH296" s="16">
        <v>383</v>
      </c>
      <c r="BI296" s="16">
        <v>452</v>
      </c>
      <c r="BJ296" s="21">
        <v>0.84734513274336287</v>
      </c>
    </row>
    <row r="297" spans="1:62" x14ac:dyDescent="0.25">
      <c r="A297" s="29"/>
      <c r="B297" s="30"/>
      <c r="C297" s="30"/>
      <c r="D297" s="30"/>
      <c r="E297" s="31" t="s">
        <v>68</v>
      </c>
      <c r="F297" s="188">
        <v>170</v>
      </c>
      <c r="G297" s="189">
        <v>119</v>
      </c>
      <c r="H297" s="190">
        <v>0</v>
      </c>
      <c r="I297" s="190">
        <v>119</v>
      </c>
      <c r="J297" s="191">
        <v>0</v>
      </c>
      <c r="K297" s="189">
        <v>0</v>
      </c>
      <c r="L297" s="190">
        <v>7</v>
      </c>
      <c r="M297" s="190">
        <v>19</v>
      </c>
      <c r="N297" s="190">
        <v>3</v>
      </c>
      <c r="O297" s="190">
        <v>0</v>
      </c>
      <c r="P297" s="190">
        <v>0</v>
      </c>
      <c r="Q297" s="190">
        <v>3</v>
      </c>
      <c r="R297" s="191">
        <v>19</v>
      </c>
      <c r="S297" s="188">
        <v>20</v>
      </c>
      <c r="T297" s="189">
        <v>19</v>
      </c>
      <c r="U297" s="190">
        <v>1</v>
      </c>
      <c r="V297" s="190">
        <v>3</v>
      </c>
      <c r="W297" s="190">
        <v>14</v>
      </c>
      <c r="X297" s="191">
        <v>1</v>
      </c>
      <c r="Y297" s="189">
        <v>699</v>
      </c>
      <c r="Z297" s="191">
        <v>107</v>
      </c>
      <c r="AA297" s="189">
        <v>959</v>
      </c>
      <c r="AB297" s="191">
        <v>149</v>
      </c>
      <c r="AC297" s="189">
        <v>1061</v>
      </c>
      <c r="AD297" s="191">
        <v>137</v>
      </c>
      <c r="AE297" s="189">
        <v>25</v>
      </c>
      <c r="AF297" s="190">
        <v>0</v>
      </c>
      <c r="AG297" s="191">
        <v>90</v>
      </c>
      <c r="AH297" s="136">
        <v>0.3719599427753934</v>
      </c>
      <c r="AI297" s="33">
        <v>0.51788268955650929</v>
      </c>
      <c r="AJ297" s="33">
        <v>0.10636079249217935</v>
      </c>
      <c r="AK297" s="33">
        <v>0.3925233644859813</v>
      </c>
      <c r="AL297" s="33">
        <v>0.28037383177570091</v>
      </c>
      <c r="AM297" s="33">
        <v>-8.0536912751677847E-2</v>
      </c>
      <c r="AN297" s="34">
        <v>8.9159663865546221</v>
      </c>
      <c r="AO297" s="33">
        <v>1.1512605042016806</v>
      </c>
      <c r="AP297" s="33">
        <v>0</v>
      </c>
      <c r="AQ297" s="33">
        <v>0.75630252100840334</v>
      </c>
      <c r="AR297" s="33">
        <v>0.13768115942028986</v>
      </c>
      <c r="AS297" s="136">
        <v>0.16806722689075632</v>
      </c>
      <c r="AT297" s="35">
        <v>8.4033613445378148E-3</v>
      </c>
      <c r="AU297" s="30">
        <v>299</v>
      </c>
      <c r="AV297" s="30">
        <v>356</v>
      </c>
      <c r="AW297" s="31">
        <v>451</v>
      </c>
      <c r="AX297" s="136">
        <v>0.19063545150501673</v>
      </c>
      <c r="AY297" s="33">
        <v>0.50836120401337792</v>
      </c>
      <c r="AZ297" s="35">
        <v>0.26685393258426965</v>
      </c>
      <c r="BA297" s="29">
        <v>10</v>
      </c>
      <c r="BB297" s="31">
        <v>11</v>
      </c>
      <c r="BC297" s="29">
        <v>2</v>
      </c>
      <c r="BD297" s="31">
        <v>2</v>
      </c>
      <c r="BE297" s="29">
        <v>919</v>
      </c>
      <c r="BF297" s="30">
        <v>1061</v>
      </c>
      <c r="BG297" s="33">
        <v>0.86616399622997176</v>
      </c>
      <c r="BH297" s="30">
        <v>382</v>
      </c>
      <c r="BI297" s="30">
        <v>451</v>
      </c>
      <c r="BJ297" s="35">
        <v>0.8470066518847007</v>
      </c>
    </row>
    <row r="298" spans="1:62" x14ac:dyDescent="0.25">
      <c r="A298" s="15"/>
      <c r="B298" s="16"/>
      <c r="C298" s="16" t="s">
        <v>134</v>
      </c>
      <c r="D298" s="16"/>
      <c r="E298" s="17"/>
      <c r="F298" s="180">
        <v>1936</v>
      </c>
      <c r="G298" s="181">
        <v>1673</v>
      </c>
      <c r="H298" s="182">
        <v>0</v>
      </c>
      <c r="I298" s="182">
        <v>1672</v>
      </c>
      <c r="J298" s="183">
        <v>1</v>
      </c>
      <c r="K298" s="181">
        <v>0</v>
      </c>
      <c r="L298" s="182">
        <v>5</v>
      </c>
      <c r="M298" s="182">
        <v>95</v>
      </c>
      <c r="N298" s="182">
        <v>4</v>
      </c>
      <c r="O298" s="182">
        <v>2</v>
      </c>
      <c r="P298" s="182">
        <v>0</v>
      </c>
      <c r="Q298" s="182">
        <v>14</v>
      </c>
      <c r="R298" s="183">
        <v>142</v>
      </c>
      <c r="S298" s="180">
        <v>274</v>
      </c>
      <c r="T298" s="181">
        <v>104</v>
      </c>
      <c r="U298" s="182">
        <v>5</v>
      </c>
      <c r="V298" s="182">
        <v>9</v>
      </c>
      <c r="W298" s="182">
        <v>70</v>
      </c>
      <c r="X298" s="183">
        <v>20</v>
      </c>
      <c r="Y298" s="181">
        <v>9448</v>
      </c>
      <c r="Z298" s="183">
        <v>1314</v>
      </c>
      <c r="AA298" s="181">
        <v>11602</v>
      </c>
      <c r="AB298" s="183">
        <v>1498</v>
      </c>
      <c r="AC298" s="181">
        <v>12354</v>
      </c>
      <c r="AD298" s="183">
        <v>1765</v>
      </c>
      <c r="AE298" s="181">
        <v>171</v>
      </c>
      <c r="AF298" s="182">
        <v>43</v>
      </c>
      <c r="AG298" s="183">
        <v>882</v>
      </c>
      <c r="AH298" s="133">
        <v>0.22798475867908552</v>
      </c>
      <c r="AI298" s="19">
        <v>0.30757832345469943</v>
      </c>
      <c r="AJ298" s="19">
        <v>6.4816410963626961E-2</v>
      </c>
      <c r="AK298" s="19">
        <v>0.14003044140030441</v>
      </c>
      <c r="AL298" s="19">
        <v>0.34322678843226789</v>
      </c>
      <c r="AM298" s="19">
        <v>0.17823765020026702</v>
      </c>
      <c r="AN298" s="20">
        <v>7.3843395098625226</v>
      </c>
      <c r="AO298" s="19">
        <v>1.054991034070532</v>
      </c>
      <c r="AP298" s="19">
        <v>2.5702331141661684E-2</v>
      </c>
      <c r="AQ298" s="19">
        <v>0.52719665271966532</v>
      </c>
      <c r="AR298" s="19">
        <v>7.8236914600550961E-2</v>
      </c>
      <c r="AS298" s="133">
        <v>0.16377764494919306</v>
      </c>
      <c r="AT298" s="21">
        <v>0.10161386730424388</v>
      </c>
      <c r="AU298" s="16">
        <v>1159</v>
      </c>
      <c r="AV298" s="16">
        <v>1317</v>
      </c>
      <c r="AW298" s="17">
        <v>1602</v>
      </c>
      <c r="AX298" s="133">
        <v>0.1363244176013805</v>
      </c>
      <c r="AY298" s="19">
        <v>0.38222605694564282</v>
      </c>
      <c r="AZ298" s="21">
        <v>0.21640091116173121</v>
      </c>
      <c r="BA298" s="15">
        <v>13</v>
      </c>
      <c r="BB298" s="17">
        <v>12</v>
      </c>
      <c r="BC298" s="15">
        <v>2</v>
      </c>
      <c r="BD298" s="17">
        <v>2</v>
      </c>
      <c r="BE298" s="15">
        <v>10035</v>
      </c>
      <c r="BF298" s="16">
        <v>12354</v>
      </c>
      <c r="BG298" s="19">
        <v>0.8122875182127246</v>
      </c>
      <c r="BH298" s="16">
        <v>1277</v>
      </c>
      <c r="BI298" s="16">
        <v>1602</v>
      </c>
      <c r="BJ298" s="21">
        <v>0.79712858926342067</v>
      </c>
    </row>
    <row r="299" spans="1:62" x14ac:dyDescent="0.25">
      <c r="A299" s="29"/>
      <c r="B299" s="30"/>
      <c r="C299" s="30"/>
      <c r="D299" s="30"/>
      <c r="E299" s="31" t="s">
        <v>68</v>
      </c>
      <c r="F299" s="188">
        <v>1936</v>
      </c>
      <c r="G299" s="189">
        <v>1673</v>
      </c>
      <c r="H299" s="190">
        <v>0</v>
      </c>
      <c r="I299" s="190">
        <v>1672</v>
      </c>
      <c r="J299" s="191">
        <v>1</v>
      </c>
      <c r="K299" s="189">
        <v>0</v>
      </c>
      <c r="L299" s="190">
        <v>5</v>
      </c>
      <c r="M299" s="190">
        <v>95</v>
      </c>
      <c r="N299" s="190">
        <v>4</v>
      </c>
      <c r="O299" s="190">
        <v>2</v>
      </c>
      <c r="P299" s="190">
        <v>0</v>
      </c>
      <c r="Q299" s="190">
        <v>14</v>
      </c>
      <c r="R299" s="191">
        <v>142</v>
      </c>
      <c r="S299" s="188">
        <v>274</v>
      </c>
      <c r="T299" s="189">
        <v>104</v>
      </c>
      <c r="U299" s="190">
        <v>5</v>
      </c>
      <c r="V299" s="190">
        <v>9</v>
      </c>
      <c r="W299" s="190">
        <v>70</v>
      </c>
      <c r="X299" s="191">
        <v>20</v>
      </c>
      <c r="Y299" s="189">
        <v>9448</v>
      </c>
      <c r="Z299" s="191">
        <v>1314</v>
      </c>
      <c r="AA299" s="189">
        <v>11602</v>
      </c>
      <c r="AB299" s="191">
        <v>1498</v>
      </c>
      <c r="AC299" s="189">
        <v>12354</v>
      </c>
      <c r="AD299" s="191">
        <v>1765</v>
      </c>
      <c r="AE299" s="189">
        <v>171</v>
      </c>
      <c r="AF299" s="190">
        <v>43</v>
      </c>
      <c r="AG299" s="191">
        <v>882</v>
      </c>
      <c r="AH299" s="136">
        <v>0.22798475867908552</v>
      </c>
      <c r="AI299" s="33">
        <v>0.30757832345469943</v>
      </c>
      <c r="AJ299" s="33">
        <v>6.4816410963626961E-2</v>
      </c>
      <c r="AK299" s="33">
        <v>0.14003044140030441</v>
      </c>
      <c r="AL299" s="33">
        <v>0.34322678843226789</v>
      </c>
      <c r="AM299" s="33">
        <v>0.17823765020026702</v>
      </c>
      <c r="AN299" s="34">
        <v>7.3843395098625226</v>
      </c>
      <c r="AO299" s="33">
        <v>1.054991034070532</v>
      </c>
      <c r="AP299" s="33">
        <v>2.5702331141661684E-2</v>
      </c>
      <c r="AQ299" s="33">
        <v>0.52719665271966532</v>
      </c>
      <c r="AR299" s="33">
        <v>7.8236914600550961E-2</v>
      </c>
      <c r="AS299" s="136">
        <v>0.16377764494919306</v>
      </c>
      <c r="AT299" s="35">
        <v>0.10161386730424388</v>
      </c>
      <c r="AU299" s="30">
        <v>1159</v>
      </c>
      <c r="AV299" s="30">
        <v>1317</v>
      </c>
      <c r="AW299" s="31">
        <v>1602</v>
      </c>
      <c r="AX299" s="136">
        <v>0.1363244176013805</v>
      </c>
      <c r="AY299" s="33">
        <v>0.38222605694564282</v>
      </c>
      <c r="AZ299" s="35">
        <v>0.21640091116173121</v>
      </c>
      <c r="BA299" s="29">
        <v>13</v>
      </c>
      <c r="BB299" s="31">
        <v>12</v>
      </c>
      <c r="BC299" s="29">
        <v>2</v>
      </c>
      <c r="BD299" s="31">
        <v>2</v>
      </c>
      <c r="BE299" s="29">
        <v>10035</v>
      </c>
      <c r="BF299" s="30">
        <v>12354</v>
      </c>
      <c r="BG299" s="33">
        <v>0.8122875182127246</v>
      </c>
      <c r="BH299" s="30">
        <v>1277</v>
      </c>
      <c r="BI299" s="30">
        <v>1602</v>
      </c>
      <c r="BJ299" s="35">
        <v>0.79712858926342067</v>
      </c>
    </row>
    <row r="300" spans="1:62" x14ac:dyDescent="0.25">
      <c r="A300" s="15"/>
      <c r="B300" s="16"/>
      <c r="C300" s="16" t="s">
        <v>135</v>
      </c>
      <c r="D300" s="16"/>
      <c r="E300" s="17"/>
      <c r="F300" s="180">
        <v>255</v>
      </c>
      <c r="G300" s="181">
        <v>207</v>
      </c>
      <c r="H300" s="182">
        <v>0</v>
      </c>
      <c r="I300" s="182">
        <v>190</v>
      </c>
      <c r="J300" s="183">
        <v>17</v>
      </c>
      <c r="K300" s="181">
        <v>0</v>
      </c>
      <c r="L300" s="182">
        <v>3</v>
      </c>
      <c r="M300" s="182">
        <v>21</v>
      </c>
      <c r="N300" s="182">
        <v>3</v>
      </c>
      <c r="O300" s="182">
        <v>0</v>
      </c>
      <c r="P300" s="182">
        <v>0</v>
      </c>
      <c r="Q300" s="182">
        <v>1</v>
      </c>
      <c r="R300" s="183">
        <v>20</v>
      </c>
      <c r="S300" s="180">
        <v>43</v>
      </c>
      <c r="T300" s="181">
        <v>18</v>
      </c>
      <c r="U300" s="182">
        <v>0</v>
      </c>
      <c r="V300" s="182">
        <v>1</v>
      </c>
      <c r="W300" s="182">
        <v>17</v>
      </c>
      <c r="X300" s="183">
        <v>0</v>
      </c>
      <c r="Y300" s="181">
        <v>1654</v>
      </c>
      <c r="Z300" s="183">
        <v>177</v>
      </c>
      <c r="AA300" s="181">
        <v>1865</v>
      </c>
      <c r="AB300" s="183">
        <v>216</v>
      </c>
      <c r="AC300" s="181">
        <v>2009</v>
      </c>
      <c r="AD300" s="183">
        <v>234</v>
      </c>
      <c r="AE300" s="181">
        <v>21</v>
      </c>
      <c r="AF300" s="182">
        <v>3</v>
      </c>
      <c r="AG300" s="183">
        <v>165</v>
      </c>
      <c r="AH300" s="133">
        <v>0.12756952841596131</v>
      </c>
      <c r="AI300" s="19">
        <v>0.21463119709794437</v>
      </c>
      <c r="AJ300" s="19">
        <v>7.7211796246648798E-2</v>
      </c>
      <c r="AK300" s="19">
        <v>0.22033898305084745</v>
      </c>
      <c r="AL300" s="19">
        <v>0.32203389830508472</v>
      </c>
      <c r="AM300" s="19">
        <v>8.3333333333333329E-2</v>
      </c>
      <c r="AN300" s="20">
        <v>9.7053140096618353</v>
      </c>
      <c r="AO300" s="19">
        <v>1.1304347826086956</v>
      </c>
      <c r="AP300" s="19">
        <v>1.4492753623188406E-2</v>
      </c>
      <c r="AQ300" s="19">
        <v>0.79710144927536231</v>
      </c>
      <c r="AR300" s="19">
        <v>8.8105726872246701E-2</v>
      </c>
      <c r="AS300" s="133">
        <v>0.20772946859903382</v>
      </c>
      <c r="AT300" s="21">
        <v>0.12077294685990338</v>
      </c>
      <c r="AU300" s="16">
        <v>556</v>
      </c>
      <c r="AV300" s="16">
        <v>664</v>
      </c>
      <c r="AW300" s="17">
        <v>744</v>
      </c>
      <c r="AX300" s="133">
        <v>0.19424460431654678</v>
      </c>
      <c r="AY300" s="19">
        <v>0.33812949640287771</v>
      </c>
      <c r="AZ300" s="21">
        <v>0.12048192771084337</v>
      </c>
      <c r="BA300" s="15">
        <v>9</v>
      </c>
      <c r="BB300" s="17">
        <v>9</v>
      </c>
      <c r="BC300" s="15">
        <v>2</v>
      </c>
      <c r="BD300" s="17">
        <v>2</v>
      </c>
      <c r="BE300" s="15">
        <v>1302</v>
      </c>
      <c r="BF300" s="16">
        <v>2009</v>
      </c>
      <c r="BG300" s="19">
        <v>0.6480836236933798</v>
      </c>
      <c r="BH300" s="16">
        <v>542</v>
      </c>
      <c r="BI300" s="16">
        <v>744</v>
      </c>
      <c r="BJ300" s="21">
        <v>0.728494623655914</v>
      </c>
    </row>
    <row r="301" spans="1:62" x14ac:dyDescent="0.25">
      <c r="A301" s="29"/>
      <c r="B301" s="30"/>
      <c r="C301" s="30"/>
      <c r="D301" s="30"/>
      <c r="E301" s="31" t="s">
        <v>68</v>
      </c>
      <c r="F301" s="188">
        <v>251</v>
      </c>
      <c r="G301" s="189">
        <v>203</v>
      </c>
      <c r="H301" s="190">
        <v>0</v>
      </c>
      <c r="I301" s="190">
        <v>186</v>
      </c>
      <c r="J301" s="191">
        <v>17</v>
      </c>
      <c r="K301" s="189">
        <v>0</v>
      </c>
      <c r="L301" s="190">
        <v>3</v>
      </c>
      <c r="M301" s="190">
        <v>21</v>
      </c>
      <c r="N301" s="190">
        <v>3</v>
      </c>
      <c r="O301" s="190">
        <v>0</v>
      </c>
      <c r="P301" s="190">
        <v>0</v>
      </c>
      <c r="Q301" s="190">
        <v>1</v>
      </c>
      <c r="R301" s="191">
        <v>20</v>
      </c>
      <c r="S301" s="188">
        <v>39</v>
      </c>
      <c r="T301" s="189">
        <v>18</v>
      </c>
      <c r="U301" s="190">
        <v>0</v>
      </c>
      <c r="V301" s="190">
        <v>1</v>
      </c>
      <c r="W301" s="190">
        <v>17</v>
      </c>
      <c r="X301" s="191">
        <v>0</v>
      </c>
      <c r="Y301" s="189">
        <v>1654</v>
      </c>
      <c r="Z301" s="191">
        <v>177</v>
      </c>
      <c r="AA301" s="189">
        <v>1865</v>
      </c>
      <c r="AB301" s="191">
        <v>216</v>
      </c>
      <c r="AC301" s="189">
        <v>1986</v>
      </c>
      <c r="AD301" s="191">
        <v>229</v>
      </c>
      <c r="AE301" s="189">
        <v>21</v>
      </c>
      <c r="AF301" s="190">
        <v>3</v>
      </c>
      <c r="AG301" s="191">
        <v>161</v>
      </c>
      <c r="AH301" s="136">
        <v>0.12756952841596131</v>
      </c>
      <c r="AI301" s="33">
        <v>0.20072551390568319</v>
      </c>
      <c r="AJ301" s="33">
        <v>6.4879356568364605E-2</v>
      </c>
      <c r="AK301" s="33">
        <v>0.22033898305084745</v>
      </c>
      <c r="AL301" s="33">
        <v>0.29378531073446329</v>
      </c>
      <c r="AM301" s="33">
        <v>6.0185185185185182E-2</v>
      </c>
      <c r="AN301" s="34">
        <v>9.7832512315270943</v>
      </c>
      <c r="AO301" s="33">
        <v>1.1280788177339902</v>
      </c>
      <c r="AP301" s="33">
        <v>1.4778325123152709E-2</v>
      </c>
      <c r="AQ301" s="33">
        <v>0.7931034482758621</v>
      </c>
      <c r="AR301" s="33">
        <v>8.9686098654708515E-2</v>
      </c>
      <c r="AS301" s="136">
        <v>0.19211822660098521</v>
      </c>
      <c r="AT301" s="35">
        <v>0.10344827586206896</v>
      </c>
      <c r="AU301" s="30">
        <v>556</v>
      </c>
      <c r="AV301" s="30">
        <v>664</v>
      </c>
      <c r="AW301" s="31">
        <v>743</v>
      </c>
      <c r="AX301" s="136">
        <v>0.19424460431654678</v>
      </c>
      <c r="AY301" s="33">
        <v>0.33633093525179858</v>
      </c>
      <c r="AZ301" s="35">
        <v>0.11897590361445783</v>
      </c>
      <c r="BA301" s="29">
        <v>9</v>
      </c>
      <c r="BB301" s="31">
        <v>9</v>
      </c>
      <c r="BC301" s="29">
        <v>2</v>
      </c>
      <c r="BD301" s="31">
        <v>2</v>
      </c>
      <c r="BE301" s="29">
        <v>1288</v>
      </c>
      <c r="BF301" s="30">
        <v>1986</v>
      </c>
      <c r="BG301" s="33">
        <v>0.64853977844914401</v>
      </c>
      <c r="BH301" s="30">
        <v>540</v>
      </c>
      <c r="BI301" s="30">
        <v>743</v>
      </c>
      <c r="BJ301" s="35">
        <v>0.72678331090174964</v>
      </c>
    </row>
    <row r="302" spans="1:62" x14ac:dyDescent="0.25">
      <c r="A302" s="15"/>
      <c r="B302" s="16"/>
      <c r="C302" s="16" t="s">
        <v>136</v>
      </c>
      <c r="D302" s="16"/>
      <c r="E302" s="17"/>
      <c r="F302" s="180">
        <v>3665</v>
      </c>
      <c r="G302" s="181">
        <v>2897</v>
      </c>
      <c r="H302" s="182">
        <v>0</v>
      </c>
      <c r="I302" s="182">
        <v>2894</v>
      </c>
      <c r="J302" s="183">
        <v>3</v>
      </c>
      <c r="K302" s="181">
        <v>0</v>
      </c>
      <c r="L302" s="182">
        <v>27</v>
      </c>
      <c r="M302" s="182">
        <v>424</v>
      </c>
      <c r="N302" s="182">
        <v>22</v>
      </c>
      <c r="O302" s="182">
        <v>8</v>
      </c>
      <c r="P302" s="182">
        <v>0</v>
      </c>
      <c r="Q302" s="182">
        <v>22</v>
      </c>
      <c r="R302" s="183">
        <v>265</v>
      </c>
      <c r="S302" s="180">
        <v>297</v>
      </c>
      <c r="T302" s="181">
        <v>348</v>
      </c>
      <c r="U302" s="182">
        <v>7</v>
      </c>
      <c r="V302" s="182">
        <v>16</v>
      </c>
      <c r="W302" s="182">
        <v>315</v>
      </c>
      <c r="X302" s="183">
        <v>10</v>
      </c>
      <c r="Y302" s="181">
        <v>29889</v>
      </c>
      <c r="Z302" s="183">
        <v>3054</v>
      </c>
      <c r="AA302" s="181">
        <v>29711</v>
      </c>
      <c r="AB302" s="183">
        <v>3246</v>
      </c>
      <c r="AC302" s="181">
        <v>31731</v>
      </c>
      <c r="AD302" s="183">
        <v>3334</v>
      </c>
      <c r="AE302" s="181">
        <v>315</v>
      </c>
      <c r="AF302" s="182">
        <v>27</v>
      </c>
      <c r="AG302" s="183">
        <v>2293</v>
      </c>
      <c r="AH302" s="133">
        <v>-5.9553681956572655E-3</v>
      </c>
      <c r="AI302" s="19">
        <v>6.1628023687644286E-2</v>
      </c>
      <c r="AJ302" s="19">
        <v>6.7988287166369357E-2</v>
      </c>
      <c r="AK302" s="19">
        <v>6.2868369351669937E-2</v>
      </c>
      <c r="AL302" s="19">
        <v>9.1683038637852002E-2</v>
      </c>
      <c r="AM302" s="19">
        <v>2.7110289587184228E-2</v>
      </c>
      <c r="AN302" s="20">
        <v>10.953054884363134</v>
      </c>
      <c r="AO302" s="19">
        <v>1.1508457024508112</v>
      </c>
      <c r="AP302" s="19">
        <v>9.3199861926130476E-3</v>
      </c>
      <c r="AQ302" s="19">
        <v>0.79150845702450812</v>
      </c>
      <c r="AR302" s="19">
        <v>8.3807716635041107E-2</v>
      </c>
      <c r="AS302" s="133">
        <v>0.10251984811874353</v>
      </c>
      <c r="AT302" s="21">
        <v>-1.7604418363824648E-2</v>
      </c>
      <c r="AU302" s="16">
        <v>3190</v>
      </c>
      <c r="AV302" s="16">
        <v>3331</v>
      </c>
      <c r="AW302" s="17">
        <v>3420</v>
      </c>
      <c r="AX302" s="133">
        <v>4.4200626959247646E-2</v>
      </c>
      <c r="AY302" s="19">
        <v>7.2100313479623826E-2</v>
      </c>
      <c r="AZ302" s="21">
        <v>2.6718703092164516E-2</v>
      </c>
      <c r="BA302" s="15">
        <v>11</v>
      </c>
      <c r="BB302" s="17">
        <v>12</v>
      </c>
      <c r="BC302" s="15">
        <v>3</v>
      </c>
      <c r="BD302" s="17">
        <v>2</v>
      </c>
      <c r="BE302" s="15">
        <v>22166</v>
      </c>
      <c r="BF302" s="16">
        <v>31731</v>
      </c>
      <c r="BG302" s="19">
        <v>0.69855976805017173</v>
      </c>
      <c r="BH302" s="16">
        <v>2522</v>
      </c>
      <c r="BI302" s="16">
        <v>3420</v>
      </c>
      <c r="BJ302" s="21">
        <v>0.73742690058479532</v>
      </c>
    </row>
    <row r="303" spans="1:62" x14ac:dyDescent="0.25">
      <c r="A303" s="29"/>
      <c r="B303" s="30"/>
      <c r="C303" s="30"/>
      <c r="D303" s="30"/>
      <c r="E303" s="31" t="s">
        <v>68</v>
      </c>
      <c r="F303" s="188">
        <v>3654</v>
      </c>
      <c r="G303" s="189">
        <v>2887</v>
      </c>
      <c r="H303" s="190">
        <v>0</v>
      </c>
      <c r="I303" s="190">
        <v>2884</v>
      </c>
      <c r="J303" s="191">
        <v>3</v>
      </c>
      <c r="K303" s="189">
        <v>0</v>
      </c>
      <c r="L303" s="190">
        <v>27</v>
      </c>
      <c r="M303" s="190">
        <v>423</v>
      </c>
      <c r="N303" s="190">
        <v>22</v>
      </c>
      <c r="O303" s="190">
        <v>8</v>
      </c>
      <c r="P303" s="190">
        <v>0</v>
      </c>
      <c r="Q303" s="190">
        <v>22</v>
      </c>
      <c r="R303" s="191">
        <v>265</v>
      </c>
      <c r="S303" s="188">
        <v>286</v>
      </c>
      <c r="T303" s="189">
        <v>347</v>
      </c>
      <c r="U303" s="190">
        <v>7</v>
      </c>
      <c r="V303" s="190">
        <v>16</v>
      </c>
      <c r="W303" s="190">
        <v>314</v>
      </c>
      <c r="X303" s="191">
        <v>10</v>
      </c>
      <c r="Y303" s="189">
        <v>29889</v>
      </c>
      <c r="Z303" s="191">
        <v>3054</v>
      </c>
      <c r="AA303" s="189">
        <v>29711</v>
      </c>
      <c r="AB303" s="191">
        <v>3246</v>
      </c>
      <c r="AC303" s="189">
        <v>31643</v>
      </c>
      <c r="AD303" s="191">
        <v>3323</v>
      </c>
      <c r="AE303" s="189">
        <v>315</v>
      </c>
      <c r="AF303" s="190">
        <v>27</v>
      </c>
      <c r="AG303" s="191">
        <v>2284</v>
      </c>
      <c r="AH303" s="136">
        <v>-5.9553681956572655E-3</v>
      </c>
      <c r="AI303" s="33">
        <v>5.8683796714510357E-2</v>
      </c>
      <c r="AJ303" s="33">
        <v>6.5026421190804748E-2</v>
      </c>
      <c r="AK303" s="33">
        <v>6.2868369351669937E-2</v>
      </c>
      <c r="AL303" s="33">
        <v>8.8081204977079247E-2</v>
      </c>
      <c r="AM303" s="33">
        <v>2.3721503388786199E-2</v>
      </c>
      <c r="AN303" s="34">
        <v>10.960512642881884</v>
      </c>
      <c r="AO303" s="33">
        <v>1.1510218219605126</v>
      </c>
      <c r="AP303" s="33">
        <v>9.3522687911326632E-3</v>
      </c>
      <c r="AQ303" s="33">
        <v>0.79113266366470381</v>
      </c>
      <c r="AR303" s="33">
        <v>8.4073604060913701E-2</v>
      </c>
      <c r="AS303" s="136">
        <v>9.906477312088674E-2</v>
      </c>
      <c r="AT303" s="35">
        <v>-2.1129199861447869E-2</v>
      </c>
      <c r="AU303" s="30">
        <v>3190</v>
      </c>
      <c r="AV303" s="30">
        <v>3331</v>
      </c>
      <c r="AW303" s="31">
        <v>3417</v>
      </c>
      <c r="AX303" s="136">
        <v>4.4200626959247646E-2</v>
      </c>
      <c r="AY303" s="33">
        <v>7.1159874608150472E-2</v>
      </c>
      <c r="AZ303" s="35">
        <v>2.58180726508556E-2</v>
      </c>
      <c r="BA303" s="29">
        <v>11</v>
      </c>
      <c r="BB303" s="31">
        <v>12</v>
      </c>
      <c r="BC303" s="29">
        <v>3</v>
      </c>
      <c r="BD303" s="31">
        <v>2</v>
      </c>
      <c r="BE303" s="29">
        <v>22098</v>
      </c>
      <c r="BF303" s="30">
        <v>31643</v>
      </c>
      <c r="BG303" s="33">
        <v>0.69835350630471194</v>
      </c>
      <c r="BH303" s="30">
        <v>2519</v>
      </c>
      <c r="BI303" s="30">
        <v>3417</v>
      </c>
      <c r="BJ303" s="35">
        <v>0.73719637108574776</v>
      </c>
    </row>
    <row r="304" spans="1:62" x14ac:dyDescent="0.25">
      <c r="A304" s="8"/>
      <c r="B304" s="9" t="s">
        <v>137</v>
      </c>
      <c r="C304" s="9"/>
      <c r="D304" s="9"/>
      <c r="E304" s="10"/>
      <c r="F304" s="176">
        <v>2342</v>
      </c>
      <c r="G304" s="177">
        <v>1879</v>
      </c>
      <c r="H304" s="178">
        <v>0</v>
      </c>
      <c r="I304" s="178">
        <v>1879</v>
      </c>
      <c r="J304" s="179">
        <v>0</v>
      </c>
      <c r="K304" s="177">
        <v>0</v>
      </c>
      <c r="L304" s="178">
        <v>13</v>
      </c>
      <c r="M304" s="178">
        <v>59</v>
      </c>
      <c r="N304" s="178">
        <v>12</v>
      </c>
      <c r="O304" s="178">
        <v>16</v>
      </c>
      <c r="P304" s="178">
        <v>0</v>
      </c>
      <c r="Q304" s="178">
        <v>22</v>
      </c>
      <c r="R304" s="179">
        <v>341</v>
      </c>
      <c r="S304" s="176">
        <v>174</v>
      </c>
      <c r="T304" s="177">
        <v>66</v>
      </c>
      <c r="U304" s="178">
        <v>3</v>
      </c>
      <c r="V304" s="178">
        <v>11</v>
      </c>
      <c r="W304" s="178">
        <v>27</v>
      </c>
      <c r="X304" s="179">
        <v>25</v>
      </c>
      <c r="Y304" s="177">
        <v>8768</v>
      </c>
      <c r="Z304" s="179">
        <v>1658</v>
      </c>
      <c r="AA304" s="177">
        <v>8947</v>
      </c>
      <c r="AB304" s="179">
        <v>1689</v>
      </c>
      <c r="AC304" s="177">
        <v>7625</v>
      </c>
      <c r="AD304" s="179">
        <v>1588</v>
      </c>
      <c r="AE304" s="177">
        <v>753</v>
      </c>
      <c r="AF304" s="178">
        <v>255</v>
      </c>
      <c r="AG304" s="179">
        <v>825</v>
      </c>
      <c r="AH304" s="131">
        <v>2.0415145985401461E-2</v>
      </c>
      <c r="AI304" s="12">
        <v>-0.130360401459854</v>
      </c>
      <c r="AJ304" s="12">
        <v>-0.14775902537163296</v>
      </c>
      <c r="AK304" s="12">
        <v>1.8697225572979495E-2</v>
      </c>
      <c r="AL304" s="12">
        <v>-4.2219541616405308E-2</v>
      </c>
      <c r="AM304" s="12">
        <v>-5.9798697454114862E-2</v>
      </c>
      <c r="AN304" s="13">
        <v>4.0580095795635973</v>
      </c>
      <c r="AO304" s="12">
        <v>0.84513038850452371</v>
      </c>
      <c r="AP304" s="12">
        <v>0.13571048430015967</v>
      </c>
      <c r="AQ304" s="12">
        <v>0.43906333155934008</v>
      </c>
      <c r="AR304" s="12">
        <v>0.15360360360360362</v>
      </c>
      <c r="AS304" s="131">
        <v>9.2602448110697178E-2</v>
      </c>
      <c r="AT304" s="14">
        <v>5.747738158594997E-2</v>
      </c>
      <c r="AU304" s="9">
        <v>1117</v>
      </c>
      <c r="AV304" s="9">
        <v>1035</v>
      </c>
      <c r="AW304" s="10">
        <v>945</v>
      </c>
      <c r="AX304" s="131">
        <v>-7.3410922112802146E-2</v>
      </c>
      <c r="AY304" s="12">
        <v>-0.15398388540734109</v>
      </c>
      <c r="AZ304" s="14">
        <v>-8.6956521739130432E-2</v>
      </c>
      <c r="BA304" s="8">
        <v>13</v>
      </c>
      <c r="BB304" s="10">
        <v>12</v>
      </c>
      <c r="BC304" s="8">
        <v>3</v>
      </c>
      <c r="BD304" s="10">
        <v>3</v>
      </c>
      <c r="BE304" s="8">
        <v>6108</v>
      </c>
      <c r="BF304" s="9">
        <v>7625</v>
      </c>
      <c r="BG304" s="12">
        <v>0.80104918032786887</v>
      </c>
      <c r="BH304" s="9">
        <v>778</v>
      </c>
      <c r="BI304" s="9">
        <v>945</v>
      </c>
      <c r="BJ304" s="14">
        <v>0.82328042328042328</v>
      </c>
    </row>
    <row r="305" spans="1:62" x14ac:dyDescent="0.25">
      <c r="A305" s="15"/>
      <c r="B305" s="16"/>
      <c r="C305" s="16" t="s">
        <v>138</v>
      </c>
      <c r="D305" s="16"/>
      <c r="E305" s="17"/>
      <c r="F305" s="180">
        <v>1212</v>
      </c>
      <c r="G305" s="181">
        <v>984</v>
      </c>
      <c r="H305" s="182">
        <v>0</v>
      </c>
      <c r="I305" s="182">
        <v>984</v>
      </c>
      <c r="J305" s="183">
        <v>0</v>
      </c>
      <c r="K305" s="181">
        <v>0</v>
      </c>
      <c r="L305" s="182">
        <v>8</v>
      </c>
      <c r="M305" s="182">
        <v>42</v>
      </c>
      <c r="N305" s="182">
        <v>8</v>
      </c>
      <c r="O305" s="182">
        <v>2</v>
      </c>
      <c r="P305" s="182">
        <v>0</v>
      </c>
      <c r="Q305" s="182">
        <v>15</v>
      </c>
      <c r="R305" s="183">
        <v>153</v>
      </c>
      <c r="S305" s="180">
        <v>123</v>
      </c>
      <c r="T305" s="181">
        <v>40</v>
      </c>
      <c r="U305" s="182">
        <v>0</v>
      </c>
      <c r="V305" s="182">
        <v>9</v>
      </c>
      <c r="W305" s="182">
        <v>21</v>
      </c>
      <c r="X305" s="183">
        <v>10</v>
      </c>
      <c r="Y305" s="181">
        <v>4561</v>
      </c>
      <c r="Z305" s="183">
        <v>821</v>
      </c>
      <c r="AA305" s="181">
        <v>4693</v>
      </c>
      <c r="AB305" s="183">
        <v>902</v>
      </c>
      <c r="AC305" s="181">
        <v>4059</v>
      </c>
      <c r="AD305" s="183">
        <v>847</v>
      </c>
      <c r="AE305" s="181">
        <v>361</v>
      </c>
      <c r="AF305" s="182">
        <v>97</v>
      </c>
      <c r="AG305" s="183">
        <v>417</v>
      </c>
      <c r="AH305" s="133">
        <v>2.894102170576628E-2</v>
      </c>
      <c r="AI305" s="19">
        <v>-0.11006358254768692</v>
      </c>
      <c r="AJ305" s="19">
        <v>-0.1350948220754315</v>
      </c>
      <c r="AK305" s="19">
        <v>9.866017052375152E-2</v>
      </c>
      <c r="AL305" s="19">
        <v>3.1668696711327646E-2</v>
      </c>
      <c r="AM305" s="19">
        <v>-6.097560975609756E-2</v>
      </c>
      <c r="AN305" s="20">
        <v>4.125</v>
      </c>
      <c r="AO305" s="19">
        <v>0.86077235772357719</v>
      </c>
      <c r="AP305" s="19">
        <v>9.8577235772357719E-2</v>
      </c>
      <c r="AQ305" s="19">
        <v>0.42378048780487804</v>
      </c>
      <c r="AR305" s="19">
        <v>0.13456464379947231</v>
      </c>
      <c r="AS305" s="133">
        <v>0.125</v>
      </c>
      <c r="AT305" s="21">
        <v>8.434959349593496E-2</v>
      </c>
      <c r="AU305" s="16">
        <v>818</v>
      </c>
      <c r="AV305" s="16">
        <v>789</v>
      </c>
      <c r="AW305" s="17">
        <v>730</v>
      </c>
      <c r="AX305" s="133">
        <v>-3.5452322738386305E-2</v>
      </c>
      <c r="AY305" s="19">
        <v>-0.10757946210268948</v>
      </c>
      <c r="AZ305" s="21">
        <v>-7.477820025348543E-2</v>
      </c>
      <c r="BA305" s="15">
        <v>12</v>
      </c>
      <c r="BB305" s="17">
        <v>12</v>
      </c>
      <c r="BC305" s="15">
        <v>3</v>
      </c>
      <c r="BD305" s="17">
        <v>3</v>
      </c>
      <c r="BE305" s="15">
        <v>3295</v>
      </c>
      <c r="BF305" s="16">
        <v>4059</v>
      </c>
      <c r="BG305" s="19">
        <v>0.81177629958117759</v>
      </c>
      <c r="BH305" s="16">
        <v>612</v>
      </c>
      <c r="BI305" s="16">
        <v>730</v>
      </c>
      <c r="BJ305" s="21">
        <v>0.83835616438356164</v>
      </c>
    </row>
    <row r="306" spans="1:62" x14ac:dyDescent="0.25">
      <c r="A306" s="22"/>
      <c r="B306" s="23"/>
      <c r="C306" s="23"/>
      <c r="D306" s="23" t="s">
        <v>139</v>
      </c>
      <c r="E306" s="24"/>
      <c r="F306" s="184">
        <v>646</v>
      </c>
      <c r="G306" s="185">
        <v>481</v>
      </c>
      <c r="H306" s="186">
        <v>0</v>
      </c>
      <c r="I306" s="186">
        <v>481</v>
      </c>
      <c r="J306" s="187">
        <v>0</v>
      </c>
      <c r="K306" s="185">
        <v>0</v>
      </c>
      <c r="L306" s="186">
        <v>8</v>
      </c>
      <c r="M306" s="186">
        <v>18</v>
      </c>
      <c r="N306" s="186">
        <v>6</v>
      </c>
      <c r="O306" s="186">
        <v>0</v>
      </c>
      <c r="P306" s="186">
        <v>0</v>
      </c>
      <c r="Q306" s="186">
        <v>10</v>
      </c>
      <c r="R306" s="187">
        <v>123</v>
      </c>
      <c r="S306" s="184">
        <v>50</v>
      </c>
      <c r="T306" s="185">
        <v>20</v>
      </c>
      <c r="U306" s="186">
        <v>0</v>
      </c>
      <c r="V306" s="186">
        <v>6</v>
      </c>
      <c r="W306" s="186">
        <v>10</v>
      </c>
      <c r="X306" s="187">
        <v>4</v>
      </c>
      <c r="Y306" s="185">
        <v>2666</v>
      </c>
      <c r="Z306" s="187">
        <v>432</v>
      </c>
      <c r="AA306" s="185">
        <v>2733</v>
      </c>
      <c r="AB306" s="187">
        <v>469</v>
      </c>
      <c r="AC306" s="185">
        <v>2369</v>
      </c>
      <c r="AD306" s="187">
        <v>431</v>
      </c>
      <c r="AE306" s="185">
        <v>209</v>
      </c>
      <c r="AF306" s="186">
        <v>72</v>
      </c>
      <c r="AG306" s="187">
        <v>279</v>
      </c>
      <c r="AH306" s="135">
        <v>2.5131282820705175E-2</v>
      </c>
      <c r="AI306" s="26">
        <v>-0.11140285071267816</v>
      </c>
      <c r="AJ306" s="26">
        <v>-0.13318697402122209</v>
      </c>
      <c r="AK306" s="26">
        <v>8.5648148148148154E-2</v>
      </c>
      <c r="AL306" s="26">
        <v>-2.3148148148148147E-3</v>
      </c>
      <c r="AM306" s="26">
        <v>-8.1023454157782518E-2</v>
      </c>
      <c r="AN306" s="27">
        <v>4.9251559251559254</v>
      </c>
      <c r="AO306" s="26">
        <v>0.89604989604989604</v>
      </c>
      <c r="AP306" s="26">
        <v>0.1496881496881497</v>
      </c>
      <c r="AQ306" s="26">
        <v>0.58004158004158002</v>
      </c>
      <c r="AR306" s="26">
        <v>0.20364238410596028</v>
      </c>
      <c r="AS306" s="135">
        <v>0.10395010395010396</v>
      </c>
      <c r="AT306" s="28">
        <v>6.2370062370062374E-2</v>
      </c>
      <c r="AU306" s="23">
        <v>685</v>
      </c>
      <c r="AV306" s="23">
        <v>671</v>
      </c>
      <c r="AW306" s="24">
        <v>612</v>
      </c>
      <c r="AX306" s="135">
        <v>-2.0437956204379562E-2</v>
      </c>
      <c r="AY306" s="26">
        <v>-0.10656934306569343</v>
      </c>
      <c r="AZ306" s="28">
        <v>-8.792846497764531E-2</v>
      </c>
      <c r="BA306" s="22">
        <v>12</v>
      </c>
      <c r="BB306" s="24">
        <v>12</v>
      </c>
      <c r="BC306" s="22">
        <v>3</v>
      </c>
      <c r="BD306" s="24">
        <v>3</v>
      </c>
      <c r="BE306" s="22">
        <v>1952</v>
      </c>
      <c r="BF306" s="23">
        <v>2369</v>
      </c>
      <c r="BG306" s="26">
        <v>0.82397636133389618</v>
      </c>
      <c r="BH306" s="23">
        <v>509</v>
      </c>
      <c r="BI306" s="23">
        <v>612</v>
      </c>
      <c r="BJ306" s="28">
        <v>0.8316993464052288</v>
      </c>
    </row>
    <row r="307" spans="1:62" x14ac:dyDescent="0.25">
      <c r="A307" s="29"/>
      <c r="B307" s="30"/>
      <c r="C307" s="30"/>
      <c r="D307" s="30"/>
      <c r="E307" s="31" t="s">
        <v>97</v>
      </c>
      <c r="F307" s="188">
        <v>646</v>
      </c>
      <c r="G307" s="189">
        <v>481</v>
      </c>
      <c r="H307" s="190">
        <v>0</v>
      </c>
      <c r="I307" s="190">
        <v>481</v>
      </c>
      <c r="J307" s="191">
        <v>0</v>
      </c>
      <c r="K307" s="189">
        <v>0</v>
      </c>
      <c r="L307" s="190">
        <v>8</v>
      </c>
      <c r="M307" s="190">
        <v>18</v>
      </c>
      <c r="N307" s="190">
        <v>6</v>
      </c>
      <c r="O307" s="190">
        <v>0</v>
      </c>
      <c r="P307" s="190">
        <v>0</v>
      </c>
      <c r="Q307" s="190">
        <v>10</v>
      </c>
      <c r="R307" s="191">
        <v>123</v>
      </c>
      <c r="S307" s="188">
        <v>50</v>
      </c>
      <c r="T307" s="189">
        <v>20</v>
      </c>
      <c r="U307" s="190">
        <v>0</v>
      </c>
      <c r="V307" s="190">
        <v>6</v>
      </c>
      <c r="W307" s="190">
        <v>10</v>
      </c>
      <c r="X307" s="191">
        <v>4</v>
      </c>
      <c r="Y307" s="189">
        <v>2666</v>
      </c>
      <c r="Z307" s="191">
        <v>432</v>
      </c>
      <c r="AA307" s="189">
        <v>2733</v>
      </c>
      <c r="AB307" s="191">
        <v>469</v>
      </c>
      <c r="AC307" s="189">
        <v>2369</v>
      </c>
      <c r="AD307" s="191">
        <v>431</v>
      </c>
      <c r="AE307" s="189">
        <v>209</v>
      </c>
      <c r="AF307" s="190">
        <v>72</v>
      </c>
      <c r="AG307" s="191">
        <v>279</v>
      </c>
      <c r="AH307" s="136">
        <v>2.5131282820705175E-2</v>
      </c>
      <c r="AI307" s="33">
        <v>-0.11140285071267816</v>
      </c>
      <c r="AJ307" s="33">
        <v>-0.13318697402122209</v>
      </c>
      <c r="AK307" s="33">
        <v>8.5648148148148154E-2</v>
      </c>
      <c r="AL307" s="33">
        <v>-2.3148148148148147E-3</v>
      </c>
      <c r="AM307" s="33">
        <v>-8.1023454157782518E-2</v>
      </c>
      <c r="AN307" s="34">
        <v>4.9251559251559254</v>
      </c>
      <c r="AO307" s="33">
        <v>0.89604989604989604</v>
      </c>
      <c r="AP307" s="33">
        <v>0.1496881496881497</v>
      </c>
      <c r="AQ307" s="33">
        <v>0.58004158004158002</v>
      </c>
      <c r="AR307" s="33">
        <v>0.20364238410596028</v>
      </c>
      <c r="AS307" s="136">
        <v>0.10395010395010396</v>
      </c>
      <c r="AT307" s="35">
        <v>6.2370062370062374E-2</v>
      </c>
      <c r="AU307" s="30">
        <v>685</v>
      </c>
      <c r="AV307" s="30">
        <v>671</v>
      </c>
      <c r="AW307" s="31">
        <v>612</v>
      </c>
      <c r="AX307" s="136">
        <v>-2.0437956204379562E-2</v>
      </c>
      <c r="AY307" s="33">
        <v>-0.10656934306569343</v>
      </c>
      <c r="AZ307" s="35">
        <v>-8.792846497764531E-2</v>
      </c>
      <c r="BA307" s="29">
        <v>12</v>
      </c>
      <c r="BB307" s="31">
        <v>12</v>
      </c>
      <c r="BC307" s="29">
        <v>3</v>
      </c>
      <c r="BD307" s="31">
        <v>3</v>
      </c>
      <c r="BE307" s="29">
        <v>1952</v>
      </c>
      <c r="BF307" s="30">
        <v>2369</v>
      </c>
      <c r="BG307" s="33">
        <v>0.82397636133389618</v>
      </c>
      <c r="BH307" s="30">
        <v>510</v>
      </c>
      <c r="BI307" s="30">
        <v>612</v>
      </c>
      <c r="BJ307" s="35">
        <v>0.83333333333333337</v>
      </c>
    </row>
    <row r="308" spans="1:62" x14ac:dyDescent="0.25">
      <c r="A308" s="22"/>
      <c r="B308" s="23"/>
      <c r="C308" s="23"/>
      <c r="D308" s="23" t="s">
        <v>75</v>
      </c>
      <c r="E308" s="24"/>
      <c r="F308" s="184">
        <v>112</v>
      </c>
      <c r="G308" s="185">
        <v>105</v>
      </c>
      <c r="H308" s="186">
        <v>0</v>
      </c>
      <c r="I308" s="186">
        <v>105</v>
      </c>
      <c r="J308" s="187">
        <v>0</v>
      </c>
      <c r="K308" s="185">
        <v>0</v>
      </c>
      <c r="L308" s="186">
        <v>0</v>
      </c>
      <c r="M308" s="186">
        <v>2</v>
      </c>
      <c r="N308" s="186">
        <v>0</v>
      </c>
      <c r="O308" s="186">
        <v>0</v>
      </c>
      <c r="P308" s="186">
        <v>0</v>
      </c>
      <c r="Q308" s="186">
        <v>0</v>
      </c>
      <c r="R308" s="187">
        <v>5</v>
      </c>
      <c r="S308" s="184">
        <v>14</v>
      </c>
      <c r="T308" s="185">
        <v>1</v>
      </c>
      <c r="U308" s="186">
        <v>0</v>
      </c>
      <c r="V308" s="186">
        <v>0</v>
      </c>
      <c r="W308" s="186">
        <v>1</v>
      </c>
      <c r="X308" s="187">
        <v>0</v>
      </c>
      <c r="Y308" s="185">
        <v>251</v>
      </c>
      <c r="Z308" s="187">
        <v>78</v>
      </c>
      <c r="AA308" s="185">
        <v>214</v>
      </c>
      <c r="AB308" s="187">
        <v>79</v>
      </c>
      <c r="AC308" s="185">
        <v>164</v>
      </c>
      <c r="AD308" s="187">
        <v>60</v>
      </c>
      <c r="AE308" s="185">
        <v>52</v>
      </c>
      <c r="AF308" s="186">
        <v>9</v>
      </c>
      <c r="AG308" s="187">
        <v>14</v>
      </c>
      <c r="AH308" s="135">
        <v>-0.14741035856573706</v>
      </c>
      <c r="AI308" s="26">
        <v>-0.34661354581673309</v>
      </c>
      <c r="AJ308" s="26">
        <v>-0.23364485981308411</v>
      </c>
      <c r="AK308" s="26">
        <v>1.282051282051282E-2</v>
      </c>
      <c r="AL308" s="26">
        <v>-0.23076923076923078</v>
      </c>
      <c r="AM308" s="26">
        <v>-0.24050632911392406</v>
      </c>
      <c r="AN308" s="27">
        <v>1.5619047619047619</v>
      </c>
      <c r="AO308" s="26">
        <v>0.5714285714285714</v>
      </c>
      <c r="AP308" s="26">
        <v>8.5714285714285715E-2</v>
      </c>
      <c r="AQ308" s="26">
        <v>0.13333333333333333</v>
      </c>
      <c r="AR308" s="26">
        <v>4.5454545454545456E-2</v>
      </c>
      <c r="AS308" s="135">
        <v>0.13333333333333333</v>
      </c>
      <c r="AT308" s="28">
        <v>0.12380952380952381</v>
      </c>
      <c r="AU308" s="23">
        <v>100</v>
      </c>
      <c r="AV308" s="23">
        <v>68</v>
      </c>
      <c r="AW308" s="24">
        <v>71</v>
      </c>
      <c r="AX308" s="135">
        <v>-0.32</v>
      </c>
      <c r="AY308" s="26">
        <v>-0.28999999999999998</v>
      </c>
      <c r="AZ308" s="28">
        <v>4.4117647058823532E-2</v>
      </c>
      <c r="BA308" s="22">
        <v>35</v>
      </c>
      <c r="BB308" s="24">
        <v>23</v>
      </c>
      <c r="BC308" s="22">
        <v>4</v>
      </c>
      <c r="BD308" s="24">
        <v>3</v>
      </c>
      <c r="BE308" s="22">
        <v>100</v>
      </c>
      <c r="BF308" s="23">
        <v>164</v>
      </c>
      <c r="BG308" s="26">
        <v>0.6097560975609756</v>
      </c>
      <c r="BH308" s="23">
        <v>49</v>
      </c>
      <c r="BI308" s="23">
        <v>71</v>
      </c>
      <c r="BJ308" s="28">
        <v>0.6901408450704225</v>
      </c>
    </row>
    <row r="309" spans="1:62" x14ac:dyDescent="0.25">
      <c r="A309" s="29"/>
      <c r="B309" s="30"/>
      <c r="C309" s="30"/>
      <c r="D309" s="30"/>
      <c r="E309" s="31" t="s">
        <v>97</v>
      </c>
      <c r="F309" s="188">
        <v>112</v>
      </c>
      <c r="G309" s="189">
        <v>105</v>
      </c>
      <c r="H309" s="190">
        <v>0</v>
      </c>
      <c r="I309" s="190">
        <v>105</v>
      </c>
      <c r="J309" s="191">
        <v>0</v>
      </c>
      <c r="K309" s="189">
        <v>0</v>
      </c>
      <c r="L309" s="190">
        <v>0</v>
      </c>
      <c r="M309" s="190">
        <v>2</v>
      </c>
      <c r="N309" s="190">
        <v>0</v>
      </c>
      <c r="O309" s="190">
        <v>0</v>
      </c>
      <c r="P309" s="190">
        <v>0</v>
      </c>
      <c r="Q309" s="190">
        <v>0</v>
      </c>
      <c r="R309" s="191">
        <v>5</v>
      </c>
      <c r="S309" s="188">
        <v>14</v>
      </c>
      <c r="T309" s="189">
        <v>1</v>
      </c>
      <c r="U309" s="190">
        <v>0</v>
      </c>
      <c r="V309" s="190">
        <v>0</v>
      </c>
      <c r="W309" s="190">
        <v>1</v>
      </c>
      <c r="X309" s="191">
        <v>0</v>
      </c>
      <c r="Y309" s="189">
        <v>251</v>
      </c>
      <c r="Z309" s="191">
        <v>78</v>
      </c>
      <c r="AA309" s="189">
        <v>214</v>
      </c>
      <c r="AB309" s="191">
        <v>79</v>
      </c>
      <c r="AC309" s="189">
        <v>164</v>
      </c>
      <c r="AD309" s="191">
        <v>60</v>
      </c>
      <c r="AE309" s="189">
        <v>52</v>
      </c>
      <c r="AF309" s="190">
        <v>9</v>
      </c>
      <c r="AG309" s="191">
        <v>14</v>
      </c>
      <c r="AH309" s="136">
        <v>-0.14741035856573706</v>
      </c>
      <c r="AI309" s="33">
        <v>-0.34661354581673309</v>
      </c>
      <c r="AJ309" s="33">
        <v>-0.23364485981308411</v>
      </c>
      <c r="AK309" s="33">
        <v>1.282051282051282E-2</v>
      </c>
      <c r="AL309" s="33">
        <v>-0.23076923076923078</v>
      </c>
      <c r="AM309" s="33">
        <v>-0.24050632911392406</v>
      </c>
      <c r="AN309" s="34">
        <v>1.5619047619047619</v>
      </c>
      <c r="AO309" s="33">
        <v>0.5714285714285714</v>
      </c>
      <c r="AP309" s="33">
        <v>8.5714285714285715E-2</v>
      </c>
      <c r="AQ309" s="33">
        <v>0.13333333333333333</v>
      </c>
      <c r="AR309" s="33">
        <v>4.5454545454545456E-2</v>
      </c>
      <c r="AS309" s="136">
        <v>0.13333333333333333</v>
      </c>
      <c r="AT309" s="35">
        <v>0.12380952380952381</v>
      </c>
      <c r="AU309" s="30">
        <v>100</v>
      </c>
      <c r="AV309" s="30">
        <v>68</v>
      </c>
      <c r="AW309" s="31">
        <v>71</v>
      </c>
      <c r="AX309" s="136">
        <v>-0.32</v>
      </c>
      <c r="AY309" s="33">
        <v>-0.28999999999999998</v>
      </c>
      <c r="AZ309" s="35">
        <v>4.4117647058823532E-2</v>
      </c>
      <c r="BA309" s="29">
        <v>35</v>
      </c>
      <c r="BB309" s="31">
        <v>23</v>
      </c>
      <c r="BC309" s="29">
        <v>4</v>
      </c>
      <c r="BD309" s="31">
        <v>3</v>
      </c>
      <c r="BE309" s="29">
        <v>100</v>
      </c>
      <c r="BF309" s="30">
        <v>164</v>
      </c>
      <c r="BG309" s="33">
        <v>0.6097560975609756</v>
      </c>
      <c r="BH309" s="30">
        <v>49</v>
      </c>
      <c r="BI309" s="30">
        <v>71</v>
      </c>
      <c r="BJ309" s="35">
        <v>0.6901408450704225</v>
      </c>
    </row>
    <row r="310" spans="1:62" x14ac:dyDescent="0.25">
      <c r="A310" s="22"/>
      <c r="B310" s="23"/>
      <c r="C310" s="23"/>
      <c r="D310" s="23" t="s">
        <v>140</v>
      </c>
      <c r="E310" s="24"/>
      <c r="F310" s="184">
        <v>454</v>
      </c>
      <c r="G310" s="185">
        <v>398</v>
      </c>
      <c r="H310" s="186">
        <v>0</v>
      </c>
      <c r="I310" s="186">
        <v>398</v>
      </c>
      <c r="J310" s="187">
        <v>0</v>
      </c>
      <c r="K310" s="185">
        <v>0</v>
      </c>
      <c r="L310" s="186">
        <v>0</v>
      </c>
      <c r="M310" s="186">
        <v>22</v>
      </c>
      <c r="N310" s="186">
        <v>2</v>
      </c>
      <c r="O310" s="186">
        <v>2</v>
      </c>
      <c r="P310" s="186">
        <v>0</v>
      </c>
      <c r="Q310" s="186">
        <v>5</v>
      </c>
      <c r="R310" s="187">
        <v>25</v>
      </c>
      <c r="S310" s="184">
        <v>59</v>
      </c>
      <c r="T310" s="185">
        <v>19</v>
      </c>
      <c r="U310" s="186">
        <v>0</v>
      </c>
      <c r="V310" s="186">
        <v>3</v>
      </c>
      <c r="W310" s="186">
        <v>10</v>
      </c>
      <c r="X310" s="187">
        <v>6</v>
      </c>
      <c r="Y310" s="185">
        <v>1644</v>
      </c>
      <c r="Z310" s="187">
        <v>311</v>
      </c>
      <c r="AA310" s="185">
        <v>1746</v>
      </c>
      <c r="AB310" s="187">
        <v>354</v>
      </c>
      <c r="AC310" s="185">
        <v>1526</v>
      </c>
      <c r="AD310" s="187">
        <v>356</v>
      </c>
      <c r="AE310" s="185">
        <v>100</v>
      </c>
      <c r="AF310" s="186">
        <v>16</v>
      </c>
      <c r="AG310" s="187">
        <v>124</v>
      </c>
      <c r="AH310" s="135">
        <v>6.2043795620437957E-2</v>
      </c>
      <c r="AI310" s="26">
        <v>-7.1776155717761553E-2</v>
      </c>
      <c r="AJ310" s="26">
        <v>-0.12600229095074456</v>
      </c>
      <c r="AK310" s="26">
        <v>0.13826366559485531</v>
      </c>
      <c r="AL310" s="26">
        <v>0.14469453376205788</v>
      </c>
      <c r="AM310" s="26">
        <v>5.6497175141242938E-3</v>
      </c>
      <c r="AN310" s="27">
        <v>3.8341708542713566</v>
      </c>
      <c r="AO310" s="26">
        <v>0.89447236180904521</v>
      </c>
      <c r="AP310" s="26">
        <v>4.0201005025125629E-2</v>
      </c>
      <c r="AQ310" s="26">
        <v>0.31155778894472363</v>
      </c>
      <c r="AR310" s="26">
        <v>5.9101654846335699E-2</v>
      </c>
      <c r="AS310" s="135">
        <v>0.14824120603015076</v>
      </c>
      <c r="AT310" s="28">
        <v>0.10050251256281408</v>
      </c>
      <c r="AU310" s="23">
        <v>487</v>
      </c>
      <c r="AV310" s="23">
        <v>498</v>
      </c>
      <c r="AW310" s="24">
        <v>437</v>
      </c>
      <c r="AX310" s="135">
        <v>2.2587268993839837E-2</v>
      </c>
      <c r="AY310" s="26">
        <v>-0.10266940451745379</v>
      </c>
      <c r="AZ310" s="28">
        <v>-0.12248995983935743</v>
      </c>
      <c r="BA310" s="22">
        <v>12</v>
      </c>
      <c r="BB310" s="24">
        <v>11</v>
      </c>
      <c r="BC310" s="22">
        <v>3</v>
      </c>
      <c r="BD310" s="24">
        <v>2</v>
      </c>
      <c r="BE310" s="22">
        <v>1243</v>
      </c>
      <c r="BF310" s="23">
        <v>1526</v>
      </c>
      <c r="BG310" s="26">
        <v>0.81454783748361725</v>
      </c>
      <c r="BH310" s="23">
        <v>366</v>
      </c>
      <c r="BI310" s="23">
        <v>437</v>
      </c>
      <c r="BJ310" s="28">
        <v>0.8375286041189931</v>
      </c>
    </row>
    <row r="311" spans="1:62" x14ac:dyDescent="0.25">
      <c r="A311" s="29"/>
      <c r="B311" s="30"/>
      <c r="C311" s="30"/>
      <c r="D311" s="30"/>
      <c r="E311" s="31" t="s">
        <v>97</v>
      </c>
      <c r="F311" s="188">
        <v>453</v>
      </c>
      <c r="G311" s="189">
        <v>397</v>
      </c>
      <c r="H311" s="190">
        <v>0</v>
      </c>
      <c r="I311" s="190">
        <v>397</v>
      </c>
      <c r="J311" s="191">
        <v>0</v>
      </c>
      <c r="K311" s="189">
        <v>0</v>
      </c>
      <c r="L311" s="190">
        <v>0</v>
      </c>
      <c r="M311" s="190">
        <v>22</v>
      </c>
      <c r="N311" s="190">
        <v>2</v>
      </c>
      <c r="O311" s="190">
        <v>2</v>
      </c>
      <c r="P311" s="190">
        <v>0</v>
      </c>
      <c r="Q311" s="190">
        <v>5</v>
      </c>
      <c r="R311" s="191">
        <v>25</v>
      </c>
      <c r="S311" s="188">
        <v>58</v>
      </c>
      <c r="T311" s="189">
        <v>19</v>
      </c>
      <c r="U311" s="190">
        <v>0</v>
      </c>
      <c r="V311" s="190">
        <v>3</v>
      </c>
      <c r="W311" s="190">
        <v>10</v>
      </c>
      <c r="X311" s="191">
        <v>6</v>
      </c>
      <c r="Y311" s="189">
        <v>1644</v>
      </c>
      <c r="Z311" s="191">
        <v>311</v>
      </c>
      <c r="AA311" s="189">
        <v>1746</v>
      </c>
      <c r="AB311" s="191">
        <v>354</v>
      </c>
      <c r="AC311" s="189">
        <v>1521</v>
      </c>
      <c r="AD311" s="191">
        <v>355</v>
      </c>
      <c r="AE311" s="189">
        <v>100</v>
      </c>
      <c r="AF311" s="190">
        <v>16</v>
      </c>
      <c r="AG311" s="191">
        <v>124</v>
      </c>
      <c r="AH311" s="136">
        <v>6.2043795620437957E-2</v>
      </c>
      <c r="AI311" s="33">
        <v>-7.4817518248175188E-2</v>
      </c>
      <c r="AJ311" s="33">
        <v>-0.12886597938144329</v>
      </c>
      <c r="AK311" s="33">
        <v>0.13826366559485531</v>
      </c>
      <c r="AL311" s="33">
        <v>0.14147909967845659</v>
      </c>
      <c r="AM311" s="33">
        <v>2.8248587570621469E-3</v>
      </c>
      <c r="AN311" s="34">
        <v>3.831234256926952</v>
      </c>
      <c r="AO311" s="33">
        <v>0.89420654911838793</v>
      </c>
      <c r="AP311" s="33">
        <v>4.0302267002518891E-2</v>
      </c>
      <c r="AQ311" s="33">
        <v>0.31234256926952142</v>
      </c>
      <c r="AR311" s="33">
        <v>5.9241706161137442E-2</v>
      </c>
      <c r="AS311" s="136">
        <v>0.14609571788413098</v>
      </c>
      <c r="AT311" s="35">
        <v>9.8236775818639793E-2</v>
      </c>
      <c r="AU311" s="30">
        <v>487</v>
      </c>
      <c r="AV311" s="30">
        <v>498</v>
      </c>
      <c r="AW311" s="31">
        <v>434</v>
      </c>
      <c r="AX311" s="136">
        <v>2.2587268993839837E-2</v>
      </c>
      <c r="AY311" s="33">
        <v>-0.10882956878850103</v>
      </c>
      <c r="AZ311" s="35">
        <v>-0.12851405622489959</v>
      </c>
      <c r="BA311" s="29">
        <v>12</v>
      </c>
      <c r="BB311" s="31">
        <v>11</v>
      </c>
      <c r="BC311" s="29">
        <v>3</v>
      </c>
      <c r="BD311" s="31">
        <v>2</v>
      </c>
      <c r="BE311" s="29">
        <v>1238</v>
      </c>
      <c r="BF311" s="30">
        <v>1521</v>
      </c>
      <c r="BG311" s="33">
        <v>0.81393819855358318</v>
      </c>
      <c r="BH311" s="30">
        <v>364</v>
      </c>
      <c r="BI311" s="30">
        <v>434</v>
      </c>
      <c r="BJ311" s="35">
        <v>0.83870967741935487</v>
      </c>
    </row>
    <row r="312" spans="1:62" x14ac:dyDescent="0.25">
      <c r="A312" s="15"/>
      <c r="B312" s="16"/>
      <c r="C312" s="16" t="s">
        <v>80</v>
      </c>
      <c r="D312" s="16"/>
      <c r="E312" s="17"/>
      <c r="F312" s="180">
        <v>379</v>
      </c>
      <c r="G312" s="181">
        <v>357</v>
      </c>
      <c r="H312" s="182">
        <v>0</v>
      </c>
      <c r="I312" s="182">
        <v>357</v>
      </c>
      <c r="J312" s="183">
        <v>0</v>
      </c>
      <c r="K312" s="181">
        <v>0</v>
      </c>
      <c r="L312" s="182">
        <v>1</v>
      </c>
      <c r="M312" s="182">
        <v>5</v>
      </c>
      <c r="N312" s="182">
        <v>0</v>
      </c>
      <c r="O312" s="182">
        <v>5</v>
      </c>
      <c r="P312" s="182">
        <v>0</v>
      </c>
      <c r="Q312" s="182">
        <v>0</v>
      </c>
      <c r="R312" s="183">
        <v>11</v>
      </c>
      <c r="S312" s="180">
        <v>15</v>
      </c>
      <c r="T312" s="181">
        <v>11</v>
      </c>
      <c r="U312" s="182">
        <v>0</v>
      </c>
      <c r="V312" s="182">
        <v>0</v>
      </c>
      <c r="W312" s="182">
        <v>3</v>
      </c>
      <c r="X312" s="183">
        <v>8</v>
      </c>
      <c r="Y312" s="181">
        <v>719</v>
      </c>
      <c r="Z312" s="183">
        <v>264</v>
      </c>
      <c r="AA312" s="181">
        <v>743</v>
      </c>
      <c r="AB312" s="183">
        <v>258</v>
      </c>
      <c r="AC312" s="181">
        <v>522</v>
      </c>
      <c r="AD312" s="183">
        <v>216</v>
      </c>
      <c r="AE312" s="181">
        <v>161</v>
      </c>
      <c r="AF312" s="182">
        <v>43</v>
      </c>
      <c r="AG312" s="183">
        <v>49</v>
      </c>
      <c r="AH312" s="133">
        <v>3.3379694019471488E-2</v>
      </c>
      <c r="AI312" s="19">
        <v>-0.27399165507649514</v>
      </c>
      <c r="AJ312" s="19">
        <v>-0.29744279946164198</v>
      </c>
      <c r="AK312" s="19">
        <v>-2.2727272727272728E-2</v>
      </c>
      <c r="AL312" s="19">
        <v>-0.18181818181818182</v>
      </c>
      <c r="AM312" s="19">
        <v>-0.16279069767441862</v>
      </c>
      <c r="AN312" s="20">
        <v>1.4621848739495797</v>
      </c>
      <c r="AO312" s="19">
        <v>0.60504201680672265</v>
      </c>
      <c r="AP312" s="19">
        <v>0.12044817927170869</v>
      </c>
      <c r="AQ312" s="19">
        <v>0.13725490196078433</v>
      </c>
      <c r="AR312" s="19">
        <v>2.9891304347826088E-2</v>
      </c>
      <c r="AS312" s="133">
        <v>4.2016806722689079E-2</v>
      </c>
      <c r="AT312" s="21">
        <v>1.1204481792717087E-2</v>
      </c>
      <c r="AU312" s="16">
        <v>233</v>
      </c>
      <c r="AV312" s="16">
        <v>268</v>
      </c>
      <c r="AW312" s="17">
        <v>230</v>
      </c>
      <c r="AX312" s="133">
        <v>0.15021459227467812</v>
      </c>
      <c r="AY312" s="19">
        <v>-1.2875536480686695E-2</v>
      </c>
      <c r="AZ312" s="21">
        <v>-0.1417910447761194</v>
      </c>
      <c r="BA312" s="15">
        <v>10</v>
      </c>
      <c r="BB312" s="17">
        <v>11</v>
      </c>
      <c r="BC312" s="15">
        <v>3</v>
      </c>
      <c r="BD312" s="17">
        <v>3</v>
      </c>
      <c r="BE312" s="15">
        <v>421</v>
      </c>
      <c r="BF312" s="16">
        <v>522</v>
      </c>
      <c r="BG312" s="19">
        <v>0.80651340996168586</v>
      </c>
      <c r="BH312" s="16">
        <v>185</v>
      </c>
      <c r="BI312" s="16">
        <v>230</v>
      </c>
      <c r="BJ312" s="21">
        <v>0.80434782608695654</v>
      </c>
    </row>
    <row r="313" spans="1:62" x14ac:dyDescent="0.25">
      <c r="A313" s="29"/>
      <c r="B313" s="30"/>
      <c r="C313" s="30"/>
      <c r="D313" s="30"/>
      <c r="E313" s="31" t="s">
        <v>97</v>
      </c>
      <c r="F313" s="188">
        <v>379</v>
      </c>
      <c r="G313" s="189">
        <v>357</v>
      </c>
      <c r="H313" s="190">
        <v>0</v>
      </c>
      <c r="I313" s="190">
        <v>357</v>
      </c>
      <c r="J313" s="191">
        <v>0</v>
      </c>
      <c r="K313" s="189">
        <v>0</v>
      </c>
      <c r="L313" s="190">
        <v>1</v>
      </c>
      <c r="M313" s="190">
        <v>5</v>
      </c>
      <c r="N313" s="190">
        <v>0</v>
      </c>
      <c r="O313" s="190">
        <v>5</v>
      </c>
      <c r="P313" s="190">
        <v>0</v>
      </c>
      <c r="Q313" s="190">
        <v>0</v>
      </c>
      <c r="R313" s="191">
        <v>11</v>
      </c>
      <c r="S313" s="188">
        <v>15</v>
      </c>
      <c r="T313" s="189">
        <v>11</v>
      </c>
      <c r="U313" s="190">
        <v>0</v>
      </c>
      <c r="V313" s="190">
        <v>0</v>
      </c>
      <c r="W313" s="190">
        <v>3</v>
      </c>
      <c r="X313" s="191">
        <v>8</v>
      </c>
      <c r="Y313" s="189">
        <v>719</v>
      </c>
      <c r="Z313" s="191">
        <v>264</v>
      </c>
      <c r="AA313" s="189">
        <v>743</v>
      </c>
      <c r="AB313" s="191">
        <v>258</v>
      </c>
      <c r="AC313" s="189">
        <v>522</v>
      </c>
      <c r="AD313" s="191">
        <v>216</v>
      </c>
      <c r="AE313" s="189">
        <v>161</v>
      </c>
      <c r="AF313" s="190">
        <v>43</v>
      </c>
      <c r="AG313" s="191">
        <v>49</v>
      </c>
      <c r="AH313" s="136">
        <v>3.3379694019471488E-2</v>
      </c>
      <c r="AI313" s="33">
        <v>-0.27399165507649514</v>
      </c>
      <c r="AJ313" s="33">
        <v>-0.29744279946164198</v>
      </c>
      <c r="AK313" s="33">
        <v>-2.2727272727272728E-2</v>
      </c>
      <c r="AL313" s="33">
        <v>-0.18181818181818182</v>
      </c>
      <c r="AM313" s="33">
        <v>-0.16279069767441862</v>
      </c>
      <c r="AN313" s="34">
        <v>1.4621848739495797</v>
      </c>
      <c r="AO313" s="33">
        <v>0.60504201680672265</v>
      </c>
      <c r="AP313" s="33">
        <v>0.12044817927170869</v>
      </c>
      <c r="AQ313" s="33">
        <v>0.13725490196078433</v>
      </c>
      <c r="AR313" s="33">
        <v>2.9891304347826088E-2</v>
      </c>
      <c r="AS313" s="136">
        <v>4.2016806722689079E-2</v>
      </c>
      <c r="AT313" s="35">
        <v>1.1204481792717087E-2</v>
      </c>
      <c r="AU313" s="30">
        <v>233</v>
      </c>
      <c r="AV313" s="30">
        <v>268</v>
      </c>
      <c r="AW313" s="31">
        <v>230</v>
      </c>
      <c r="AX313" s="136">
        <v>0.15021459227467812</v>
      </c>
      <c r="AY313" s="33">
        <v>-1.2875536480686695E-2</v>
      </c>
      <c r="AZ313" s="35">
        <v>-0.1417910447761194</v>
      </c>
      <c r="BA313" s="29">
        <v>10</v>
      </c>
      <c r="BB313" s="31">
        <v>11</v>
      </c>
      <c r="BC313" s="29">
        <v>3</v>
      </c>
      <c r="BD313" s="31">
        <v>3</v>
      </c>
      <c r="BE313" s="29">
        <v>421</v>
      </c>
      <c r="BF313" s="30">
        <v>522</v>
      </c>
      <c r="BG313" s="33">
        <v>0.80651340996168586</v>
      </c>
      <c r="BH313" s="30">
        <v>185</v>
      </c>
      <c r="BI313" s="30">
        <v>230</v>
      </c>
      <c r="BJ313" s="35">
        <v>0.80434782608695654</v>
      </c>
    </row>
    <row r="314" spans="1:62" x14ac:dyDescent="0.25">
      <c r="A314" s="15"/>
      <c r="B314" s="16"/>
      <c r="C314" s="16" t="s">
        <v>141</v>
      </c>
      <c r="D314" s="16"/>
      <c r="E314" s="17"/>
      <c r="F314" s="180">
        <v>680</v>
      </c>
      <c r="G314" s="181">
        <v>470</v>
      </c>
      <c r="H314" s="182">
        <v>0</v>
      </c>
      <c r="I314" s="182">
        <v>470</v>
      </c>
      <c r="J314" s="183">
        <v>0</v>
      </c>
      <c r="K314" s="181">
        <v>0</v>
      </c>
      <c r="L314" s="182">
        <v>4</v>
      </c>
      <c r="M314" s="182">
        <v>11</v>
      </c>
      <c r="N314" s="182">
        <v>4</v>
      </c>
      <c r="O314" s="182">
        <v>8</v>
      </c>
      <c r="P314" s="182">
        <v>0</v>
      </c>
      <c r="Q314" s="182">
        <v>7</v>
      </c>
      <c r="R314" s="183">
        <v>176</v>
      </c>
      <c r="S314" s="180">
        <v>28</v>
      </c>
      <c r="T314" s="181">
        <v>15</v>
      </c>
      <c r="U314" s="182">
        <v>3</v>
      </c>
      <c r="V314" s="182">
        <v>2</v>
      </c>
      <c r="W314" s="182">
        <v>3</v>
      </c>
      <c r="X314" s="183">
        <v>7</v>
      </c>
      <c r="Y314" s="181">
        <v>3246</v>
      </c>
      <c r="Z314" s="183">
        <v>526</v>
      </c>
      <c r="AA314" s="181">
        <v>3148</v>
      </c>
      <c r="AB314" s="183">
        <v>474</v>
      </c>
      <c r="AC314" s="181">
        <v>2701</v>
      </c>
      <c r="AD314" s="183">
        <v>462</v>
      </c>
      <c r="AE314" s="181">
        <v>222</v>
      </c>
      <c r="AF314" s="182">
        <v>111</v>
      </c>
      <c r="AG314" s="183">
        <v>333</v>
      </c>
      <c r="AH314" s="133">
        <v>-3.0191004313000615E-2</v>
      </c>
      <c r="AI314" s="19">
        <v>-0.16789895255699322</v>
      </c>
      <c r="AJ314" s="19">
        <v>-0.14199491740787801</v>
      </c>
      <c r="AK314" s="19">
        <v>-9.8859315589353611E-2</v>
      </c>
      <c r="AL314" s="19">
        <v>-0.12167300380228137</v>
      </c>
      <c r="AM314" s="19">
        <v>-2.5316455696202531E-2</v>
      </c>
      <c r="AN314" s="20">
        <v>5.7468085106382976</v>
      </c>
      <c r="AO314" s="19">
        <v>0.98297872340425529</v>
      </c>
      <c r="AP314" s="19">
        <v>0.23617021276595745</v>
      </c>
      <c r="AQ314" s="19">
        <v>0.70851063829787231</v>
      </c>
      <c r="AR314" s="19">
        <v>0.27244582043343651</v>
      </c>
      <c r="AS314" s="133">
        <v>5.9574468085106386E-2</v>
      </c>
      <c r="AT314" s="21">
        <v>2.7659574468085105E-2</v>
      </c>
      <c r="AU314" s="16">
        <v>738</v>
      </c>
      <c r="AV314" s="16">
        <v>621</v>
      </c>
      <c r="AW314" s="17">
        <v>545</v>
      </c>
      <c r="AX314" s="133">
        <v>-0.15853658536585366</v>
      </c>
      <c r="AY314" s="19">
        <v>-0.26151761517615174</v>
      </c>
      <c r="AZ314" s="21">
        <v>-0.12238325281803543</v>
      </c>
      <c r="BA314" s="15">
        <v>16</v>
      </c>
      <c r="BB314" s="17">
        <v>13</v>
      </c>
      <c r="BC314" s="15">
        <v>4</v>
      </c>
      <c r="BD314" s="17">
        <v>4</v>
      </c>
      <c r="BE314" s="15">
        <v>2148</v>
      </c>
      <c r="BF314" s="16">
        <v>2701</v>
      </c>
      <c r="BG314" s="19">
        <v>0.79526101443909658</v>
      </c>
      <c r="BH314" s="16">
        <v>439</v>
      </c>
      <c r="BI314" s="16">
        <v>545</v>
      </c>
      <c r="BJ314" s="21">
        <v>0.80550458715596329</v>
      </c>
    </row>
    <row r="315" spans="1:62" x14ac:dyDescent="0.25">
      <c r="A315" s="22"/>
      <c r="B315" s="23"/>
      <c r="C315" s="23"/>
      <c r="D315" s="23" t="s">
        <v>142</v>
      </c>
      <c r="E315" s="24"/>
      <c r="F315" s="184">
        <v>432</v>
      </c>
      <c r="G315" s="185">
        <v>247</v>
      </c>
      <c r="H315" s="186">
        <v>0</v>
      </c>
      <c r="I315" s="186">
        <v>247</v>
      </c>
      <c r="J315" s="187">
        <v>0</v>
      </c>
      <c r="K315" s="185">
        <v>0</v>
      </c>
      <c r="L315" s="186">
        <v>4</v>
      </c>
      <c r="M315" s="186">
        <v>5</v>
      </c>
      <c r="N315" s="186">
        <v>3</v>
      </c>
      <c r="O315" s="186">
        <v>8</v>
      </c>
      <c r="P315" s="186">
        <v>0</v>
      </c>
      <c r="Q315" s="186">
        <v>5</v>
      </c>
      <c r="R315" s="187">
        <v>160</v>
      </c>
      <c r="S315" s="184">
        <v>15</v>
      </c>
      <c r="T315" s="185">
        <v>14</v>
      </c>
      <c r="U315" s="186">
        <v>3</v>
      </c>
      <c r="V315" s="186">
        <v>1</v>
      </c>
      <c r="W315" s="186">
        <v>3</v>
      </c>
      <c r="X315" s="187">
        <v>7</v>
      </c>
      <c r="Y315" s="185">
        <v>1945</v>
      </c>
      <c r="Z315" s="187">
        <v>337</v>
      </c>
      <c r="AA315" s="185">
        <v>1635</v>
      </c>
      <c r="AB315" s="187">
        <v>265</v>
      </c>
      <c r="AC315" s="185">
        <v>1403</v>
      </c>
      <c r="AD315" s="187">
        <v>237</v>
      </c>
      <c r="AE315" s="185">
        <v>193</v>
      </c>
      <c r="AF315" s="186">
        <v>108</v>
      </c>
      <c r="AG315" s="187">
        <v>242</v>
      </c>
      <c r="AH315" s="135">
        <v>-0.15938303341902313</v>
      </c>
      <c r="AI315" s="26">
        <v>-0.27866323907455015</v>
      </c>
      <c r="AJ315" s="26">
        <v>-0.14189602446483179</v>
      </c>
      <c r="AK315" s="26">
        <v>-0.21364985163204747</v>
      </c>
      <c r="AL315" s="26">
        <v>-0.29673590504451036</v>
      </c>
      <c r="AM315" s="26">
        <v>-0.10566037735849057</v>
      </c>
      <c r="AN315" s="27">
        <v>5.6801619433198383</v>
      </c>
      <c r="AO315" s="26">
        <v>0.95951417004048578</v>
      </c>
      <c r="AP315" s="26">
        <v>0.43724696356275305</v>
      </c>
      <c r="AQ315" s="26">
        <v>0.97975708502024295</v>
      </c>
      <c r="AR315" s="26">
        <v>0.3931203931203931</v>
      </c>
      <c r="AS315" s="135">
        <v>6.0728744939271252E-2</v>
      </c>
      <c r="AT315" s="28">
        <v>4.048582995951417E-3</v>
      </c>
      <c r="AU315" s="23">
        <v>581</v>
      </c>
      <c r="AV315" s="23">
        <v>465</v>
      </c>
      <c r="AW315" s="24">
        <v>397</v>
      </c>
      <c r="AX315" s="135">
        <v>-0.19965576592082615</v>
      </c>
      <c r="AY315" s="26">
        <v>-0.31669535283993117</v>
      </c>
      <c r="AZ315" s="28">
        <v>-0.14623655913978495</v>
      </c>
      <c r="BA315" s="22">
        <v>14</v>
      </c>
      <c r="BB315" s="24">
        <v>13</v>
      </c>
      <c r="BC315" s="22">
        <v>3</v>
      </c>
      <c r="BD315" s="24">
        <v>3</v>
      </c>
      <c r="BE315" s="22">
        <v>1131</v>
      </c>
      <c r="BF315" s="23">
        <v>1403</v>
      </c>
      <c r="BG315" s="26">
        <v>0.80612972202423383</v>
      </c>
      <c r="BH315" s="23">
        <v>321</v>
      </c>
      <c r="BI315" s="23">
        <v>397</v>
      </c>
      <c r="BJ315" s="28">
        <v>0.80856423173803527</v>
      </c>
    </row>
    <row r="316" spans="1:62" x14ac:dyDescent="0.25">
      <c r="A316" s="29"/>
      <c r="B316" s="30"/>
      <c r="C316" s="30"/>
      <c r="D316" s="30"/>
      <c r="E316" s="31" t="s">
        <v>97</v>
      </c>
      <c r="F316" s="188">
        <v>432</v>
      </c>
      <c r="G316" s="189">
        <v>247</v>
      </c>
      <c r="H316" s="190">
        <v>0</v>
      </c>
      <c r="I316" s="190">
        <v>247</v>
      </c>
      <c r="J316" s="191">
        <v>0</v>
      </c>
      <c r="K316" s="189">
        <v>0</v>
      </c>
      <c r="L316" s="190">
        <v>4</v>
      </c>
      <c r="M316" s="190">
        <v>5</v>
      </c>
      <c r="N316" s="190">
        <v>3</v>
      </c>
      <c r="O316" s="190">
        <v>8</v>
      </c>
      <c r="P316" s="190">
        <v>0</v>
      </c>
      <c r="Q316" s="190">
        <v>5</v>
      </c>
      <c r="R316" s="191">
        <v>160</v>
      </c>
      <c r="S316" s="188">
        <v>15</v>
      </c>
      <c r="T316" s="189">
        <v>14</v>
      </c>
      <c r="U316" s="190">
        <v>3</v>
      </c>
      <c r="V316" s="190">
        <v>1</v>
      </c>
      <c r="W316" s="190">
        <v>3</v>
      </c>
      <c r="X316" s="191">
        <v>7</v>
      </c>
      <c r="Y316" s="189">
        <v>1945</v>
      </c>
      <c r="Z316" s="191">
        <v>337</v>
      </c>
      <c r="AA316" s="189">
        <v>1635</v>
      </c>
      <c r="AB316" s="191">
        <v>265</v>
      </c>
      <c r="AC316" s="189">
        <v>1403</v>
      </c>
      <c r="AD316" s="191">
        <v>237</v>
      </c>
      <c r="AE316" s="189">
        <v>193</v>
      </c>
      <c r="AF316" s="190">
        <v>108</v>
      </c>
      <c r="AG316" s="191">
        <v>242</v>
      </c>
      <c r="AH316" s="136">
        <v>-0.15938303341902313</v>
      </c>
      <c r="AI316" s="33">
        <v>-0.27866323907455015</v>
      </c>
      <c r="AJ316" s="33">
        <v>-0.14189602446483179</v>
      </c>
      <c r="AK316" s="33">
        <v>-0.21364985163204747</v>
      </c>
      <c r="AL316" s="33">
        <v>-0.29673590504451036</v>
      </c>
      <c r="AM316" s="33">
        <v>-0.10566037735849057</v>
      </c>
      <c r="AN316" s="34">
        <v>5.6801619433198383</v>
      </c>
      <c r="AO316" s="33">
        <v>0.95951417004048578</v>
      </c>
      <c r="AP316" s="33">
        <v>0.43724696356275305</v>
      </c>
      <c r="AQ316" s="33">
        <v>0.97975708502024295</v>
      </c>
      <c r="AR316" s="33">
        <v>0.3931203931203931</v>
      </c>
      <c r="AS316" s="136">
        <v>6.0728744939271252E-2</v>
      </c>
      <c r="AT316" s="35">
        <v>4.048582995951417E-3</v>
      </c>
      <c r="AU316" s="30">
        <v>581</v>
      </c>
      <c r="AV316" s="30">
        <v>465</v>
      </c>
      <c r="AW316" s="31">
        <v>397</v>
      </c>
      <c r="AX316" s="136">
        <v>-0.19965576592082615</v>
      </c>
      <c r="AY316" s="33">
        <v>-0.31669535283993117</v>
      </c>
      <c r="AZ316" s="35">
        <v>-0.14623655913978495</v>
      </c>
      <c r="BA316" s="29">
        <v>14</v>
      </c>
      <c r="BB316" s="31">
        <v>13</v>
      </c>
      <c r="BC316" s="29">
        <v>3</v>
      </c>
      <c r="BD316" s="31">
        <v>3</v>
      </c>
      <c r="BE316" s="29">
        <v>1131</v>
      </c>
      <c r="BF316" s="30">
        <v>1403</v>
      </c>
      <c r="BG316" s="33">
        <v>0.80612972202423383</v>
      </c>
      <c r="BH316" s="30">
        <v>321</v>
      </c>
      <c r="BI316" s="30">
        <v>397</v>
      </c>
      <c r="BJ316" s="35">
        <v>0.80856423173803527</v>
      </c>
    </row>
    <row r="317" spans="1:62" x14ac:dyDescent="0.25">
      <c r="A317" s="22"/>
      <c r="B317" s="23"/>
      <c r="C317" s="23"/>
      <c r="D317" s="23" t="s">
        <v>143</v>
      </c>
      <c r="E317" s="24"/>
      <c r="F317" s="184">
        <v>248</v>
      </c>
      <c r="G317" s="185">
        <v>223</v>
      </c>
      <c r="H317" s="186">
        <v>0</v>
      </c>
      <c r="I317" s="186">
        <v>223</v>
      </c>
      <c r="J317" s="187">
        <v>0</v>
      </c>
      <c r="K317" s="185">
        <v>0</v>
      </c>
      <c r="L317" s="186">
        <v>0</v>
      </c>
      <c r="M317" s="186">
        <v>6</v>
      </c>
      <c r="N317" s="186">
        <v>1</v>
      </c>
      <c r="O317" s="186">
        <v>0</v>
      </c>
      <c r="P317" s="186">
        <v>0</v>
      </c>
      <c r="Q317" s="186">
        <v>2</v>
      </c>
      <c r="R317" s="187">
        <v>16</v>
      </c>
      <c r="S317" s="184">
        <v>13</v>
      </c>
      <c r="T317" s="185">
        <v>1</v>
      </c>
      <c r="U317" s="186">
        <v>0</v>
      </c>
      <c r="V317" s="186">
        <v>1</v>
      </c>
      <c r="W317" s="186">
        <v>0</v>
      </c>
      <c r="X317" s="187">
        <v>0</v>
      </c>
      <c r="Y317" s="185">
        <v>1301</v>
      </c>
      <c r="Z317" s="187">
        <v>189</v>
      </c>
      <c r="AA317" s="185">
        <v>1513</v>
      </c>
      <c r="AB317" s="187">
        <v>209</v>
      </c>
      <c r="AC317" s="185">
        <v>1298</v>
      </c>
      <c r="AD317" s="187">
        <v>225</v>
      </c>
      <c r="AE317" s="185">
        <v>29</v>
      </c>
      <c r="AF317" s="186">
        <v>3</v>
      </c>
      <c r="AG317" s="187">
        <v>91</v>
      </c>
      <c r="AH317" s="135">
        <v>0.16295157571099156</v>
      </c>
      <c r="AI317" s="26">
        <v>-2.3059185242121443E-3</v>
      </c>
      <c r="AJ317" s="26">
        <v>-0.14210178453403832</v>
      </c>
      <c r="AK317" s="26">
        <v>0.10582010582010581</v>
      </c>
      <c r="AL317" s="26">
        <v>0.19047619047619047</v>
      </c>
      <c r="AM317" s="26">
        <v>7.6555023923444973E-2</v>
      </c>
      <c r="AN317" s="27">
        <v>5.8206278026905833</v>
      </c>
      <c r="AO317" s="26">
        <v>1.0089686098654709</v>
      </c>
      <c r="AP317" s="26">
        <v>1.3452914798206279E-2</v>
      </c>
      <c r="AQ317" s="26">
        <v>0.40807174887892378</v>
      </c>
      <c r="AR317" s="26">
        <v>6.6945606694560664E-2</v>
      </c>
      <c r="AS317" s="135">
        <v>5.829596412556054E-2</v>
      </c>
      <c r="AT317" s="28">
        <v>5.3811659192825115E-2</v>
      </c>
      <c r="AU317" s="23">
        <v>430</v>
      </c>
      <c r="AV317" s="23">
        <v>407</v>
      </c>
      <c r="AW317" s="24">
        <v>363</v>
      </c>
      <c r="AX317" s="135">
        <v>-5.3488372093023255E-2</v>
      </c>
      <c r="AY317" s="26">
        <v>-0.1558139534883721</v>
      </c>
      <c r="AZ317" s="28">
        <v>-0.10810810810810811</v>
      </c>
      <c r="BA317" s="22">
        <v>17</v>
      </c>
      <c r="BB317" s="24">
        <v>14</v>
      </c>
      <c r="BC317" s="22">
        <v>4</v>
      </c>
      <c r="BD317" s="24">
        <v>4</v>
      </c>
      <c r="BE317" s="22">
        <v>1017</v>
      </c>
      <c r="BF317" s="23">
        <v>1298</v>
      </c>
      <c r="BG317" s="26">
        <v>0.78351309707241912</v>
      </c>
      <c r="BH317" s="23">
        <v>289</v>
      </c>
      <c r="BI317" s="23">
        <v>363</v>
      </c>
      <c r="BJ317" s="28">
        <v>0.79614325068870528</v>
      </c>
    </row>
    <row r="318" spans="1:62" x14ac:dyDescent="0.25">
      <c r="A318" s="29"/>
      <c r="B318" s="30"/>
      <c r="C318" s="30"/>
      <c r="D318" s="30"/>
      <c r="E318" s="31" t="s">
        <v>97</v>
      </c>
      <c r="F318" s="188">
        <v>247</v>
      </c>
      <c r="G318" s="189">
        <v>222</v>
      </c>
      <c r="H318" s="190">
        <v>0</v>
      </c>
      <c r="I318" s="190">
        <v>222</v>
      </c>
      <c r="J318" s="191">
        <v>0</v>
      </c>
      <c r="K318" s="189">
        <v>0</v>
      </c>
      <c r="L318" s="190">
        <v>0</v>
      </c>
      <c r="M318" s="190">
        <v>6</v>
      </c>
      <c r="N318" s="190">
        <v>1</v>
      </c>
      <c r="O318" s="190">
        <v>0</v>
      </c>
      <c r="P318" s="190">
        <v>0</v>
      </c>
      <c r="Q318" s="190">
        <v>2</v>
      </c>
      <c r="R318" s="191">
        <v>16</v>
      </c>
      <c r="S318" s="188">
        <v>13</v>
      </c>
      <c r="T318" s="189">
        <v>1</v>
      </c>
      <c r="U318" s="190">
        <v>0</v>
      </c>
      <c r="V318" s="190">
        <v>1</v>
      </c>
      <c r="W318" s="190">
        <v>0</v>
      </c>
      <c r="X318" s="191">
        <v>0</v>
      </c>
      <c r="Y318" s="189">
        <v>1296</v>
      </c>
      <c r="Z318" s="191">
        <v>188</v>
      </c>
      <c r="AA318" s="189">
        <v>1506</v>
      </c>
      <c r="AB318" s="191">
        <v>208</v>
      </c>
      <c r="AC318" s="189">
        <v>1289</v>
      </c>
      <c r="AD318" s="191">
        <v>224</v>
      </c>
      <c r="AE318" s="189">
        <v>29</v>
      </c>
      <c r="AF318" s="190">
        <v>3</v>
      </c>
      <c r="AG318" s="191">
        <v>90</v>
      </c>
      <c r="AH318" s="136">
        <v>0.16203703703703703</v>
      </c>
      <c r="AI318" s="33">
        <v>-5.4012345679012343E-3</v>
      </c>
      <c r="AJ318" s="33">
        <v>-0.14409030544488713</v>
      </c>
      <c r="AK318" s="33">
        <v>0.10638297872340426</v>
      </c>
      <c r="AL318" s="33">
        <v>0.19148936170212766</v>
      </c>
      <c r="AM318" s="33">
        <v>7.6923076923076927E-2</v>
      </c>
      <c r="AN318" s="34">
        <v>5.8063063063063067</v>
      </c>
      <c r="AO318" s="33">
        <v>1.0090090090090089</v>
      </c>
      <c r="AP318" s="33">
        <v>1.3513513513513514E-2</v>
      </c>
      <c r="AQ318" s="33">
        <v>0.40540540540540543</v>
      </c>
      <c r="AR318" s="33">
        <v>6.7226890756302518E-2</v>
      </c>
      <c r="AS318" s="136">
        <v>5.8558558558558557E-2</v>
      </c>
      <c r="AT318" s="35">
        <v>5.4054054054054057E-2</v>
      </c>
      <c r="AU318" s="30">
        <v>430</v>
      </c>
      <c r="AV318" s="30">
        <v>406</v>
      </c>
      <c r="AW318" s="31">
        <v>361</v>
      </c>
      <c r="AX318" s="136">
        <v>-5.5813953488372092E-2</v>
      </c>
      <c r="AY318" s="33">
        <v>-0.16046511627906976</v>
      </c>
      <c r="AZ318" s="35">
        <v>-0.11083743842364532</v>
      </c>
      <c r="BA318" s="29">
        <v>17</v>
      </c>
      <c r="BB318" s="31">
        <v>14</v>
      </c>
      <c r="BC318" s="29">
        <v>4</v>
      </c>
      <c r="BD318" s="31">
        <v>4</v>
      </c>
      <c r="BE318" s="29">
        <v>1008</v>
      </c>
      <c r="BF318" s="30">
        <v>1289</v>
      </c>
      <c r="BG318" s="33">
        <v>0.7820015515903801</v>
      </c>
      <c r="BH318" s="30">
        <v>287</v>
      </c>
      <c r="BI318" s="30">
        <v>361</v>
      </c>
      <c r="BJ318" s="35">
        <v>0.79501385041551242</v>
      </c>
    </row>
    <row r="319" spans="1:62" x14ac:dyDescent="0.25">
      <c r="A319" s="15"/>
      <c r="B319" s="16"/>
      <c r="C319" s="16" t="s">
        <v>134</v>
      </c>
      <c r="D319" s="16"/>
      <c r="E319" s="17"/>
      <c r="F319" s="180">
        <v>71</v>
      </c>
      <c r="G319" s="181">
        <v>68</v>
      </c>
      <c r="H319" s="182">
        <v>0</v>
      </c>
      <c r="I319" s="182">
        <v>68</v>
      </c>
      <c r="J319" s="183">
        <v>0</v>
      </c>
      <c r="K319" s="181">
        <v>0</v>
      </c>
      <c r="L319" s="182">
        <v>0</v>
      </c>
      <c r="M319" s="182">
        <v>1</v>
      </c>
      <c r="N319" s="182">
        <v>0</v>
      </c>
      <c r="O319" s="182">
        <v>1</v>
      </c>
      <c r="P319" s="182">
        <v>0</v>
      </c>
      <c r="Q319" s="182">
        <v>0</v>
      </c>
      <c r="R319" s="183">
        <v>1</v>
      </c>
      <c r="S319" s="180">
        <v>8</v>
      </c>
      <c r="T319" s="181"/>
      <c r="U319" s="182"/>
      <c r="V319" s="182"/>
      <c r="W319" s="182"/>
      <c r="X319" s="183"/>
      <c r="Y319" s="181">
        <v>242</v>
      </c>
      <c r="Z319" s="183">
        <v>47</v>
      </c>
      <c r="AA319" s="181">
        <v>363</v>
      </c>
      <c r="AB319" s="183">
        <v>55</v>
      </c>
      <c r="AC319" s="181">
        <v>343</v>
      </c>
      <c r="AD319" s="183">
        <v>63</v>
      </c>
      <c r="AE319" s="181">
        <v>9</v>
      </c>
      <c r="AF319" s="182">
        <v>4</v>
      </c>
      <c r="AG319" s="183">
        <v>26</v>
      </c>
      <c r="AH319" s="133">
        <v>0.5</v>
      </c>
      <c r="AI319" s="19">
        <v>0.41735537190082644</v>
      </c>
      <c r="AJ319" s="19">
        <v>-5.5096418732782371E-2</v>
      </c>
      <c r="AK319" s="19">
        <v>0.1702127659574468</v>
      </c>
      <c r="AL319" s="19">
        <v>0.34042553191489361</v>
      </c>
      <c r="AM319" s="19">
        <v>0.14545454545454545</v>
      </c>
      <c r="AN319" s="20">
        <v>5.0441176470588234</v>
      </c>
      <c r="AO319" s="19">
        <v>0.92647058823529416</v>
      </c>
      <c r="AP319" s="19">
        <v>5.8823529411764705E-2</v>
      </c>
      <c r="AQ319" s="19">
        <v>0.38235294117647056</v>
      </c>
      <c r="AR319" s="19">
        <v>1.4492753623188406E-2</v>
      </c>
      <c r="AS319" s="133">
        <v>0.11764705882352941</v>
      </c>
      <c r="AT319" s="21">
        <v>0.11764705882352941</v>
      </c>
      <c r="AU319" s="16">
        <v>121</v>
      </c>
      <c r="AV319" s="16">
        <v>161</v>
      </c>
      <c r="AW319" s="17">
        <v>158</v>
      </c>
      <c r="AX319" s="133">
        <v>0.33057851239669422</v>
      </c>
      <c r="AY319" s="19">
        <v>0.30578512396694213</v>
      </c>
      <c r="AZ319" s="21">
        <v>-1.8633540372670808E-2</v>
      </c>
      <c r="BA319" s="15">
        <v>19</v>
      </c>
      <c r="BB319" s="17">
        <v>21</v>
      </c>
      <c r="BC319" s="15">
        <v>4</v>
      </c>
      <c r="BD319" s="17">
        <v>4</v>
      </c>
      <c r="BE319" s="15">
        <v>244</v>
      </c>
      <c r="BF319" s="16">
        <v>343</v>
      </c>
      <c r="BG319" s="19">
        <v>0.71137026239067058</v>
      </c>
      <c r="BH319" s="16">
        <v>110</v>
      </c>
      <c r="BI319" s="16">
        <v>158</v>
      </c>
      <c r="BJ319" s="21">
        <v>0.69620253164556967</v>
      </c>
    </row>
    <row r="320" spans="1:62" x14ac:dyDescent="0.25">
      <c r="A320" s="29"/>
      <c r="B320" s="30"/>
      <c r="C320" s="30"/>
      <c r="D320" s="30"/>
      <c r="E320" s="31" t="s">
        <v>97</v>
      </c>
      <c r="F320" s="188">
        <v>71</v>
      </c>
      <c r="G320" s="189">
        <v>68</v>
      </c>
      <c r="H320" s="190">
        <v>0</v>
      </c>
      <c r="I320" s="190">
        <v>68</v>
      </c>
      <c r="J320" s="191">
        <v>0</v>
      </c>
      <c r="K320" s="189">
        <v>0</v>
      </c>
      <c r="L320" s="190">
        <v>0</v>
      </c>
      <c r="M320" s="190">
        <v>1</v>
      </c>
      <c r="N320" s="190">
        <v>0</v>
      </c>
      <c r="O320" s="190">
        <v>1</v>
      </c>
      <c r="P320" s="190">
        <v>0</v>
      </c>
      <c r="Q320" s="190">
        <v>0</v>
      </c>
      <c r="R320" s="191">
        <v>1</v>
      </c>
      <c r="S320" s="188">
        <v>8</v>
      </c>
      <c r="T320" s="189"/>
      <c r="U320" s="190"/>
      <c r="V320" s="190"/>
      <c r="W320" s="190"/>
      <c r="X320" s="191"/>
      <c r="Y320" s="189">
        <v>242</v>
      </c>
      <c r="Z320" s="191">
        <v>47</v>
      </c>
      <c r="AA320" s="189">
        <v>363</v>
      </c>
      <c r="AB320" s="191">
        <v>55</v>
      </c>
      <c r="AC320" s="189">
        <v>343</v>
      </c>
      <c r="AD320" s="191">
        <v>63</v>
      </c>
      <c r="AE320" s="189">
        <v>9</v>
      </c>
      <c r="AF320" s="190">
        <v>4</v>
      </c>
      <c r="AG320" s="191">
        <v>26</v>
      </c>
      <c r="AH320" s="136">
        <v>0.5</v>
      </c>
      <c r="AI320" s="33">
        <v>0.41735537190082644</v>
      </c>
      <c r="AJ320" s="33">
        <v>-5.5096418732782371E-2</v>
      </c>
      <c r="AK320" s="33">
        <v>0.1702127659574468</v>
      </c>
      <c r="AL320" s="33">
        <v>0.34042553191489361</v>
      </c>
      <c r="AM320" s="33">
        <v>0.14545454545454545</v>
      </c>
      <c r="AN320" s="34">
        <v>5.0441176470588234</v>
      </c>
      <c r="AO320" s="33">
        <v>0.92647058823529416</v>
      </c>
      <c r="AP320" s="33">
        <v>5.8823529411764705E-2</v>
      </c>
      <c r="AQ320" s="33">
        <v>0.38235294117647056</v>
      </c>
      <c r="AR320" s="33">
        <v>1.4492753623188406E-2</v>
      </c>
      <c r="AS320" s="136">
        <v>0.11764705882352941</v>
      </c>
      <c r="AT320" s="35">
        <v>0.11764705882352941</v>
      </c>
      <c r="AU320" s="30">
        <v>121</v>
      </c>
      <c r="AV320" s="30">
        <v>161</v>
      </c>
      <c r="AW320" s="31">
        <v>158</v>
      </c>
      <c r="AX320" s="136">
        <v>0.33057851239669422</v>
      </c>
      <c r="AY320" s="33">
        <v>0.30578512396694213</v>
      </c>
      <c r="AZ320" s="35">
        <v>-1.8633540372670808E-2</v>
      </c>
      <c r="BA320" s="29">
        <v>19</v>
      </c>
      <c r="BB320" s="31">
        <v>21</v>
      </c>
      <c r="BC320" s="29">
        <v>4</v>
      </c>
      <c r="BD320" s="31">
        <v>4</v>
      </c>
      <c r="BE320" s="29">
        <v>244</v>
      </c>
      <c r="BF320" s="30">
        <v>343</v>
      </c>
      <c r="BG320" s="33">
        <v>0.71137026239067058</v>
      </c>
      <c r="BH320" s="30">
        <v>110</v>
      </c>
      <c r="BI320" s="30">
        <v>158</v>
      </c>
      <c r="BJ320" s="35">
        <v>0.69620253164556967</v>
      </c>
    </row>
    <row r="321" spans="1:62" x14ac:dyDescent="0.25">
      <c r="A321" s="8"/>
      <c r="B321" s="9" t="s">
        <v>80</v>
      </c>
      <c r="C321" s="9"/>
      <c r="D321" s="9"/>
      <c r="E321" s="10"/>
      <c r="F321" s="176">
        <v>12265</v>
      </c>
      <c r="G321" s="177">
        <v>10511</v>
      </c>
      <c r="H321" s="178">
        <v>339</v>
      </c>
      <c r="I321" s="178">
        <v>5033</v>
      </c>
      <c r="J321" s="179">
        <v>5817</v>
      </c>
      <c r="K321" s="177">
        <v>0</v>
      </c>
      <c r="L321" s="178">
        <v>274</v>
      </c>
      <c r="M321" s="178">
        <v>169</v>
      </c>
      <c r="N321" s="178">
        <v>49</v>
      </c>
      <c r="O321" s="178">
        <v>79</v>
      </c>
      <c r="P321" s="178">
        <v>0</v>
      </c>
      <c r="Q321" s="178">
        <v>53</v>
      </c>
      <c r="R321" s="179">
        <v>781</v>
      </c>
      <c r="S321" s="176">
        <v>774</v>
      </c>
      <c r="T321" s="177">
        <v>489</v>
      </c>
      <c r="U321" s="178">
        <v>9</v>
      </c>
      <c r="V321" s="178">
        <v>36</v>
      </c>
      <c r="W321" s="178">
        <v>100</v>
      </c>
      <c r="X321" s="179">
        <v>344</v>
      </c>
      <c r="Y321" s="177">
        <v>19428</v>
      </c>
      <c r="Z321" s="179">
        <v>7446</v>
      </c>
      <c r="AA321" s="177">
        <v>20389</v>
      </c>
      <c r="AB321" s="179">
        <v>7032</v>
      </c>
      <c r="AC321" s="177">
        <v>20739</v>
      </c>
      <c r="AD321" s="179">
        <v>7359</v>
      </c>
      <c r="AE321" s="177">
        <v>4376</v>
      </c>
      <c r="AF321" s="178">
        <v>2176</v>
      </c>
      <c r="AG321" s="179">
        <v>5425</v>
      </c>
      <c r="AH321" s="131">
        <v>4.946469013794523E-2</v>
      </c>
      <c r="AI321" s="12">
        <v>6.7479925880172945E-2</v>
      </c>
      <c r="AJ321" s="12">
        <v>1.7166118985727598E-2</v>
      </c>
      <c r="AK321" s="12">
        <v>-5.5600322320709106E-2</v>
      </c>
      <c r="AL321" s="12">
        <v>-1.1684125705076551E-2</v>
      </c>
      <c r="AM321" s="12">
        <v>4.6501706484641636E-2</v>
      </c>
      <c r="AN321" s="13">
        <v>1.9730758253258491</v>
      </c>
      <c r="AO321" s="12">
        <v>0.70012367995433356</v>
      </c>
      <c r="AP321" s="12">
        <v>0.20702121586908953</v>
      </c>
      <c r="AQ321" s="12">
        <v>0.51612596327656746</v>
      </c>
      <c r="AR321" s="12">
        <v>6.9164009918526392E-2</v>
      </c>
      <c r="AS321" s="131">
        <v>7.3637142041670628E-2</v>
      </c>
      <c r="AT321" s="14">
        <v>2.7114451526971745E-2</v>
      </c>
      <c r="AU321" s="9">
        <v>3343</v>
      </c>
      <c r="AV321" s="9">
        <v>3465</v>
      </c>
      <c r="AW321" s="10">
        <v>3423</v>
      </c>
      <c r="AX321" s="131">
        <v>3.649416691594376E-2</v>
      </c>
      <c r="AY321" s="12">
        <v>2.3930601256356567E-2</v>
      </c>
      <c r="AZ321" s="14">
        <v>-1.2121212121212121E-2</v>
      </c>
      <c r="BA321" s="8">
        <v>11</v>
      </c>
      <c r="BB321" s="10">
        <v>11</v>
      </c>
      <c r="BC321" s="8">
        <v>3</v>
      </c>
      <c r="BD321" s="10">
        <v>2</v>
      </c>
      <c r="BE321" s="8">
        <v>16784</v>
      </c>
      <c r="BF321" s="9">
        <v>20739</v>
      </c>
      <c r="BG321" s="12">
        <v>0.8092964945272193</v>
      </c>
      <c r="BH321" s="9">
        <v>2596</v>
      </c>
      <c r="BI321" s="9">
        <v>3423</v>
      </c>
      <c r="BJ321" s="14">
        <v>0.75839906514753141</v>
      </c>
    </row>
    <row r="322" spans="1:62" x14ac:dyDescent="0.25">
      <c r="A322" s="15"/>
      <c r="B322" s="16"/>
      <c r="C322" s="16" t="s">
        <v>81</v>
      </c>
      <c r="D322" s="16"/>
      <c r="E322" s="17"/>
      <c r="F322" s="180">
        <v>2232</v>
      </c>
      <c r="G322" s="181">
        <v>1960</v>
      </c>
      <c r="H322" s="182">
        <v>1</v>
      </c>
      <c r="I322" s="182">
        <v>966</v>
      </c>
      <c r="J322" s="183">
        <v>995</v>
      </c>
      <c r="K322" s="181">
        <v>0</v>
      </c>
      <c r="L322" s="182">
        <v>54</v>
      </c>
      <c r="M322" s="182">
        <v>23</v>
      </c>
      <c r="N322" s="182">
        <v>10</v>
      </c>
      <c r="O322" s="182">
        <v>13</v>
      </c>
      <c r="P322" s="182">
        <v>0</v>
      </c>
      <c r="Q322" s="182">
        <v>13</v>
      </c>
      <c r="R322" s="183">
        <v>155</v>
      </c>
      <c r="S322" s="180">
        <v>129</v>
      </c>
      <c r="T322" s="181">
        <v>56</v>
      </c>
      <c r="U322" s="182">
        <v>0</v>
      </c>
      <c r="V322" s="182">
        <v>9</v>
      </c>
      <c r="W322" s="182">
        <v>13</v>
      </c>
      <c r="X322" s="183">
        <v>34</v>
      </c>
      <c r="Y322" s="181">
        <v>2753</v>
      </c>
      <c r="Z322" s="183">
        <v>1306</v>
      </c>
      <c r="AA322" s="181">
        <v>2771</v>
      </c>
      <c r="AB322" s="183">
        <v>1099</v>
      </c>
      <c r="AC322" s="181">
        <v>2788</v>
      </c>
      <c r="AD322" s="183">
        <v>1166</v>
      </c>
      <c r="AE322" s="181">
        <v>1029</v>
      </c>
      <c r="AF322" s="182">
        <v>577</v>
      </c>
      <c r="AG322" s="183">
        <v>814</v>
      </c>
      <c r="AH322" s="133">
        <v>6.5383218307301129E-3</v>
      </c>
      <c r="AI322" s="19">
        <v>1.2713403559752997E-2</v>
      </c>
      <c r="AJ322" s="19">
        <v>6.1349693251533744E-3</v>
      </c>
      <c r="AK322" s="19">
        <v>-0.15849923430321591</v>
      </c>
      <c r="AL322" s="19">
        <v>-0.10719754977029096</v>
      </c>
      <c r="AM322" s="19">
        <v>6.0964513193812554E-2</v>
      </c>
      <c r="AN322" s="20">
        <v>1.4224489795918367</v>
      </c>
      <c r="AO322" s="19">
        <v>0.5948979591836735</v>
      </c>
      <c r="AP322" s="19">
        <v>0.29438775510204079</v>
      </c>
      <c r="AQ322" s="19">
        <v>0.41530612244897958</v>
      </c>
      <c r="AR322" s="19">
        <v>7.328605200945626E-2</v>
      </c>
      <c r="AS322" s="133">
        <v>6.5816326530612243E-2</v>
      </c>
      <c r="AT322" s="21">
        <v>3.7244897959183676E-2</v>
      </c>
      <c r="AU322" s="16">
        <v>933</v>
      </c>
      <c r="AV322" s="16">
        <v>968</v>
      </c>
      <c r="AW322" s="17">
        <v>912</v>
      </c>
      <c r="AX322" s="133">
        <v>3.7513397642015008E-2</v>
      </c>
      <c r="AY322" s="19">
        <v>-2.2508038585209004E-2</v>
      </c>
      <c r="AZ322" s="21">
        <v>-5.7851239669421489E-2</v>
      </c>
      <c r="BA322" s="15">
        <v>12</v>
      </c>
      <c r="BB322" s="17">
        <v>12</v>
      </c>
      <c r="BC322" s="15">
        <v>3</v>
      </c>
      <c r="BD322" s="17">
        <v>2</v>
      </c>
      <c r="BE322" s="15">
        <v>2238</v>
      </c>
      <c r="BF322" s="16">
        <v>2788</v>
      </c>
      <c r="BG322" s="19">
        <v>0.80272596843615496</v>
      </c>
      <c r="BH322" s="16">
        <v>690</v>
      </c>
      <c r="BI322" s="16">
        <v>912</v>
      </c>
      <c r="BJ322" s="21">
        <v>0.75657894736842102</v>
      </c>
    </row>
    <row r="323" spans="1:62" x14ac:dyDescent="0.25">
      <c r="A323" s="29"/>
      <c r="B323" s="30"/>
      <c r="C323" s="30"/>
      <c r="D323" s="30"/>
      <c r="E323" s="31" t="s">
        <v>181</v>
      </c>
      <c r="F323" s="188">
        <v>15</v>
      </c>
      <c r="G323" s="189">
        <v>11</v>
      </c>
      <c r="H323" s="190">
        <v>0</v>
      </c>
      <c r="I323" s="190">
        <v>11</v>
      </c>
      <c r="J323" s="191">
        <v>0</v>
      </c>
      <c r="K323" s="189">
        <v>0</v>
      </c>
      <c r="L323" s="190">
        <v>0</v>
      </c>
      <c r="M323" s="190">
        <v>0</v>
      </c>
      <c r="N323" s="190">
        <v>0</v>
      </c>
      <c r="O323" s="190">
        <v>4</v>
      </c>
      <c r="P323" s="190">
        <v>0</v>
      </c>
      <c r="Q323" s="190">
        <v>0</v>
      </c>
      <c r="R323" s="191">
        <v>0</v>
      </c>
      <c r="S323" s="188">
        <v>0</v>
      </c>
      <c r="T323" s="189"/>
      <c r="U323" s="190"/>
      <c r="V323" s="190"/>
      <c r="W323" s="190"/>
      <c r="X323" s="191"/>
      <c r="Y323" s="189">
        <v>0</v>
      </c>
      <c r="Z323" s="191">
        <v>0</v>
      </c>
      <c r="AA323" s="189">
        <v>0</v>
      </c>
      <c r="AB323" s="191">
        <v>0</v>
      </c>
      <c r="AC323" s="189">
        <v>0</v>
      </c>
      <c r="AD323" s="191">
        <v>0</v>
      </c>
      <c r="AE323" s="189">
        <v>15</v>
      </c>
      <c r="AF323" s="190">
        <v>15</v>
      </c>
      <c r="AG323" s="191">
        <v>0</v>
      </c>
      <c r="AH323" s="136"/>
      <c r="AI323" s="33"/>
      <c r="AJ323" s="33"/>
      <c r="AK323" s="33"/>
      <c r="AL323" s="33"/>
      <c r="AM323" s="33"/>
      <c r="AN323" s="34">
        <v>0</v>
      </c>
      <c r="AO323" s="33">
        <v>0</v>
      </c>
      <c r="AP323" s="33">
        <v>1.3636363636363635</v>
      </c>
      <c r="AQ323" s="33">
        <v>0</v>
      </c>
      <c r="AR323" s="33">
        <v>0</v>
      </c>
      <c r="AS323" s="136">
        <v>0</v>
      </c>
      <c r="AT323" s="35">
        <v>0</v>
      </c>
      <c r="AU323" s="30">
        <v>0</v>
      </c>
      <c r="AV323" s="30">
        <v>0</v>
      </c>
      <c r="AW323" s="31">
        <v>0</v>
      </c>
      <c r="AX323" s="136"/>
      <c r="AY323" s="33"/>
      <c r="AZ323" s="35"/>
      <c r="BA323" s="29"/>
      <c r="BB323" s="31"/>
      <c r="BC323" s="29"/>
      <c r="BD323" s="31"/>
      <c r="BE323" s="29">
        <v>0</v>
      </c>
      <c r="BF323" s="30">
        <v>0</v>
      </c>
      <c r="BG323" s="33"/>
      <c r="BH323" s="30">
        <v>0</v>
      </c>
      <c r="BI323" s="30">
        <v>0</v>
      </c>
      <c r="BJ323" s="35"/>
    </row>
    <row r="324" spans="1:62" x14ac:dyDescent="0.25">
      <c r="A324" s="29"/>
      <c r="B324" s="30"/>
      <c r="C324" s="30"/>
      <c r="D324" s="30"/>
      <c r="E324" s="31" t="s">
        <v>82</v>
      </c>
      <c r="F324" s="188">
        <v>30</v>
      </c>
      <c r="G324" s="189">
        <v>29</v>
      </c>
      <c r="H324" s="190">
        <v>0</v>
      </c>
      <c r="I324" s="190">
        <v>15</v>
      </c>
      <c r="J324" s="191">
        <v>14</v>
      </c>
      <c r="K324" s="189">
        <v>0</v>
      </c>
      <c r="L324" s="190">
        <v>0</v>
      </c>
      <c r="M324" s="190">
        <v>0</v>
      </c>
      <c r="N324" s="190">
        <v>0</v>
      </c>
      <c r="O324" s="190">
        <v>0</v>
      </c>
      <c r="P324" s="190">
        <v>0</v>
      </c>
      <c r="Q324" s="190">
        <v>0</v>
      </c>
      <c r="R324" s="191">
        <v>1</v>
      </c>
      <c r="S324" s="188">
        <v>0</v>
      </c>
      <c r="T324" s="189"/>
      <c r="U324" s="190"/>
      <c r="V324" s="190"/>
      <c r="W324" s="190"/>
      <c r="X324" s="191"/>
      <c r="Y324" s="189">
        <v>24</v>
      </c>
      <c r="Z324" s="191">
        <v>16</v>
      </c>
      <c r="AA324" s="189">
        <v>25</v>
      </c>
      <c r="AB324" s="191">
        <v>14</v>
      </c>
      <c r="AC324" s="189">
        <v>58</v>
      </c>
      <c r="AD324" s="191">
        <v>18</v>
      </c>
      <c r="AE324" s="189">
        <v>12</v>
      </c>
      <c r="AF324" s="190">
        <v>5</v>
      </c>
      <c r="AG324" s="191">
        <v>11</v>
      </c>
      <c r="AH324" s="136">
        <v>4.1666666666666664E-2</v>
      </c>
      <c r="AI324" s="33">
        <v>1.4166666666666667</v>
      </c>
      <c r="AJ324" s="33">
        <v>1.32</v>
      </c>
      <c r="AK324" s="33">
        <v>-0.125</v>
      </c>
      <c r="AL324" s="33">
        <v>0.125</v>
      </c>
      <c r="AM324" s="33">
        <v>0.2857142857142857</v>
      </c>
      <c r="AN324" s="34">
        <v>2</v>
      </c>
      <c r="AO324" s="33">
        <v>0.62068965517241381</v>
      </c>
      <c r="AP324" s="33">
        <v>0.17241379310344829</v>
      </c>
      <c r="AQ324" s="33">
        <v>0.37931034482758619</v>
      </c>
      <c r="AR324" s="33">
        <v>3.3333333333333333E-2</v>
      </c>
      <c r="AS324" s="136">
        <v>0</v>
      </c>
      <c r="AT324" s="35">
        <v>0</v>
      </c>
      <c r="AU324" s="30">
        <v>19</v>
      </c>
      <c r="AV324" s="30">
        <v>16</v>
      </c>
      <c r="AW324" s="31">
        <v>23</v>
      </c>
      <c r="AX324" s="136">
        <v>-0.15789473684210525</v>
      </c>
      <c r="AY324" s="33">
        <v>0.21052631578947367</v>
      </c>
      <c r="AZ324" s="35">
        <v>0.4375</v>
      </c>
      <c r="BA324" s="29">
        <v>9</v>
      </c>
      <c r="BB324" s="31">
        <v>9.5</v>
      </c>
      <c r="BC324" s="29">
        <v>1</v>
      </c>
      <c r="BD324" s="31">
        <v>2</v>
      </c>
      <c r="BE324" s="29">
        <v>31</v>
      </c>
      <c r="BF324" s="30">
        <v>58</v>
      </c>
      <c r="BG324" s="33">
        <v>0.53448275862068961</v>
      </c>
      <c r="BH324" s="30">
        <v>18</v>
      </c>
      <c r="BI324" s="30">
        <v>23</v>
      </c>
      <c r="BJ324" s="35">
        <v>0.78260869565217395</v>
      </c>
    </row>
    <row r="325" spans="1:62" x14ac:dyDescent="0.25">
      <c r="A325" s="29"/>
      <c r="B325" s="30"/>
      <c r="C325" s="30"/>
      <c r="D325" s="30"/>
      <c r="E325" s="31" t="s">
        <v>68</v>
      </c>
      <c r="F325" s="188">
        <v>2169</v>
      </c>
      <c r="G325" s="189">
        <v>1907</v>
      </c>
      <c r="H325" s="190">
        <v>1</v>
      </c>
      <c r="I325" s="190">
        <v>939</v>
      </c>
      <c r="J325" s="191">
        <v>969</v>
      </c>
      <c r="K325" s="189">
        <v>0</v>
      </c>
      <c r="L325" s="190">
        <v>49</v>
      </c>
      <c r="M325" s="190">
        <v>23</v>
      </c>
      <c r="N325" s="190">
        <v>10</v>
      </c>
      <c r="O325" s="190">
        <v>9</v>
      </c>
      <c r="P325" s="190">
        <v>0</v>
      </c>
      <c r="Q325" s="190">
        <v>13</v>
      </c>
      <c r="R325" s="191">
        <v>154</v>
      </c>
      <c r="S325" s="188">
        <v>111</v>
      </c>
      <c r="T325" s="189">
        <v>56</v>
      </c>
      <c r="U325" s="190">
        <v>0</v>
      </c>
      <c r="V325" s="190">
        <v>9</v>
      </c>
      <c r="W325" s="190">
        <v>13</v>
      </c>
      <c r="X325" s="191">
        <v>34</v>
      </c>
      <c r="Y325" s="189">
        <v>2729</v>
      </c>
      <c r="Z325" s="191">
        <v>1290</v>
      </c>
      <c r="AA325" s="189">
        <v>2746</v>
      </c>
      <c r="AB325" s="191">
        <v>1085</v>
      </c>
      <c r="AC325" s="189">
        <v>2716</v>
      </c>
      <c r="AD325" s="191">
        <v>1142</v>
      </c>
      <c r="AE325" s="189">
        <v>995</v>
      </c>
      <c r="AF325" s="190">
        <v>550</v>
      </c>
      <c r="AG325" s="191">
        <v>797</v>
      </c>
      <c r="AH325" s="136">
        <v>6.2293880542323198E-3</v>
      </c>
      <c r="AI325" s="33">
        <v>-4.7636496885305971E-3</v>
      </c>
      <c r="AJ325" s="33">
        <v>-1.0924981791697014E-2</v>
      </c>
      <c r="AK325" s="33">
        <v>-0.15891472868217055</v>
      </c>
      <c r="AL325" s="33">
        <v>-0.11472868217054263</v>
      </c>
      <c r="AM325" s="33">
        <v>5.2534562211981564E-2</v>
      </c>
      <c r="AN325" s="34">
        <v>1.4242265338227582</v>
      </c>
      <c r="AO325" s="33">
        <v>0.59884635553224963</v>
      </c>
      <c r="AP325" s="33">
        <v>0.2884111169375983</v>
      </c>
      <c r="AQ325" s="33">
        <v>0.41793392763502885</v>
      </c>
      <c r="AR325" s="33">
        <v>7.472100921882581E-2</v>
      </c>
      <c r="AS325" s="136">
        <v>5.8206607236497114E-2</v>
      </c>
      <c r="AT325" s="35">
        <v>2.8841111693759833E-2</v>
      </c>
      <c r="AU325" s="30">
        <v>929</v>
      </c>
      <c r="AV325" s="30">
        <v>967</v>
      </c>
      <c r="AW325" s="31">
        <v>911</v>
      </c>
      <c r="AX325" s="136">
        <v>4.0904198062432721E-2</v>
      </c>
      <c r="AY325" s="33">
        <v>-1.9375672766415501E-2</v>
      </c>
      <c r="AZ325" s="35">
        <v>-5.7911065149948295E-2</v>
      </c>
      <c r="BA325" s="29">
        <v>12</v>
      </c>
      <c r="BB325" s="31">
        <v>12</v>
      </c>
      <c r="BC325" s="29">
        <v>3</v>
      </c>
      <c r="BD325" s="31">
        <v>2</v>
      </c>
      <c r="BE325" s="29">
        <v>2198</v>
      </c>
      <c r="BF325" s="30">
        <v>2716</v>
      </c>
      <c r="BG325" s="33">
        <v>0.80927835051546393</v>
      </c>
      <c r="BH325" s="30">
        <v>689</v>
      </c>
      <c r="BI325" s="30">
        <v>911</v>
      </c>
      <c r="BJ325" s="35">
        <v>0.75631174533479695</v>
      </c>
    </row>
    <row r="326" spans="1:62" x14ac:dyDescent="0.25">
      <c r="A326" s="15"/>
      <c r="B326" s="16"/>
      <c r="C326" s="16" t="s">
        <v>83</v>
      </c>
      <c r="D326" s="16"/>
      <c r="E326" s="17"/>
      <c r="F326" s="180">
        <v>528</v>
      </c>
      <c r="G326" s="181">
        <v>400</v>
      </c>
      <c r="H326" s="182">
        <v>0</v>
      </c>
      <c r="I326" s="182">
        <v>276</v>
      </c>
      <c r="J326" s="183">
        <v>124</v>
      </c>
      <c r="K326" s="181">
        <v>0</v>
      </c>
      <c r="L326" s="182">
        <v>18</v>
      </c>
      <c r="M326" s="182">
        <v>44</v>
      </c>
      <c r="N326" s="182">
        <v>3</v>
      </c>
      <c r="O326" s="182">
        <v>2</v>
      </c>
      <c r="P326" s="182">
        <v>0</v>
      </c>
      <c r="Q326" s="182">
        <v>5</v>
      </c>
      <c r="R326" s="183">
        <v>56</v>
      </c>
      <c r="S326" s="180">
        <v>60</v>
      </c>
      <c r="T326" s="181">
        <v>39</v>
      </c>
      <c r="U326" s="182">
        <v>1</v>
      </c>
      <c r="V326" s="182">
        <v>3</v>
      </c>
      <c r="W326" s="182">
        <v>33</v>
      </c>
      <c r="X326" s="183">
        <v>2</v>
      </c>
      <c r="Y326" s="181">
        <v>2851</v>
      </c>
      <c r="Z326" s="183">
        <v>443</v>
      </c>
      <c r="AA326" s="181">
        <v>3073</v>
      </c>
      <c r="AB326" s="183">
        <v>411</v>
      </c>
      <c r="AC326" s="181">
        <v>3039</v>
      </c>
      <c r="AD326" s="183">
        <v>419</v>
      </c>
      <c r="AE326" s="181">
        <v>93</v>
      </c>
      <c r="AF326" s="182">
        <v>55</v>
      </c>
      <c r="AG326" s="183">
        <v>319</v>
      </c>
      <c r="AH326" s="133">
        <v>7.7867414942125568E-2</v>
      </c>
      <c r="AI326" s="19">
        <v>6.5941774815854087E-2</v>
      </c>
      <c r="AJ326" s="19">
        <v>-1.1064106736088514E-2</v>
      </c>
      <c r="AK326" s="19">
        <v>-7.2234762979683967E-2</v>
      </c>
      <c r="AL326" s="19">
        <v>-5.4176072234762979E-2</v>
      </c>
      <c r="AM326" s="19">
        <v>1.9464720194647202E-2</v>
      </c>
      <c r="AN326" s="20">
        <v>7.5975000000000001</v>
      </c>
      <c r="AO326" s="19">
        <v>1.0475000000000001</v>
      </c>
      <c r="AP326" s="19">
        <v>0.13750000000000001</v>
      </c>
      <c r="AQ326" s="19">
        <v>0.79749999999999999</v>
      </c>
      <c r="AR326" s="19">
        <v>0.12280701754385964</v>
      </c>
      <c r="AS326" s="133">
        <v>0.15</v>
      </c>
      <c r="AT326" s="21">
        <v>5.2499999999999998E-2</v>
      </c>
      <c r="AU326" s="16">
        <v>952</v>
      </c>
      <c r="AV326" s="16">
        <v>937</v>
      </c>
      <c r="AW326" s="17">
        <v>1003</v>
      </c>
      <c r="AX326" s="133">
        <v>-1.5756302521008403E-2</v>
      </c>
      <c r="AY326" s="19">
        <v>5.3571428571428568E-2</v>
      </c>
      <c r="AZ326" s="21">
        <v>7.0437566702241189E-2</v>
      </c>
      <c r="BA326" s="15">
        <v>8</v>
      </c>
      <c r="BB326" s="17">
        <v>9</v>
      </c>
      <c r="BC326" s="15">
        <v>2</v>
      </c>
      <c r="BD326" s="17">
        <v>2</v>
      </c>
      <c r="BE326" s="15">
        <v>2392</v>
      </c>
      <c r="BF326" s="16">
        <v>3039</v>
      </c>
      <c r="BG326" s="19">
        <v>0.78710102007239224</v>
      </c>
      <c r="BH326" s="16">
        <v>775</v>
      </c>
      <c r="BI326" s="16">
        <v>1003</v>
      </c>
      <c r="BJ326" s="21">
        <v>0.77268195413758722</v>
      </c>
    </row>
    <row r="327" spans="1:62" x14ac:dyDescent="0.25">
      <c r="A327" s="29"/>
      <c r="B327" s="30"/>
      <c r="C327" s="30"/>
      <c r="D327" s="30"/>
      <c r="E327" s="31" t="s">
        <v>68</v>
      </c>
      <c r="F327" s="188">
        <v>527</v>
      </c>
      <c r="G327" s="189">
        <v>399</v>
      </c>
      <c r="H327" s="190">
        <v>0</v>
      </c>
      <c r="I327" s="190">
        <v>275</v>
      </c>
      <c r="J327" s="191">
        <v>124</v>
      </c>
      <c r="K327" s="189">
        <v>0</v>
      </c>
      <c r="L327" s="190">
        <v>18</v>
      </c>
      <c r="M327" s="190">
        <v>44</v>
      </c>
      <c r="N327" s="190">
        <v>3</v>
      </c>
      <c r="O327" s="190">
        <v>2</v>
      </c>
      <c r="P327" s="190">
        <v>0</v>
      </c>
      <c r="Q327" s="190">
        <v>5</v>
      </c>
      <c r="R327" s="191">
        <v>56</v>
      </c>
      <c r="S327" s="188">
        <v>59</v>
      </c>
      <c r="T327" s="189">
        <v>39</v>
      </c>
      <c r="U327" s="190">
        <v>1</v>
      </c>
      <c r="V327" s="190">
        <v>3</v>
      </c>
      <c r="W327" s="190">
        <v>33</v>
      </c>
      <c r="X327" s="191">
        <v>2</v>
      </c>
      <c r="Y327" s="189">
        <v>2851</v>
      </c>
      <c r="Z327" s="191">
        <v>443</v>
      </c>
      <c r="AA327" s="189">
        <v>3073</v>
      </c>
      <c r="AB327" s="191">
        <v>411</v>
      </c>
      <c r="AC327" s="189">
        <v>3029</v>
      </c>
      <c r="AD327" s="191">
        <v>418</v>
      </c>
      <c r="AE327" s="189">
        <v>93</v>
      </c>
      <c r="AF327" s="190">
        <v>55</v>
      </c>
      <c r="AG327" s="191">
        <v>319</v>
      </c>
      <c r="AH327" s="136">
        <v>7.7867414942125568E-2</v>
      </c>
      <c r="AI327" s="33">
        <v>6.2434233602244829E-2</v>
      </c>
      <c r="AJ327" s="33">
        <v>-1.4318255776114546E-2</v>
      </c>
      <c r="AK327" s="33">
        <v>-7.2234762979683967E-2</v>
      </c>
      <c r="AL327" s="33">
        <v>-5.6433408577878104E-2</v>
      </c>
      <c r="AM327" s="33">
        <v>1.7031630170316302E-2</v>
      </c>
      <c r="AN327" s="34">
        <v>7.5914786967418548</v>
      </c>
      <c r="AO327" s="33">
        <v>1.0476190476190477</v>
      </c>
      <c r="AP327" s="33">
        <v>0.13784461152882205</v>
      </c>
      <c r="AQ327" s="33">
        <v>0.79949874686716793</v>
      </c>
      <c r="AR327" s="33">
        <v>0.12307692307692308</v>
      </c>
      <c r="AS327" s="136">
        <v>0.14786967418546365</v>
      </c>
      <c r="AT327" s="35">
        <v>5.0125313283208017E-2</v>
      </c>
      <c r="AU327" s="30">
        <v>949</v>
      </c>
      <c r="AV327" s="30">
        <v>937</v>
      </c>
      <c r="AW327" s="31">
        <v>1000</v>
      </c>
      <c r="AX327" s="136">
        <v>-1.2644889357218124E-2</v>
      </c>
      <c r="AY327" s="33">
        <v>5.3740779768177031E-2</v>
      </c>
      <c r="AZ327" s="35">
        <v>6.7235859124866598E-2</v>
      </c>
      <c r="BA327" s="29">
        <v>8</v>
      </c>
      <c r="BB327" s="31">
        <v>9</v>
      </c>
      <c r="BC327" s="29">
        <v>2</v>
      </c>
      <c r="BD327" s="31">
        <v>2</v>
      </c>
      <c r="BE327" s="29">
        <v>2384</v>
      </c>
      <c r="BF327" s="30">
        <v>3029</v>
      </c>
      <c r="BG327" s="33">
        <v>0.78705843512710461</v>
      </c>
      <c r="BH327" s="30">
        <v>772</v>
      </c>
      <c r="BI327" s="30">
        <v>1000</v>
      </c>
      <c r="BJ327" s="35">
        <v>0.77200000000000002</v>
      </c>
    </row>
    <row r="328" spans="1:62" x14ac:dyDescent="0.25">
      <c r="A328" s="15"/>
      <c r="B328" s="16"/>
      <c r="C328" s="16" t="s">
        <v>229</v>
      </c>
      <c r="D328" s="16"/>
      <c r="E328" s="17"/>
      <c r="F328" s="180">
        <v>319</v>
      </c>
      <c r="G328" s="181">
        <v>291</v>
      </c>
      <c r="H328" s="182">
        <v>3</v>
      </c>
      <c r="I328" s="182">
        <v>287</v>
      </c>
      <c r="J328" s="183">
        <v>7</v>
      </c>
      <c r="K328" s="181">
        <v>0</v>
      </c>
      <c r="L328" s="182">
        <v>1</v>
      </c>
      <c r="M328" s="182">
        <v>0</v>
      </c>
      <c r="N328" s="182">
        <v>0</v>
      </c>
      <c r="O328" s="182">
        <v>9</v>
      </c>
      <c r="P328" s="182">
        <v>0</v>
      </c>
      <c r="Q328" s="182">
        <v>5</v>
      </c>
      <c r="R328" s="183">
        <v>10</v>
      </c>
      <c r="S328" s="180">
        <v>43</v>
      </c>
      <c r="T328" s="181">
        <v>42</v>
      </c>
      <c r="U328" s="182">
        <v>2</v>
      </c>
      <c r="V328" s="182">
        <v>4</v>
      </c>
      <c r="W328" s="182">
        <v>0</v>
      </c>
      <c r="X328" s="183">
        <v>36</v>
      </c>
      <c r="Y328" s="181">
        <v>226</v>
      </c>
      <c r="Z328" s="183">
        <v>106</v>
      </c>
      <c r="AA328" s="181">
        <v>240</v>
      </c>
      <c r="AB328" s="183">
        <v>121</v>
      </c>
      <c r="AC328" s="181">
        <v>251</v>
      </c>
      <c r="AD328" s="183">
        <v>120</v>
      </c>
      <c r="AE328" s="181">
        <v>205</v>
      </c>
      <c r="AF328" s="182">
        <v>142</v>
      </c>
      <c r="AG328" s="183">
        <v>41</v>
      </c>
      <c r="AH328" s="133">
        <v>6.1946902654867256E-2</v>
      </c>
      <c r="AI328" s="19">
        <v>0.11061946902654868</v>
      </c>
      <c r="AJ328" s="19">
        <v>4.583333333333333E-2</v>
      </c>
      <c r="AK328" s="19">
        <v>0.14150943396226415</v>
      </c>
      <c r="AL328" s="19">
        <v>0.13207547169811321</v>
      </c>
      <c r="AM328" s="19">
        <v>-8.2644628099173556E-3</v>
      </c>
      <c r="AN328" s="20">
        <v>0.86254295532646053</v>
      </c>
      <c r="AO328" s="19">
        <v>0.41237113402061853</v>
      </c>
      <c r="AP328" s="19">
        <v>0.48797250859106528</v>
      </c>
      <c r="AQ328" s="19">
        <v>0.14089347079037801</v>
      </c>
      <c r="AR328" s="19">
        <v>3.3222591362126248E-2</v>
      </c>
      <c r="AS328" s="133">
        <v>0.14776632302405499</v>
      </c>
      <c r="AT328" s="21">
        <v>3.4364261168384879E-3</v>
      </c>
      <c r="AU328" s="16">
        <v>88</v>
      </c>
      <c r="AV328" s="16">
        <v>83</v>
      </c>
      <c r="AW328" s="17">
        <v>85</v>
      </c>
      <c r="AX328" s="133">
        <v>-5.6818181818181816E-2</v>
      </c>
      <c r="AY328" s="19">
        <v>-3.4090909090909088E-2</v>
      </c>
      <c r="AZ328" s="21">
        <v>2.4096385542168676E-2</v>
      </c>
      <c r="BA328" s="15">
        <v>30</v>
      </c>
      <c r="BB328" s="17">
        <v>30</v>
      </c>
      <c r="BC328" s="15">
        <v>6</v>
      </c>
      <c r="BD328" s="17">
        <v>3</v>
      </c>
      <c r="BE328" s="15">
        <v>118</v>
      </c>
      <c r="BF328" s="16">
        <v>251</v>
      </c>
      <c r="BG328" s="19">
        <v>0.47011952191235062</v>
      </c>
      <c r="BH328" s="16">
        <v>51</v>
      </c>
      <c r="BI328" s="16">
        <v>85</v>
      </c>
      <c r="BJ328" s="21">
        <v>0.6</v>
      </c>
    </row>
    <row r="329" spans="1:62" x14ac:dyDescent="0.25">
      <c r="A329" s="29"/>
      <c r="B329" s="30"/>
      <c r="C329" s="30"/>
      <c r="D329" s="30"/>
      <c r="E329" s="31" t="s">
        <v>68</v>
      </c>
      <c r="F329" s="188">
        <v>182</v>
      </c>
      <c r="G329" s="189">
        <v>161</v>
      </c>
      <c r="H329" s="190">
        <v>0</v>
      </c>
      <c r="I329" s="190">
        <v>154</v>
      </c>
      <c r="J329" s="191">
        <v>7</v>
      </c>
      <c r="K329" s="189">
        <v>0</v>
      </c>
      <c r="L329" s="190">
        <v>1</v>
      </c>
      <c r="M329" s="190">
        <v>0</v>
      </c>
      <c r="N329" s="190">
        <v>0</v>
      </c>
      <c r="O329" s="190">
        <v>8</v>
      </c>
      <c r="P329" s="190">
        <v>0</v>
      </c>
      <c r="Q329" s="190">
        <v>5</v>
      </c>
      <c r="R329" s="191">
        <v>7</v>
      </c>
      <c r="S329" s="188">
        <v>0</v>
      </c>
      <c r="T329" s="189">
        <v>5</v>
      </c>
      <c r="U329" s="190">
        <v>1</v>
      </c>
      <c r="V329" s="190">
        <v>4</v>
      </c>
      <c r="W329" s="190">
        <v>0</v>
      </c>
      <c r="X329" s="191">
        <v>0</v>
      </c>
      <c r="Y329" s="189">
        <v>103</v>
      </c>
      <c r="Z329" s="191">
        <v>58</v>
      </c>
      <c r="AA329" s="189">
        <v>102</v>
      </c>
      <c r="AB329" s="191">
        <v>51</v>
      </c>
      <c r="AC329" s="189">
        <v>106</v>
      </c>
      <c r="AD329" s="191">
        <v>51</v>
      </c>
      <c r="AE329" s="189">
        <v>129</v>
      </c>
      <c r="AF329" s="190">
        <v>91</v>
      </c>
      <c r="AG329" s="191">
        <v>21</v>
      </c>
      <c r="AH329" s="136">
        <v>-9.7087378640776691E-3</v>
      </c>
      <c r="AI329" s="33">
        <v>2.9126213592233011E-2</v>
      </c>
      <c r="AJ329" s="33">
        <v>3.9215686274509803E-2</v>
      </c>
      <c r="AK329" s="33">
        <v>-0.1206896551724138</v>
      </c>
      <c r="AL329" s="33">
        <v>-0.1206896551724138</v>
      </c>
      <c r="AM329" s="33">
        <v>0</v>
      </c>
      <c r="AN329" s="34">
        <v>0.65838509316770188</v>
      </c>
      <c r="AO329" s="33">
        <v>0.31677018633540371</v>
      </c>
      <c r="AP329" s="33">
        <v>0.56521739130434778</v>
      </c>
      <c r="AQ329" s="33">
        <v>0.13043478260869565</v>
      </c>
      <c r="AR329" s="33">
        <v>4.1666666666666664E-2</v>
      </c>
      <c r="AS329" s="136">
        <v>0</v>
      </c>
      <c r="AT329" s="35">
        <v>-3.1055900621118012E-2</v>
      </c>
      <c r="AU329" s="30">
        <v>57</v>
      </c>
      <c r="AV329" s="30">
        <v>37</v>
      </c>
      <c r="AW329" s="31">
        <v>47</v>
      </c>
      <c r="AX329" s="136">
        <v>-0.35087719298245612</v>
      </c>
      <c r="AY329" s="33">
        <v>-0.17543859649122806</v>
      </c>
      <c r="AZ329" s="35">
        <v>0.27027027027027029</v>
      </c>
      <c r="BA329" s="29">
        <v>28</v>
      </c>
      <c r="BB329" s="31">
        <v>26</v>
      </c>
      <c r="BC329" s="29">
        <v>7.5</v>
      </c>
      <c r="BD329" s="31">
        <v>3</v>
      </c>
      <c r="BE329" s="29">
        <v>48</v>
      </c>
      <c r="BF329" s="30">
        <v>106</v>
      </c>
      <c r="BG329" s="33">
        <v>0.45283018867924529</v>
      </c>
      <c r="BH329" s="30">
        <v>28</v>
      </c>
      <c r="BI329" s="30">
        <v>47</v>
      </c>
      <c r="BJ329" s="35">
        <v>0.5957446808510638</v>
      </c>
    </row>
    <row r="330" spans="1:62" x14ac:dyDescent="0.25">
      <c r="A330" s="29"/>
      <c r="B330" s="30"/>
      <c r="C330" s="30"/>
      <c r="D330" s="30"/>
      <c r="E330" s="31" t="s">
        <v>148</v>
      </c>
      <c r="F330" s="188">
        <v>137</v>
      </c>
      <c r="G330" s="189">
        <v>130</v>
      </c>
      <c r="H330" s="190">
        <v>3</v>
      </c>
      <c r="I330" s="190">
        <v>133</v>
      </c>
      <c r="J330" s="191">
        <v>0</v>
      </c>
      <c r="K330" s="189">
        <v>0</v>
      </c>
      <c r="L330" s="190">
        <v>0</v>
      </c>
      <c r="M330" s="190">
        <v>0</v>
      </c>
      <c r="N330" s="190">
        <v>0</v>
      </c>
      <c r="O330" s="190">
        <v>1</v>
      </c>
      <c r="P330" s="190">
        <v>0</v>
      </c>
      <c r="Q330" s="190">
        <v>0</v>
      </c>
      <c r="R330" s="191">
        <v>3</v>
      </c>
      <c r="S330" s="188">
        <v>43</v>
      </c>
      <c r="T330" s="189">
        <v>37</v>
      </c>
      <c r="U330" s="190">
        <v>1</v>
      </c>
      <c r="V330" s="190">
        <v>0</v>
      </c>
      <c r="W330" s="190">
        <v>0</v>
      </c>
      <c r="X330" s="191">
        <v>36</v>
      </c>
      <c r="Y330" s="189">
        <v>123</v>
      </c>
      <c r="Z330" s="191">
        <v>48</v>
      </c>
      <c r="AA330" s="189">
        <v>138</v>
      </c>
      <c r="AB330" s="191">
        <v>70</v>
      </c>
      <c r="AC330" s="189">
        <v>145</v>
      </c>
      <c r="AD330" s="191">
        <v>69</v>
      </c>
      <c r="AE330" s="189">
        <v>76</v>
      </c>
      <c r="AF330" s="190">
        <v>51</v>
      </c>
      <c r="AG330" s="191">
        <v>20</v>
      </c>
      <c r="AH330" s="136">
        <v>0.12195121951219512</v>
      </c>
      <c r="AI330" s="33">
        <v>0.17886178861788618</v>
      </c>
      <c r="AJ330" s="33">
        <v>5.0724637681159424E-2</v>
      </c>
      <c r="AK330" s="33">
        <v>0.45833333333333331</v>
      </c>
      <c r="AL330" s="33">
        <v>0.4375</v>
      </c>
      <c r="AM330" s="33">
        <v>-1.4285714285714285E-2</v>
      </c>
      <c r="AN330" s="34">
        <v>1.1153846153846154</v>
      </c>
      <c r="AO330" s="33">
        <v>0.53076923076923077</v>
      </c>
      <c r="AP330" s="33">
        <v>0.3923076923076923</v>
      </c>
      <c r="AQ330" s="33">
        <v>0.15384615384615385</v>
      </c>
      <c r="AR330" s="33">
        <v>2.2556390977443608E-2</v>
      </c>
      <c r="AS330" s="136">
        <v>0.33076923076923076</v>
      </c>
      <c r="AT330" s="35">
        <v>4.6153846153846156E-2</v>
      </c>
      <c r="AU330" s="30">
        <v>41</v>
      </c>
      <c r="AV330" s="30">
        <v>52</v>
      </c>
      <c r="AW330" s="31">
        <v>43</v>
      </c>
      <c r="AX330" s="136">
        <v>0.26829268292682928</v>
      </c>
      <c r="AY330" s="33">
        <v>4.878048780487805E-2</v>
      </c>
      <c r="AZ330" s="35">
        <v>-0.17307692307692307</v>
      </c>
      <c r="BA330" s="29">
        <v>42</v>
      </c>
      <c r="BB330" s="31">
        <v>35</v>
      </c>
      <c r="BC330" s="29">
        <v>6</v>
      </c>
      <c r="BD330" s="31">
        <v>4</v>
      </c>
      <c r="BE330" s="29">
        <v>70</v>
      </c>
      <c r="BF330" s="30">
        <v>145</v>
      </c>
      <c r="BG330" s="33">
        <v>0.48275862068965519</v>
      </c>
      <c r="BH330" s="30">
        <v>24</v>
      </c>
      <c r="BI330" s="30">
        <v>43</v>
      </c>
      <c r="BJ330" s="35">
        <v>0.55813953488372092</v>
      </c>
    </row>
    <row r="331" spans="1:62" x14ac:dyDescent="0.25">
      <c r="A331" s="15"/>
      <c r="B331" s="16"/>
      <c r="C331" s="16" t="s">
        <v>84</v>
      </c>
      <c r="D331" s="16"/>
      <c r="E331" s="17"/>
      <c r="F331" s="180">
        <v>1917</v>
      </c>
      <c r="G331" s="181">
        <v>1767</v>
      </c>
      <c r="H331" s="182">
        <v>7</v>
      </c>
      <c r="I331" s="182">
        <v>761</v>
      </c>
      <c r="J331" s="183">
        <v>1013</v>
      </c>
      <c r="K331" s="181">
        <v>0</v>
      </c>
      <c r="L331" s="182">
        <v>33</v>
      </c>
      <c r="M331" s="182">
        <v>10</v>
      </c>
      <c r="N331" s="182">
        <v>5</v>
      </c>
      <c r="O331" s="182">
        <v>7</v>
      </c>
      <c r="P331" s="182">
        <v>0</v>
      </c>
      <c r="Q331" s="182">
        <v>9</v>
      </c>
      <c r="R331" s="183">
        <v>78</v>
      </c>
      <c r="S331" s="180">
        <v>75</v>
      </c>
      <c r="T331" s="181">
        <v>79</v>
      </c>
      <c r="U331" s="182">
        <v>1</v>
      </c>
      <c r="V331" s="182">
        <v>4</v>
      </c>
      <c r="W331" s="182">
        <v>7</v>
      </c>
      <c r="X331" s="183">
        <v>67</v>
      </c>
      <c r="Y331" s="181">
        <v>2566</v>
      </c>
      <c r="Z331" s="183">
        <v>1308</v>
      </c>
      <c r="AA331" s="181">
        <v>2803</v>
      </c>
      <c r="AB331" s="183">
        <v>1147</v>
      </c>
      <c r="AC331" s="181">
        <v>2675</v>
      </c>
      <c r="AD331" s="183">
        <v>1213</v>
      </c>
      <c r="AE331" s="181">
        <v>691</v>
      </c>
      <c r="AF331" s="182">
        <v>270</v>
      </c>
      <c r="AG331" s="183">
        <v>752</v>
      </c>
      <c r="AH331" s="133">
        <v>9.2361652377240838E-2</v>
      </c>
      <c r="AI331" s="19">
        <v>4.2478565861262668E-2</v>
      </c>
      <c r="AJ331" s="19">
        <v>-4.5665358544416695E-2</v>
      </c>
      <c r="AK331" s="19">
        <v>-0.12308868501529052</v>
      </c>
      <c r="AL331" s="19">
        <v>-7.2629969418960244E-2</v>
      </c>
      <c r="AM331" s="19">
        <v>5.7541412380122059E-2</v>
      </c>
      <c r="AN331" s="20">
        <v>1.5138653084323712</v>
      </c>
      <c r="AO331" s="19">
        <v>0.68647425014148278</v>
      </c>
      <c r="AP331" s="19">
        <v>0.15280135823429541</v>
      </c>
      <c r="AQ331" s="19">
        <v>0.42558007923033392</v>
      </c>
      <c r="AR331" s="19">
        <v>4.2276422764227641E-2</v>
      </c>
      <c r="AS331" s="133">
        <v>4.2444821731748725E-2</v>
      </c>
      <c r="AT331" s="21">
        <v>-2.2637238256932655E-3</v>
      </c>
      <c r="AU331" s="16">
        <v>713</v>
      </c>
      <c r="AV331" s="16">
        <v>801</v>
      </c>
      <c r="AW331" s="17">
        <v>784</v>
      </c>
      <c r="AX331" s="133">
        <v>0.12342215988779803</v>
      </c>
      <c r="AY331" s="19">
        <v>9.957924263674614E-2</v>
      </c>
      <c r="AZ331" s="21">
        <v>-2.1223470661672909E-2</v>
      </c>
      <c r="BA331" s="15">
        <v>12</v>
      </c>
      <c r="BB331" s="17">
        <v>11</v>
      </c>
      <c r="BC331" s="15">
        <v>3</v>
      </c>
      <c r="BD331" s="17">
        <v>3</v>
      </c>
      <c r="BE331" s="15">
        <v>2250</v>
      </c>
      <c r="BF331" s="16">
        <v>2675</v>
      </c>
      <c r="BG331" s="19">
        <v>0.84112149532710279</v>
      </c>
      <c r="BH331" s="16">
        <v>584</v>
      </c>
      <c r="BI331" s="16">
        <v>784</v>
      </c>
      <c r="BJ331" s="21">
        <v>0.74489795918367352</v>
      </c>
    </row>
    <row r="332" spans="1:62" x14ac:dyDescent="0.25">
      <c r="A332" s="29"/>
      <c r="B332" s="30"/>
      <c r="C332" s="30"/>
      <c r="D332" s="30"/>
      <c r="E332" s="31" t="s">
        <v>68</v>
      </c>
      <c r="F332" s="188">
        <v>1901</v>
      </c>
      <c r="G332" s="189">
        <v>1754</v>
      </c>
      <c r="H332" s="190">
        <v>7</v>
      </c>
      <c r="I332" s="190">
        <v>756</v>
      </c>
      <c r="J332" s="191">
        <v>1005</v>
      </c>
      <c r="K332" s="189">
        <v>0</v>
      </c>
      <c r="L332" s="190">
        <v>30</v>
      </c>
      <c r="M332" s="190">
        <v>10</v>
      </c>
      <c r="N332" s="190">
        <v>5</v>
      </c>
      <c r="O332" s="190">
        <v>7</v>
      </c>
      <c r="P332" s="190">
        <v>0</v>
      </c>
      <c r="Q332" s="190">
        <v>9</v>
      </c>
      <c r="R332" s="191">
        <v>78</v>
      </c>
      <c r="S332" s="188">
        <v>63</v>
      </c>
      <c r="T332" s="189">
        <v>79</v>
      </c>
      <c r="U332" s="190">
        <v>1</v>
      </c>
      <c r="V332" s="190">
        <v>4</v>
      </c>
      <c r="W332" s="190">
        <v>7</v>
      </c>
      <c r="X332" s="191">
        <v>67</v>
      </c>
      <c r="Y332" s="189">
        <v>2566</v>
      </c>
      <c r="Z332" s="191">
        <v>1308</v>
      </c>
      <c r="AA332" s="189">
        <v>2803</v>
      </c>
      <c r="AB332" s="191">
        <v>1147</v>
      </c>
      <c r="AC332" s="189">
        <v>2670</v>
      </c>
      <c r="AD332" s="191">
        <v>1209</v>
      </c>
      <c r="AE332" s="189">
        <v>682</v>
      </c>
      <c r="AF332" s="190">
        <v>261</v>
      </c>
      <c r="AG332" s="191">
        <v>750</v>
      </c>
      <c r="AH332" s="136">
        <v>9.2361652377240838E-2</v>
      </c>
      <c r="AI332" s="33">
        <v>4.053000779423227E-2</v>
      </c>
      <c r="AJ332" s="33">
        <v>-4.7449161612557973E-2</v>
      </c>
      <c r="AK332" s="33">
        <v>-0.12308868501529052</v>
      </c>
      <c r="AL332" s="33">
        <v>-7.5688073394495417E-2</v>
      </c>
      <c r="AM332" s="33">
        <v>5.4054054054054057E-2</v>
      </c>
      <c r="AN332" s="34">
        <v>1.5222348916761688</v>
      </c>
      <c r="AO332" s="33">
        <v>0.68928164196123143</v>
      </c>
      <c r="AP332" s="33">
        <v>0.14880273660205245</v>
      </c>
      <c r="AQ332" s="33">
        <v>0.427594070695553</v>
      </c>
      <c r="AR332" s="33">
        <v>4.2576419213973801E-2</v>
      </c>
      <c r="AS332" s="136">
        <v>3.5917901938426457E-2</v>
      </c>
      <c r="AT332" s="35">
        <v>-9.1220068415051314E-3</v>
      </c>
      <c r="AU332" s="30">
        <v>713</v>
      </c>
      <c r="AV332" s="30">
        <v>799</v>
      </c>
      <c r="AW332" s="31">
        <v>784</v>
      </c>
      <c r="AX332" s="136">
        <v>0.12061711079943899</v>
      </c>
      <c r="AY332" s="33">
        <v>9.957924263674614E-2</v>
      </c>
      <c r="AZ332" s="35">
        <v>-1.8773466833541929E-2</v>
      </c>
      <c r="BA332" s="29">
        <v>12</v>
      </c>
      <c r="BB332" s="31">
        <v>11</v>
      </c>
      <c r="BC332" s="29">
        <v>3</v>
      </c>
      <c r="BD332" s="31">
        <v>3</v>
      </c>
      <c r="BE332" s="29">
        <v>2245</v>
      </c>
      <c r="BF332" s="30">
        <v>2670</v>
      </c>
      <c r="BG332" s="33">
        <v>0.84082397003745324</v>
      </c>
      <c r="BH332" s="30">
        <v>584</v>
      </c>
      <c r="BI332" s="30">
        <v>784</v>
      </c>
      <c r="BJ332" s="35">
        <v>0.74489795918367352</v>
      </c>
    </row>
    <row r="333" spans="1:62" x14ac:dyDescent="0.25">
      <c r="A333" s="15"/>
      <c r="B333" s="16"/>
      <c r="C333" s="16" t="s">
        <v>85</v>
      </c>
      <c r="D333" s="16"/>
      <c r="E333" s="17"/>
      <c r="F333" s="180">
        <v>142</v>
      </c>
      <c r="G333" s="181">
        <v>112</v>
      </c>
      <c r="H333" s="182">
        <v>12</v>
      </c>
      <c r="I333" s="182">
        <v>75</v>
      </c>
      <c r="J333" s="183">
        <v>49</v>
      </c>
      <c r="K333" s="181">
        <v>0</v>
      </c>
      <c r="L333" s="182">
        <v>9</v>
      </c>
      <c r="M333" s="182">
        <v>2</v>
      </c>
      <c r="N333" s="182">
        <v>1</v>
      </c>
      <c r="O333" s="182">
        <v>2</v>
      </c>
      <c r="P333" s="182">
        <v>0</v>
      </c>
      <c r="Q333" s="182">
        <v>1</v>
      </c>
      <c r="R333" s="183">
        <v>3</v>
      </c>
      <c r="S333" s="180">
        <v>14</v>
      </c>
      <c r="T333" s="181">
        <v>2</v>
      </c>
      <c r="U333" s="182">
        <v>0</v>
      </c>
      <c r="V333" s="182">
        <v>1</v>
      </c>
      <c r="W333" s="182">
        <v>1</v>
      </c>
      <c r="X333" s="183">
        <v>0</v>
      </c>
      <c r="Y333" s="181">
        <v>265</v>
      </c>
      <c r="Z333" s="183">
        <v>63</v>
      </c>
      <c r="AA333" s="181">
        <v>332</v>
      </c>
      <c r="AB333" s="183">
        <v>91</v>
      </c>
      <c r="AC333" s="181">
        <v>323</v>
      </c>
      <c r="AD333" s="183">
        <v>89</v>
      </c>
      <c r="AE333" s="181">
        <v>33</v>
      </c>
      <c r="AF333" s="182">
        <v>16</v>
      </c>
      <c r="AG333" s="183">
        <v>62</v>
      </c>
      <c r="AH333" s="133">
        <v>0.25283018867924528</v>
      </c>
      <c r="AI333" s="19">
        <v>0.21886792452830189</v>
      </c>
      <c r="AJ333" s="19">
        <v>-2.710843373493976E-2</v>
      </c>
      <c r="AK333" s="19">
        <v>0.44444444444444442</v>
      </c>
      <c r="AL333" s="19">
        <v>0.41269841269841268</v>
      </c>
      <c r="AM333" s="19">
        <v>-2.197802197802198E-2</v>
      </c>
      <c r="AN333" s="20">
        <v>2.8839285714285716</v>
      </c>
      <c r="AO333" s="19">
        <v>0.7946428571428571</v>
      </c>
      <c r="AP333" s="19">
        <v>0.14285714285714285</v>
      </c>
      <c r="AQ333" s="19">
        <v>0.5535714285714286</v>
      </c>
      <c r="AR333" s="19">
        <v>2.6086956521739129E-2</v>
      </c>
      <c r="AS333" s="133">
        <v>0.125</v>
      </c>
      <c r="AT333" s="21">
        <v>0.10714285714285714</v>
      </c>
      <c r="AU333" s="16">
        <v>194</v>
      </c>
      <c r="AV333" s="16">
        <v>221</v>
      </c>
      <c r="AW333" s="17">
        <v>199</v>
      </c>
      <c r="AX333" s="133">
        <v>0.13917525773195877</v>
      </c>
      <c r="AY333" s="19">
        <v>2.5773195876288658E-2</v>
      </c>
      <c r="AZ333" s="21">
        <v>-9.9547511312217188E-2</v>
      </c>
      <c r="BA333" s="15">
        <v>12</v>
      </c>
      <c r="BB333" s="17">
        <v>12</v>
      </c>
      <c r="BC333" s="15">
        <v>3</v>
      </c>
      <c r="BD333" s="17">
        <v>3</v>
      </c>
      <c r="BE333" s="15">
        <v>218</v>
      </c>
      <c r="BF333" s="16">
        <v>323</v>
      </c>
      <c r="BG333" s="19">
        <v>0.67492260061919507</v>
      </c>
      <c r="BH333" s="16">
        <v>136</v>
      </c>
      <c r="BI333" s="16">
        <v>199</v>
      </c>
      <c r="BJ333" s="21">
        <v>0.68341708542713564</v>
      </c>
    </row>
    <row r="334" spans="1:62" x14ac:dyDescent="0.25">
      <c r="A334" s="29"/>
      <c r="B334" s="30"/>
      <c r="C334" s="30"/>
      <c r="D334" s="30"/>
      <c r="E334" s="31" t="s">
        <v>68</v>
      </c>
      <c r="F334" s="188">
        <v>141</v>
      </c>
      <c r="G334" s="189">
        <v>111</v>
      </c>
      <c r="H334" s="190">
        <v>12</v>
      </c>
      <c r="I334" s="190">
        <v>74</v>
      </c>
      <c r="J334" s="191">
        <v>49</v>
      </c>
      <c r="K334" s="189">
        <v>0</v>
      </c>
      <c r="L334" s="190">
        <v>9</v>
      </c>
      <c r="M334" s="190">
        <v>2</v>
      </c>
      <c r="N334" s="190">
        <v>1</v>
      </c>
      <c r="O334" s="190">
        <v>2</v>
      </c>
      <c r="P334" s="190">
        <v>0</v>
      </c>
      <c r="Q334" s="190">
        <v>1</v>
      </c>
      <c r="R334" s="191">
        <v>3</v>
      </c>
      <c r="S334" s="188">
        <v>13</v>
      </c>
      <c r="T334" s="189">
        <v>2</v>
      </c>
      <c r="U334" s="190">
        <v>0</v>
      </c>
      <c r="V334" s="190">
        <v>1</v>
      </c>
      <c r="W334" s="190">
        <v>1</v>
      </c>
      <c r="X334" s="191">
        <v>0</v>
      </c>
      <c r="Y334" s="189">
        <v>265</v>
      </c>
      <c r="Z334" s="191">
        <v>63</v>
      </c>
      <c r="AA334" s="189">
        <v>332</v>
      </c>
      <c r="AB334" s="191">
        <v>91</v>
      </c>
      <c r="AC334" s="189">
        <v>320</v>
      </c>
      <c r="AD334" s="191">
        <v>88</v>
      </c>
      <c r="AE334" s="189">
        <v>33</v>
      </c>
      <c r="AF334" s="190">
        <v>16</v>
      </c>
      <c r="AG334" s="191">
        <v>62</v>
      </c>
      <c r="AH334" s="136">
        <v>0.25283018867924528</v>
      </c>
      <c r="AI334" s="33">
        <v>0.20754716981132076</v>
      </c>
      <c r="AJ334" s="33">
        <v>-3.614457831325301E-2</v>
      </c>
      <c r="AK334" s="33">
        <v>0.44444444444444442</v>
      </c>
      <c r="AL334" s="33">
        <v>0.3968253968253968</v>
      </c>
      <c r="AM334" s="33">
        <v>-3.2967032967032968E-2</v>
      </c>
      <c r="AN334" s="34">
        <v>2.8828828828828827</v>
      </c>
      <c r="AO334" s="33">
        <v>0.7927927927927928</v>
      </c>
      <c r="AP334" s="33">
        <v>0.14414414414414414</v>
      </c>
      <c r="AQ334" s="33">
        <v>0.55855855855855852</v>
      </c>
      <c r="AR334" s="33">
        <v>2.6315789473684209E-2</v>
      </c>
      <c r="AS334" s="136">
        <v>0.11711711711711711</v>
      </c>
      <c r="AT334" s="35">
        <v>9.90990990990991E-2</v>
      </c>
      <c r="AU334" s="30">
        <v>194</v>
      </c>
      <c r="AV334" s="30">
        <v>221</v>
      </c>
      <c r="AW334" s="31">
        <v>197</v>
      </c>
      <c r="AX334" s="136">
        <v>0.13917525773195877</v>
      </c>
      <c r="AY334" s="33">
        <v>1.5463917525773196E-2</v>
      </c>
      <c r="AZ334" s="35">
        <v>-0.10859728506787331</v>
      </c>
      <c r="BA334" s="29">
        <v>12</v>
      </c>
      <c r="BB334" s="31">
        <v>12</v>
      </c>
      <c r="BC334" s="29">
        <v>2.5</v>
      </c>
      <c r="BD334" s="31">
        <v>3</v>
      </c>
      <c r="BE334" s="29">
        <v>215</v>
      </c>
      <c r="BF334" s="30">
        <v>320</v>
      </c>
      <c r="BG334" s="33">
        <v>0.671875</v>
      </c>
      <c r="BH334" s="30">
        <v>134</v>
      </c>
      <c r="BI334" s="30">
        <v>197</v>
      </c>
      <c r="BJ334" s="35">
        <v>0.68020304568527923</v>
      </c>
    </row>
    <row r="335" spans="1:62" x14ac:dyDescent="0.25">
      <c r="A335" s="15"/>
      <c r="B335" s="16"/>
      <c r="C335" s="16" t="s">
        <v>86</v>
      </c>
      <c r="D335" s="16"/>
      <c r="E335" s="17"/>
      <c r="F335" s="180">
        <v>244</v>
      </c>
      <c r="G335" s="181">
        <v>175</v>
      </c>
      <c r="H335" s="182">
        <v>22</v>
      </c>
      <c r="I335" s="182">
        <v>139</v>
      </c>
      <c r="J335" s="183">
        <v>58</v>
      </c>
      <c r="K335" s="181">
        <v>0</v>
      </c>
      <c r="L335" s="182">
        <v>6</v>
      </c>
      <c r="M335" s="182">
        <v>8</v>
      </c>
      <c r="N335" s="182">
        <v>0</v>
      </c>
      <c r="O335" s="182">
        <v>11</v>
      </c>
      <c r="P335" s="182">
        <v>0</v>
      </c>
      <c r="Q335" s="182">
        <v>3</v>
      </c>
      <c r="R335" s="183">
        <v>19</v>
      </c>
      <c r="S335" s="180">
        <v>11</v>
      </c>
      <c r="T335" s="181">
        <v>7</v>
      </c>
      <c r="U335" s="182">
        <v>1</v>
      </c>
      <c r="V335" s="182">
        <v>2</v>
      </c>
      <c r="W335" s="182">
        <v>3</v>
      </c>
      <c r="X335" s="183">
        <v>1</v>
      </c>
      <c r="Y335" s="181">
        <v>401</v>
      </c>
      <c r="Z335" s="183">
        <v>117</v>
      </c>
      <c r="AA335" s="181">
        <v>409</v>
      </c>
      <c r="AB335" s="183">
        <v>138</v>
      </c>
      <c r="AC335" s="181">
        <v>426</v>
      </c>
      <c r="AD335" s="183">
        <v>130</v>
      </c>
      <c r="AE335" s="181">
        <v>87</v>
      </c>
      <c r="AF335" s="182">
        <v>37</v>
      </c>
      <c r="AG335" s="183">
        <v>76</v>
      </c>
      <c r="AH335" s="133">
        <v>1.9950124688279301E-2</v>
      </c>
      <c r="AI335" s="19">
        <v>6.2344139650872821E-2</v>
      </c>
      <c r="AJ335" s="19">
        <v>4.1564792176039117E-2</v>
      </c>
      <c r="AK335" s="19">
        <v>0.17948717948717949</v>
      </c>
      <c r="AL335" s="19">
        <v>0.1111111111111111</v>
      </c>
      <c r="AM335" s="19">
        <v>-5.7971014492753624E-2</v>
      </c>
      <c r="AN335" s="20">
        <v>2.4342857142857142</v>
      </c>
      <c r="AO335" s="19">
        <v>0.74285714285714288</v>
      </c>
      <c r="AP335" s="19">
        <v>0.21142857142857144</v>
      </c>
      <c r="AQ335" s="19">
        <v>0.43428571428571427</v>
      </c>
      <c r="AR335" s="19">
        <v>9.7938144329896906E-2</v>
      </c>
      <c r="AS335" s="133">
        <v>6.2857142857142861E-2</v>
      </c>
      <c r="AT335" s="21">
        <v>2.2857142857142857E-2</v>
      </c>
      <c r="AU335" s="16">
        <v>223</v>
      </c>
      <c r="AV335" s="16">
        <v>256</v>
      </c>
      <c r="AW335" s="17">
        <v>232</v>
      </c>
      <c r="AX335" s="133">
        <v>0.14798206278026907</v>
      </c>
      <c r="AY335" s="19">
        <v>4.0358744394618833E-2</v>
      </c>
      <c r="AZ335" s="21">
        <v>-9.375E-2</v>
      </c>
      <c r="BA335" s="15">
        <v>10</v>
      </c>
      <c r="BB335" s="17">
        <v>11</v>
      </c>
      <c r="BC335" s="15">
        <v>2</v>
      </c>
      <c r="BD335" s="17">
        <v>2</v>
      </c>
      <c r="BE335" s="15">
        <v>353</v>
      </c>
      <c r="BF335" s="16">
        <v>426</v>
      </c>
      <c r="BG335" s="19">
        <v>0.82863849765258213</v>
      </c>
      <c r="BH335" s="16">
        <v>179</v>
      </c>
      <c r="BI335" s="16">
        <v>232</v>
      </c>
      <c r="BJ335" s="21">
        <v>0.77155172413793105</v>
      </c>
    </row>
    <row r="336" spans="1:62" x14ac:dyDescent="0.25">
      <c r="A336" s="29"/>
      <c r="B336" s="30"/>
      <c r="C336" s="30"/>
      <c r="D336" s="30"/>
      <c r="E336" s="31" t="s">
        <v>68</v>
      </c>
      <c r="F336" s="188">
        <v>236</v>
      </c>
      <c r="G336" s="189">
        <v>171</v>
      </c>
      <c r="H336" s="190">
        <v>22</v>
      </c>
      <c r="I336" s="190">
        <v>135</v>
      </c>
      <c r="J336" s="191">
        <v>58</v>
      </c>
      <c r="K336" s="189">
        <v>0</v>
      </c>
      <c r="L336" s="190">
        <v>5</v>
      </c>
      <c r="M336" s="190">
        <v>8</v>
      </c>
      <c r="N336" s="190">
        <v>0</v>
      </c>
      <c r="O336" s="190">
        <v>9</v>
      </c>
      <c r="P336" s="190">
        <v>0</v>
      </c>
      <c r="Q336" s="190">
        <v>2</v>
      </c>
      <c r="R336" s="191">
        <v>19</v>
      </c>
      <c r="S336" s="188">
        <v>11</v>
      </c>
      <c r="T336" s="189">
        <v>6</v>
      </c>
      <c r="U336" s="190">
        <v>1</v>
      </c>
      <c r="V336" s="190">
        <v>1</v>
      </c>
      <c r="W336" s="190">
        <v>3</v>
      </c>
      <c r="X336" s="191">
        <v>1</v>
      </c>
      <c r="Y336" s="189">
        <v>396</v>
      </c>
      <c r="Z336" s="191">
        <v>114</v>
      </c>
      <c r="AA336" s="189">
        <v>407</v>
      </c>
      <c r="AB336" s="191">
        <v>137</v>
      </c>
      <c r="AC336" s="189">
        <v>425</v>
      </c>
      <c r="AD336" s="191">
        <v>129</v>
      </c>
      <c r="AE336" s="189">
        <v>81</v>
      </c>
      <c r="AF336" s="190">
        <v>31</v>
      </c>
      <c r="AG336" s="191">
        <v>75</v>
      </c>
      <c r="AH336" s="136">
        <v>2.7777777777777776E-2</v>
      </c>
      <c r="AI336" s="33">
        <v>7.3232323232323232E-2</v>
      </c>
      <c r="AJ336" s="33">
        <v>4.4226044226044224E-2</v>
      </c>
      <c r="AK336" s="33">
        <v>0.20175438596491227</v>
      </c>
      <c r="AL336" s="33">
        <v>0.13157894736842105</v>
      </c>
      <c r="AM336" s="33">
        <v>-5.8394160583941604E-2</v>
      </c>
      <c r="AN336" s="34">
        <v>2.4853801169590644</v>
      </c>
      <c r="AO336" s="33">
        <v>0.75438596491228072</v>
      </c>
      <c r="AP336" s="33">
        <v>0.18128654970760233</v>
      </c>
      <c r="AQ336" s="33">
        <v>0.43859649122807015</v>
      </c>
      <c r="AR336" s="33">
        <v>0.1</v>
      </c>
      <c r="AS336" s="136">
        <v>6.4327485380116955E-2</v>
      </c>
      <c r="AT336" s="35">
        <v>2.9239766081871343E-2</v>
      </c>
      <c r="AU336" s="30">
        <v>221</v>
      </c>
      <c r="AV336" s="30">
        <v>255</v>
      </c>
      <c r="AW336" s="31">
        <v>231</v>
      </c>
      <c r="AX336" s="136">
        <v>0.15384615384615385</v>
      </c>
      <c r="AY336" s="33">
        <v>4.5248868778280542E-2</v>
      </c>
      <c r="AZ336" s="35">
        <v>-9.4117647058823528E-2</v>
      </c>
      <c r="BA336" s="29">
        <v>10</v>
      </c>
      <c r="BB336" s="31">
        <v>11</v>
      </c>
      <c r="BC336" s="29">
        <v>2</v>
      </c>
      <c r="BD336" s="31">
        <v>2</v>
      </c>
      <c r="BE336" s="29">
        <v>353</v>
      </c>
      <c r="BF336" s="30">
        <v>425</v>
      </c>
      <c r="BG336" s="33">
        <v>0.83058823529411763</v>
      </c>
      <c r="BH336" s="30">
        <v>179</v>
      </c>
      <c r="BI336" s="30">
        <v>231</v>
      </c>
      <c r="BJ336" s="35">
        <v>0.77489177489177485</v>
      </c>
    </row>
    <row r="337" spans="1:62" x14ac:dyDescent="0.25">
      <c r="A337" s="15"/>
      <c r="B337" s="16"/>
      <c r="C337" s="16" t="s">
        <v>87</v>
      </c>
      <c r="D337" s="16"/>
      <c r="E337" s="17"/>
      <c r="F337" s="180">
        <v>447</v>
      </c>
      <c r="G337" s="181">
        <v>423</v>
      </c>
      <c r="H337" s="182">
        <v>2</v>
      </c>
      <c r="I337" s="182">
        <v>72</v>
      </c>
      <c r="J337" s="183">
        <v>353</v>
      </c>
      <c r="K337" s="181">
        <v>0</v>
      </c>
      <c r="L337" s="182">
        <v>3</v>
      </c>
      <c r="M337" s="182">
        <v>2</v>
      </c>
      <c r="N337" s="182">
        <v>3</v>
      </c>
      <c r="O337" s="182">
        <v>4</v>
      </c>
      <c r="P337" s="182">
        <v>0</v>
      </c>
      <c r="Q337" s="182">
        <v>3</v>
      </c>
      <c r="R337" s="183">
        <v>7</v>
      </c>
      <c r="S337" s="180">
        <v>7</v>
      </c>
      <c r="T337" s="181">
        <v>11</v>
      </c>
      <c r="U337" s="182">
        <v>0</v>
      </c>
      <c r="V337" s="182">
        <v>2</v>
      </c>
      <c r="W337" s="182">
        <v>1</v>
      </c>
      <c r="X337" s="183">
        <v>8</v>
      </c>
      <c r="Y337" s="181">
        <v>487</v>
      </c>
      <c r="Z337" s="183">
        <v>214</v>
      </c>
      <c r="AA337" s="181">
        <v>362</v>
      </c>
      <c r="AB337" s="183">
        <v>133</v>
      </c>
      <c r="AC337" s="181">
        <v>462</v>
      </c>
      <c r="AD337" s="183">
        <v>152</v>
      </c>
      <c r="AE337" s="181">
        <v>295</v>
      </c>
      <c r="AF337" s="182">
        <v>239</v>
      </c>
      <c r="AG337" s="183">
        <v>107</v>
      </c>
      <c r="AH337" s="133">
        <v>-0.25667351129363447</v>
      </c>
      <c r="AI337" s="19">
        <v>-5.1334702258726897E-2</v>
      </c>
      <c r="AJ337" s="19">
        <v>0.27624309392265195</v>
      </c>
      <c r="AK337" s="19">
        <v>-0.37850467289719625</v>
      </c>
      <c r="AL337" s="19">
        <v>-0.28971962616822428</v>
      </c>
      <c r="AM337" s="19">
        <v>0.14285714285714285</v>
      </c>
      <c r="AN337" s="20">
        <v>1.0921985815602837</v>
      </c>
      <c r="AO337" s="19">
        <v>0.35933806146572106</v>
      </c>
      <c r="AP337" s="19">
        <v>0.56501182033096931</v>
      </c>
      <c r="AQ337" s="19">
        <v>0.25295508274231676</v>
      </c>
      <c r="AR337" s="19">
        <v>1.627906976744186E-2</v>
      </c>
      <c r="AS337" s="133">
        <v>1.6548463356973995E-2</v>
      </c>
      <c r="AT337" s="21">
        <v>-9.4562647754137114E-3</v>
      </c>
      <c r="AU337" s="16">
        <v>145</v>
      </c>
      <c r="AV337" s="16">
        <v>122</v>
      </c>
      <c r="AW337" s="17">
        <v>135</v>
      </c>
      <c r="AX337" s="133">
        <v>-0.15862068965517243</v>
      </c>
      <c r="AY337" s="19">
        <v>-6.8965517241379309E-2</v>
      </c>
      <c r="AZ337" s="21">
        <v>0.10655737704918032</v>
      </c>
      <c r="BA337" s="15">
        <v>11</v>
      </c>
      <c r="BB337" s="17">
        <v>11</v>
      </c>
      <c r="BC337" s="15">
        <v>2</v>
      </c>
      <c r="BD337" s="17">
        <v>1</v>
      </c>
      <c r="BE337" s="15">
        <v>439</v>
      </c>
      <c r="BF337" s="16">
        <v>462</v>
      </c>
      <c r="BG337" s="19">
        <v>0.95021645021645018</v>
      </c>
      <c r="BH337" s="16">
        <v>117</v>
      </c>
      <c r="BI337" s="16">
        <v>135</v>
      </c>
      <c r="BJ337" s="21">
        <v>0.8666666666666667</v>
      </c>
    </row>
    <row r="338" spans="1:62" x14ac:dyDescent="0.25">
      <c r="A338" s="29"/>
      <c r="B338" s="30"/>
      <c r="C338" s="30"/>
      <c r="D338" s="30"/>
      <c r="E338" s="31" t="s">
        <v>68</v>
      </c>
      <c r="F338" s="188">
        <v>446</v>
      </c>
      <c r="G338" s="189">
        <v>422</v>
      </c>
      <c r="H338" s="190">
        <v>2</v>
      </c>
      <c r="I338" s="190">
        <v>71</v>
      </c>
      <c r="J338" s="191">
        <v>353</v>
      </c>
      <c r="K338" s="189">
        <v>0</v>
      </c>
      <c r="L338" s="190">
        <v>3</v>
      </c>
      <c r="M338" s="190">
        <v>2</v>
      </c>
      <c r="N338" s="190">
        <v>3</v>
      </c>
      <c r="O338" s="190">
        <v>4</v>
      </c>
      <c r="P338" s="190">
        <v>0</v>
      </c>
      <c r="Q338" s="190">
        <v>3</v>
      </c>
      <c r="R338" s="191">
        <v>7</v>
      </c>
      <c r="S338" s="188">
        <v>6</v>
      </c>
      <c r="T338" s="189">
        <v>11</v>
      </c>
      <c r="U338" s="190">
        <v>0</v>
      </c>
      <c r="V338" s="190">
        <v>2</v>
      </c>
      <c r="W338" s="190">
        <v>1</v>
      </c>
      <c r="X338" s="191">
        <v>8</v>
      </c>
      <c r="Y338" s="189">
        <v>487</v>
      </c>
      <c r="Z338" s="191">
        <v>214</v>
      </c>
      <c r="AA338" s="189">
        <v>362</v>
      </c>
      <c r="AB338" s="191">
        <v>133</v>
      </c>
      <c r="AC338" s="189">
        <v>462</v>
      </c>
      <c r="AD338" s="191">
        <v>152</v>
      </c>
      <c r="AE338" s="189">
        <v>294</v>
      </c>
      <c r="AF338" s="190">
        <v>238</v>
      </c>
      <c r="AG338" s="191">
        <v>107</v>
      </c>
      <c r="AH338" s="136">
        <v>-0.25667351129363447</v>
      </c>
      <c r="AI338" s="33">
        <v>-5.1334702258726897E-2</v>
      </c>
      <c r="AJ338" s="33">
        <v>0.27624309392265195</v>
      </c>
      <c r="AK338" s="33">
        <v>-0.37850467289719625</v>
      </c>
      <c r="AL338" s="33">
        <v>-0.28971962616822428</v>
      </c>
      <c r="AM338" s="33">
        <v>0.14285714285714285</v>
      </c>
      <c r="AN338" s="34">
        <v>1.09478672985782</v>
      </c>
      <c r="AO338" s="33">
        <v>0.36018957345971564</v>
      </c>
      <c r="AP338" s="33">
        <v>0.56398104265402849</v>
      </c>
      <c r="AQ338" s="33">
        <v>0.25355450236966826</v>
      </c>
      <c r="AR338" s="33">
        <v>1.6317016317016316E-2</v>
      </c>
      <c r="AS338" s="136">
        <v>1.4218009478672985E-2</v>
      </c>
      <c r="AT338" s="35">
        <v>-1.1848341232227487E-2</v>
      </c>
      <c r="AU338" s="30">
        <v>145</v>
      </c>
      <c r="AV338" s="30">
        <v>122</v>
      </c>
      <c r="AW338" s="31">
        <v>135</v>
      </c>
      <c r="AX338" s="136">
        <v>-0.15862068965517243</v>
      </c>
      <c r="AY338" s="33">
        <v>-6.8965517241379309E-2</v>
      </c>
      <c r="AZ338" s="35">
        <v>0.10655737704918032</v>
      </c>
      <c r="BA338" s="29">
        <v>11</v>
      </c>
      <c r="BB338" s="31">
        <v>11</v>
      </c>
      <c r="BC338" s="29">
        <v>2</v>
      </c>
      <c r="BD338" s="31">
        <v>1</v>
      </c>
      <c r="BE338" s="29">
        <v>439</v>
      </c>
      <c r="BF338" s="30">
        <v>462</v>
      </c>
      <c r="BG338" s="33">
        <v>0.95021645021645018</v>
      </c>
      <c r="BH338" s="30">
        <v>117</v>
      </c>
      <c r="BI338" s="30">
        <v>135</v>
      </c>
      <c r="BJ338" s="35">
        <v>0.8666666666666667</v>
      </c>
    </row>
    <row r="339" spans="1:62" x14ac:dyDescent="0.25">
      <c r="A339" s="15"/>
      <c r="B339" s="16"/>
      <c r="C339" s="16" t="s">
        <v>88</v>
      </c>
      <c r="D339" s="16"/>
      <c r="E339" s="17"/>
      <c r="F339" s="180">
        <v>429</v>
      </c>
      <c r="G339" s="181">
        <v>134</v>
      </c>
      <c r="H339" s="182">
        <v>280</v>
      </c>
      <c r="I339" s="182">
        <v>0</v>
      </c>
      <c r="J339" s="183">
        <v>414</v>
      </c>
      <c r="K339" s="181">
        <v>0</v>
      </c>
      <c r="L339" s="182">
        <v>0</v>
      </c>
      <c r="M339" s="182">
        <v>0</v>
      </c>
      <c r="N339" s="182">
        <v>0</v>
      </c>
      <c r="O339" s="182">
        <v>12</v>
      </c>
      <c r="P339" s="182">
        <v>0</v>
      </c>
      <c r="Q339" s="182">
        <v>0</v>
      </c>
      <c r="R339" s="183">
        <v>3</v>
      </c>
      <c r="S339" s="180">
        <v>0</v>
      </c>
      <c r="T339" s="181"/>
      <c r="U339" s="182"/>
      <c r="V339" s="182"/>
      <c r="W339" s="182"/>
      <c r="X339" s="183"/>
      <c r="Y339" s="181">
        <v>108</v>
      </c>
      <c r="Z339" s="183">
        <v>98</v>
      </c>
      <c r="AA339" s="181">
        <v>80</v>
      </c>
      <c r="AB339" s="183">
        <v>80</v>
      </c>
      <c r="AC339" s="181">
        <v>80</v>
      </c>
      <c r="AD339" s="183">
        <v>80</v>
      </c>
      <c r="AE339" s="181">
        <v>69</v>
      </c>
      <c r="AF339" s="182">
        <v>48</v>
      </c>
      <c r="AG339" s="183">
        <v>83</v>
      </c>
      <c r="AH339" s="133">
        <v>-0.25925925925925924</v>
      </c>
      <c r="AI339" s="19">
        <v>-0.25925925925925924</v>
      </c>
      <c r="AJ339" s="19">
        <v>0</v>
      </c>
      <c r="AK339" s="19">
        <v>-0.18367346938775511</v>
      </c>
      <c r="AL339" s="19">
        <v>-0.18367346938775511</v>
      </c>
      <c r="AM339" s="19">
        <v>0</v>
      </c>
      <c r="AN339" s="20">
        <v>0.59701492537313428</v>
      </c>
      <c r="AO339" s="19">
        <v>0.59701492537313428</v>
      </c>
      <c r="AP339" s="19">
        <v>0.35820895522388058</v>
      </c>
      <c r="AQ339" s="19">
        <v>0.61940298507462688</v>
      </c>
      <c r="AR339" s="19">
        <v>2.1897810218978103E-2</v>
      </c>
      <c r="AS339" s="133">
        <v>0</v>
      </c>
      <c r="AT339" s="21">
        <v>0</v>
      </c>
      <c r="AU339" s="16">
        <v>31</v>
      </c>
      <c r="AV339" s="16">
        <v>4</v>
      </c>
      <c r="AW339" s="17">
        <v>4</v>
      </c>
      <c r="AX339" s="133">
        <v>-0.87096774193548387</v>
      </c>
      <c r="AY339" s="19">
        <v>-0.87096774193548387</v>
      </c>
      <c r="AZ339" s="21">
        <v>0</v>
      </c>
      <c r="BA339" s="15"/>
      <c r="BB339" s="17"/>
      <c r="BC339" s="15">
        <v>0</v>
      </c>
      <c r="BD339" s="17">
        <v>0</v>
      </c>
      <c r="BE339" s="15">
        <v>80</v>
      </c>
      <c r="BF339" s="16">
        <v>80</v>
      </c>
      <c r="BG339" s="19">
        <v>1</v>
      </c>
      <c r="BH339" s="16">
        <v>4</v>
      </c>
      <c r="BI339" s="16">
        <v>4</v>
      </c>
      <c r="BJ339" s="21">
        <v>1</v>
      </c>
    </row>
    <row r="340" spans="1:62" x14ac:dyDescent="0.25">
      <c r="A340" s="29"/>
      <c r="B340" s="30"/>
      <c r="C340" s="30"/>
      <c r="D340" s="30"/>
      <c r="E340" s="31" t="s">
        <v>68</v>
      </c>
      <c r="F340" s="188">
        <v>429</v>
      </c>
      <c r="G340" s="189">
        <v>134</v>
      </c>
      <c r="H340" s="190">
        <v>280</v>
      </c>
      <c r="I340" s="190">
        <v>0</v>
      </c>
      <c r="J340" s="191">
        <v>414</v>
      </c>
      <c r="K340" s="189">
        <v>0</v>
      </c>
      <c r="L340" s="190">
        <v>0</v>
      </c>
      <c r="M340" s="190">
        <v>0</v>
      </c>
      <c r="N340" s="190">
        <v>0</v>
      </c>
      <c r="O340" s="190">
        <v>12</v>
      </c>
      <c r="P340" s="190">
        <v>0</v>
      </c>
      <c r="Q340" s="190">
        <v>0</v>
      </c>
      <c r="R340" s="191">
        <v>3</v>
      </c>
      <c r="S340" s="188">
        <v>0</v>
      </c>
      <c r="T340" s="189"/>
      <c r="U340" s="190"/>
      <c r="V340" s="190"/>
      <c r="W340" s="190"/>
      <c r="X340" s="191"/>
      <c r="Y340" s="189">
        <v>108</v>
      </c>
      <c r="Z340" s="191">
        <v>98</v>
      </c>
      <c r="AA340" s="189">
        <v>80</v>
      </c>
      <c r="AB340" s="191">
        <v>80</v>
      </c>
      <c r="AC340" s="189">
        <v>80</v>
      </c>
      <c r="AD340" s="191">
        <v>80</v>
      </c>
      <c r="AE340" s="189">
        <v>69</v>
      </c>
      <c r="AF340" s="190">
        <v>48</v>
      </c>
      <c r="AG340" s="191">
        <v>83</v>
      </c>
      <c r="AH340" s="136">
        <v>-0.25925925925925924</v>
      </c>
      <c r="AI340" s="33">
        <v>-0.25925925925925924</v>
      </c>
      <c r="AJ340" s="33">
        <v>0</v>
      </c>
      <c r="AK340" s="33">
        <v>-0.18367346938775511</v>
      </c>
      <c r="AL340" s="33">
        <v>-0.18367346938775511</v>
      </c>
      <c r="AM340" s="33">
        <v>0</v>
      </c>
      <c r="AN340" s="34">
        <v>0.59701492537313428</v>
      </c>
      <c r="AO340" s="33">
        <v>0.59701492537313428</v>
      </c>
      <c r="AP340" s="33">
        <v>0.35820895522388058</v>
      </c>
      <c r="AQ340" s="33">
        <v>0.61940298507462688</v>
      </c>
      <c r="AR340" s="33">
        <v>2.1897810218978103E-2</v>
      </c>
      <c r="AS340" s="136">
        <v>0</v>
      </c>
      <c r="AT340" s="35">
        <v>0</v>
      </c>
      <c r="AU340" s="30">
        <v>31</v>
      </c>
      <c r="AV340" s="30">
        <v>4</v>
      </c>
      <c r="AW340" s="31">
        <v>4</v>
      </c>
      <c r="AX340" s="136">
        <v>-0.87096774193548387</v>
      </c>
      <c r="AY340" s="33">
        <v>-0.87096774193548387</v>
      </c>
      <c r="AZ340" s="35">
        <v>0</v>
      </c>
      <c r="BA340" s="29"/>
      <c r="BB340" s="31"/>
      <c r="BC340" s="29">
        <v>0</v>
      </c>
      <c r="BD340" s="31">
        <v>0</v>
      </c>
      <c r="BE340" s="29">
        <v>80</v>
      </c>
      <c r="BF340" s="30">
        <v>80</v>
      </c>
      <c r="BG340" s="33">
        <v>1</v>
      </c>
      <c r="BH340" s="30">
        <v>4</v>
      </c>
      <c r="BI340" s="30">
        <v>4</v>
      </c>
      <c r="BJ340" s="35">
        <v>1</v>
      </c>
    </row>
    <row r="341" spans="1:62" x14ac:dyDescent="0.25">
      <c r="A341" s="15"/>
      <c r="B341" s="16"/>
      <c r="C341" s="16" t="s">
        <v>89</v>
      </c>
      <c r="D341" s="16"/>
      <c r="E341" s="17"/>
      <c r="F341" s="180">
        <v>220</v>
      </c>
      <c r="G341" s="181">
        <v>194</v>
      </c>
      <c r="H341" s="182">
        <v>0</v>
      </c>
      <c r="I341" s="182">
        <v>127</v>
      </c>
      <c r="J341" s="183">
        <v>67</v>
      </c>
      <c r="K341" s="181">
        <v>0</v>
      </c>
      <c r="L341" s="182">
        <v>3</v>
      </c>
      <c r="M341" s="182">
        <v>4</v>
      </c>
      <c r="N341" s="182">
        <v>1</v>
      </c>
      <c r="O341" s="182">
        <v>0</v>
      </c>
      <c r="P341" s="182">
        <v>0</v>
      </c>
      <c r="Q341" s="182">
        <v>1</v>
      </c>
      <c r="R341" s="183">
        <v>17</v>
      </c>
      <c r="S341" s="180">
        <v>16</v>
      </c>
      <c r="T341" s="181">
        <v>8</v>
      </c>
      <c r="U341" s="182">
        <v>0</v>
      </c>
      <c r="V341" s="182">
        <v>1</v>
      </c>
      <c r="W341" s="182">
        <v>3</v>
      </c>
      <c r="X341" s="183">
        <v>4</v>
      </c>
      <c r="Y341" s="181">
        <v>340</v>
      </c>
      <c r="Z341" s="183">
        <v>141</v>
      </c>
      <c r="AA341" s="181">
        <v>381</v>
      </c>
      <c r="AB341" s="183">
        <v>144</v>
      </c>
      <c r="AC341" s="181">
        <v>429</v>
      </c>
      <c r="AD341" s="183">
        <v>146</v>
      </c>
      <c r="AE341" s="181">
        <v>72</v>
      </c>
      <c r="AF341" s="182">
        <v>13</v>
      </c>
      <c r="AG341" s="183">
        <v>99</v>
      </c>
      <c r="AH341" s="133">
        <v>0.12058823529411765</v>
      </c>
      <c r="AI341" s="19">
        <v>0.26176470588235295</v>
      </c>
      <c r="AJ341" s="19">
        <v>0.12598425196850394</v>
      </c>
      <c r="AK341" s="19">
        <v>2.1276595744680851E-2</v>
      </c>
      <c r="AL341" s="19">
        <v>3.5460992907801421E-2</v>
      </c>
      <c r="AM341" s="19">
        <v>1.3888888888888888E-2</v>
      </c>
      <c r="AN341" s="20">
        <v>2.2113402061855671</v>
      </c>
      <c r="AO341" s="19">
        <v>0.75257731958762886</v>
      </c>
      <c r="AP341" s="19">
        <v>6.7010309278350513E-2</v>
      </c>
      <c r="AQ341" s="19">
        <v>0.51030927835051543</v>
      </c>
      <c r="AR341" s="19">
        <v>8.0568720379146919E-2</v>
      </c>
      <c r="AS341" s="133">
        <v>8.247422680412371E-2</v>
      </c>
      <c r="AT341" s="21">
        <v>4.1237113402061855E-2</v>
      </c>
      <c r="AU341" s="16">
        <v>189</v>
      </c>
      <c r="AV341" s="16">
        <v>223</v>
      </c>
      <c r="AW341" s="17">
        <v>236</v>
      </c>
      <c r="AX341" s="133">
        <v>0.17989417989417988</v>
      </c>
      <c r="AY341" s="19">
        <v>0.24867724867724866</v>
      </c>
      <c r="AZ341" s="21">
        <v>5.829596412556054E-2</v>
      </c>
      <c r="BA341" s="15">
        <v>12</v>
      </c>
      <c r="BB341" s="17">
        <v>12</v>
      </c>
      <c r="BC341" s="15">
        <v>3</v>
      </c>
      <c r="BD341" s="17">
        <v>3</v>
      </c>
      <c r="BE341" s="15">
        <v>300</v>
      </c>
      <c r="BF341" s="16">
        <v>429</v>
      </c>
      <c r="BG341" s="19">
        <v>0.69930069930069927</v>
      </c>
      <c r="BH341" s="16">
        <v>164</v>
      </c>
      <c r="BI341" s="16">
        <v>236</v>
      </c>
      <c r="BJ341" s="21">
        <v>0.69491525423728817</v>
      </c>
    </row>
    <row r="342" spans="1:62" x14ac:dyDescent="0.25">
      <c r="A342" s="29"/>
      <c r="B342" s="30"/>
      <c r="C342" s="30"/>
      <c r="D342" s="30"/>
      <c r="E342" s="31" t="s">
        <v>68</v>
      </c>
      <c r="F342" s="188">
        <v>218</v>
      </c>
      <c r="G342" s="189">
        <v>193</v>
      </c>
      <c r="H342" s="190">
        <v>0</v>
      </c>
      <c r="I342" s="190">
        <v>126</v>
      </c>
      <c r="J342" s="191">
        <v>67</v>
      </c>
      <c r="K342" s="189">
        <v>0</v>
      </c>
      <c r="L342" s="190">
        <v>2</v>
      </c>
      <c r="M342" s="190">
        <v>4</v>
      </c>
      <c r="N342" s="190">
        <v>1</v>
      </c>
      <c r="O342" s="190">
        <v>0</v>
      </c>
      <c r="P342" s="190">
        <v>0</v>
      </c>
      <c r="Q342" s="190">
        <v>1</v>
      </c>
      <c r="R342" s="191">
        <v>17</v>
      </c>
      <c r="S342" s="188">
        <v>15</v>
      </c>
      <c r="T342" s="189">
        <v>8</v>
      </c>
      <c r="U342" s="190">
        <v>0</v>
      </c>
      <c r="V342" s="190">
        <v>1</v>
      </c>
      <c r="W342" s="190">
        <v>3</v>
      </c>
      <c r="X342" s="191">
        <v>4</v>
      </c>
      <c r="Y342" s="189">
        <v>340</v>
      </c>
      <c r="Z342" s="191">
        <v>141</v>
      </c>
      <c r="AA342" s="189">
        <v>380</v>
      </c>
      <c r="AB342" s="191">
        <v>143</v>
      </c>
      <c r="AC342" s="189">
        <v>429</v>
      </c>
      <c r="AD342" s="191">
        <v>146</v>
      </c>
      <c r="AE342" s="189">
        <v>71</v>
      </c>
      <c r="AF342" s="190">
        <v>13</v>
      </c>
      <c r="AG342" s="191">
        <v>99</v>
      </c>
      <c r="AH342" s="136">
        <v>0.11764705882352941</v>
      </c>
      <c r="AI342" s="33">
        <v>0.26176470588235295</v>
      </c>
      <c r="AJ342" s="33">
        <v>0.12894736842105264</v>
      </c>
      <c r="AK342" s="33">
        <v>1.4184397163120567E-2</v>
      </c>
      <c r="AL342" s="33">
        <v>3.5460992907801421E-2</v>
      </c>
      <c r="AM342" s="33">
        <v>2.097902097902098E-2</v>
      </c>
      <c r="AN342" s="34">
        <v>2.2227979274611398</v>
      </c>
      <c r="AO342" s="33">
        <v>0.75647668393782386</v>
      </c>
      <c r="AP342" s="33">
        <v>6.7357512953367879E-2</v>
      </c>
      <c r="AQ342" s="33">
        <v>0.51295336787564771</v>
      </c>
      <c r="AR342" s="33">
        <v>8.0952380952380956E-2</v>
      </c>
      <c r="AS342" s="136">
        <v>7.7720207253886009E-2</v>
      </c>
      <c r="AT342" s="35">
        <v>3.6269430051813469E-2</v>
      </c>
      <c r="AU342" s="30">
        <v>189</v>
      </c>
      <c r="AV342" s="30">
        <v>222</v>
      </c>
      <c r="AW342" s="31">
        <v>236</v>
      </c>
      <c r="AX342" s="136">
        <v>0.17460317460317459</v>
      </c>
      <c r="AY342" s="33">
        <v>0.24867724867724866</v>
      </c>
      <c r="AZ342" s="35">
        <v>6.3063063063063057E-2</v>
      </c>
      <c r="BA342" s="29">
        <v>12</v>
      </c>
      <c r="BB342" s="31">
        <v>12</v>
      </c>
      <c r="BC342" s="29">
        <v>3</v>
      </c>
      <c r="BD342" s="31">
        <v>3</v>
      </c>
      <c r="BE342" s="29">
        <v>300</v>
      </c>
      <c r="BF342" s="30">
        <v>429</v>
      </c>
      <c r="BG342" s="33">
        <v>0.69930069930069927</v>
      </c>
      <c r="BH342" s="30">
        <v>164</v>
      </c>
      <c r="BI342" s="30">
        <v>236</v>
      </c>
      <c r="BJ342" s="35">
        <v>0.69491525423728817</v>
      </c>
    </row>
    <row r="343" spans="1:62" x14ac:dyDescent="0.25">
      <c r="A343" s="15"/>
      <c r="B343" s="16"/>
      <c r="C343" s="16" t="s">
        <v>90</v>
      </c>
      <c r="D343" s="16"/>
      <c r="E343" s="17"/>
      <c r="F343" s="180">
        <v>202</v>
      </c>
      <c r="G343" s="181">
        <v>187</v>
      </c>
      <c r="H343" s="182">
        <v>0</v>
      </c>
      <c r="I343" s="182">
        <v>124</v>
      </c>
      <c r="J343" s="183">
        <v>63</v>
      </c>
      <c r="K343" s="181">
        <v>0</v>
      </c>
      <c r="L343" s="182">
        <v>3</v>
      </c>
      <c r="M343" s="182">
        <v>3</v>
      </c>
      <c r="N343" s="182">
        <v>0</v>
      </c>
      <c r="O343" s="182">
        <v>0</v>
      </c>
      <c r="P343" s="182">
        <v>0</v>
      </c>
      <c r="Q343" s="182">
        <v>2</v>
      </c>
      <c r="R343" s="183">
        <v>7</v>
      </c>
      <c r="S343" s="180">
        <v>5</v>
      </c>
      <c r="T343" s="181">
        <v>3</v>
      </c>
      <c r="U343" s="182">
        <v>0</v>
      </c>
      <c r="V343" s="182">
        <v>2</v>
      </c>
      <c r="W343" s="182">
        <v>1</v>
      </c>
      <c r="X343" s="183">
        <v>0</v>
      </c>
      <c r="Y343" s="181">
        <v>261</v>
      </c>
      <c r="Z343" s="183">
        <v>96</v>
      </c>
      <c r="AA343" s="181">
        <v>356</v>
      </c>
      <c r="AB343" s="183">
        <v>105</v>
      </c>
      <c r="AC343" s="181">
        <v>256</v>
      </c>
      <c r="AD343" s="183">
        <v>105</v>
      </c>
      <c r="AE343" s="181">
        <v>94</v>
      </c>
      <c r="AF343" s="182">
        <v>59</v>
      </c>
      <c r="AG343" s="183">
        <v>36</v>
      </c>
      <c r="AH343" s="133">
        <v>0.36398467432950193</v>
      </c>
      <c r="AI343" s="19">
        <v>-1.9157088122605363E-2</v>
      </c>
      <c r="AJ343" s="19">
        <v>-0.2808988764044944</v>
      </c>
      <c r="AK343" s="19">
        <v>9.375E-2</v>
      </c>
      <c r="AL343" s="19">
        <v>9.375E-2</v>
      </c>
      <c r="AM343" s="19">
        <v>0</v>
      </c>
      <c r="AN343" s="20">
        <v>1.3689839572192513</v>
      </c>
      <c r="AO343" s="19">
        <v>0.56149732620320858</v>
      </c>
      <c r="AP343" s="19">
        <v>0.31550802139037432</v>
      </c>
      <c r="AQ343" s="19">
        <v>0.19251336898395721</v>
      </c>
      <c r="AR343" s="19">
        <v>3.608247422680412E-2</v>
      </c>
      <c r="AS343" s="133">
        <v>2.6737967914438502E-2</v>
      </c>
      <c r="AT343" s="21">
        <v>1.06951871657754E-2</v>
      </c>
      <c r="AU343" s="16">
        <v>180</v>
      </c>
      <c r="AV343" s="16">
        <v>224</v>
      </c>
      <c r="AW343" s="17">
        <v>173</v>
      </c>
      <c r="AX343" s="133">
        <v>0.24444444444444444</v>
      </c>
      <c r="AY343" s="19">
        <v>-3.888888888888889E-2</v>
      </c>
      <c r="AZ343" s="21">
        <v>-0.22767857142857142</v>
      </c>
      <c r="BA343" s="15">
        <v>12</v>
      </c>
      <c r="BB343" s="17">
        <v>12</v>
      </c>
      <c r="BC343" s="15">
        <v>2</v>
      </c>
      <c r="BD343" s="17">
        <v>3</v>
      </c>
      <c r="BE343" s="15">
        <v>195</v>
      </c>
      <c r="BF343" s="16">
        <v>256</v>
      </c>
      <c r="BG343" s="19">
        <v>0.76171875</v>
      </c>
      <c r="BH343" s="16">
        <v>134</v>
      </c>
      <c r="BI343" s="16">
        <v>173</v>
      </c>
      <c r="BJ343" s="21">
        <v>0.77456647398843925</v>
      </c>
    </row>
    <row r="344" spans="1:62" x14ac:dyDescent="0.25">
      <c r="A344" s="29"/>
      <c r="B344" s="30"/>
      <c r="C344" s="30"/>
      <c r="D344" s="30"/>
      <c r="E344" s="31" t="s">
        <v>68</v>
      </c>
      <c r="F344" s="188">
        <v>201</v>
      </c>
      <c r="G344" s="189">
        <v>186</v>
      </c>
      <c r="H344" s="190">
        <v>0</v>
      </c>
      <c r="I344" s="190">
        <v>123</v>
      </c>
      <c r="J344" s="191">
        <v>63</v>
      </c>
      <c r="K344" s="189">
        <v>0</v>
      </c>
      <c r="L344" s="190">
        <v>3</v>
      </c>
      <c r="M344" s="190">
        <v>3</v>
      </c>
      <c r="N344" s="190">
        <v>0</v>
      </c>
      <c r="O344" s="190">
        <v>0</v>
      </c>
      <c r="P344" s="190">
        <v>0</v>
      </c>
      <c r="Q344" s="190">
        <v>2</v>
      </c>
      <c r="R344" s="191">
        <v>7</v>
      </c>
      <c r="S344" s="188">
        <v>5</v>
      </c>
      <c r="T344" s="189">
        <v>3</v>
      </c>
      <c r="U344" s="190">
        <v>0</v>
      </c>
      <c r="V344" s="190">
        <v>2</v>
      </c>
      <c r="W344" s="190">
        <v>1</v>
      </c>
      <c r="X344" s="191">
        <v>0</v>
      </c>
      <c r="Y344" s="189">
        <v>260</v>
      </c>
      <c r="Z344" s="191">
        <v>95</v>
      </c>
      <c r="AA344" s="189">
        <v>353</v>
      </c>
      <c r="AB344" s="191">
        <v>104</v>
      </c>
      <c r="AC344" s="189">
        <v>254</v>
      </c>
      <c r="AD344" s="191">
        <v>104</v>
      </c>
      <c r="AE344" s="189">
        <v>94</v>
      </c>
      <c r="AF344" s="190">
        <v>59</v>
      </c>
      <c r="AG344" s="191">
        <v>36</v>
      </c>
      <c r="AH344" s="136">
        <v>0.3576923076923077</v>
      </c>
      <c r="AI344" s="33">
        <v>-2.3076923076923078E-2</v>
      </c>
      <c r="AJ344" s="33">
        <v>-0.28045325779036828</v>
      </c>
      <c r="AK344" s="33">
        <v>9.4736842105263161E-2</v>
      </c>
      <c r="AL344" s="33">
        <v>9.4736842105263161E-2</v>
      </c>
      <c r="AM344" s="33">
        <v>0</v>
      </c>
      <c r="AN344" s="34">
        <v>1.3655913978494623</v>
      </c>
      <c r="AO344" s="33">
        <v>0.55913978494623651</v>
      </c>
      <c r="AP344" s="33">
        <v>0.31720430107526881</v>
      </c>
      <c r="AQ344" s="33">
        <v>0.19354838709677419</v>
      </c>
      <c r="AR344" s="33">
        <v>3.6269430051813469E-2</v>
      </c>
      <c r="AS344" s="136">
        <v>2.6881720430107527E-2</v>
      </c>
      <c r="AT344" s="35">
        <v>1.0752688172043012E-2</v>
      </c>
      <c r="AU344" s="30">
        <v>180</v>
      </c>
      <c r="AV344" s="30">
        <v>224</v>
      </c>
      <c r="AW344" s="31">
        <v>172</v>
      </c>
      <c r="AX344" s="136">
        <v>0.24444444444444444</v>
      </c>
      <c r="AY344" s="33">
        <v>-4.4444444444444446E-2</v>
      </c>
      <c r="AZ344" s="35">
        <v>-0.23214285714285715</v>
      </c>
      <c r="BA344" s="29">
        <v>12</v>
      </c>
      <c r="BB344" s="31">
        <v>12</v>
      </c>
      <c r="BC344" s="29">
        <v>2</v>
      </c>
      <c r="BD344" s="31">
        <v>2.5</v>
      </c>
      <c r="BE344" s="29">
        <v>194</v>
      </c>
      <c r="BF344" s="30">
        <v>254</v>
      </c>
      <c r="BG344" s="33">
        <v>0.76377952755905509</v>
      </c>
      <c r="BH344" s="30">
        <v>134</v>
      </c>
      <c r="BI344" s="30">
        <v>172</v>
      </c>
      <c r="BJ344" s="35">
        <v>0.77906976744186052</v>
      </c>
    </row>
    <row r="345" spans="1:62" x14ac:dyDescent="0.25">
      <c r="A345" s="15"/>
      <c r="B345" s="16"/>
      <c r="C345" s="16" t="s">
        <v>91</v>
      </c>
      <c r="D345" s="16"/>
      <c r="E345" s="17"/>
      <c r="F345" s="180">
        <v>1661</v>
      </c>
      <c r="G345" s="181">
        <v>1414</v>
      </c>
      <c r="H345" s="182">
        <v>3</v>
      </c>
      <c r="I345" s="182">
        <v>729</v>
      </c>
      <c r="J345" s="183">
        <v>688</v>
      </c>
      <c r="K345" s="181">
        <v>0</v>
      </c>
      <c r="L345" s="182">
        <v>54</v>
      </c>
      <c r="M345" s="182">
        <v>24</v>
      </c>
      <c r="N345" s="182">
        <v>7</v>
      </c>
      <c r="O345" s="182">
        <v>6</v>
      </c>
      <c r="P345" s="182">
        <v>0</v>
      </c>
      <c r="Q345" s="182">
        <v>4</v>
      </c>
      <c r="R345" s="183">
        <v>147</v>
      </c>
      <c r="S345" s="180">
        <v>142</v>
      </c>
      <c r="T345" s="181">
        <v>50</v>
      </c>
      <c r="U345" s="182">
        <v>2</v>
      </c>
      <c r="V345" s="182">
        <v>1</v>
      </c>
      <c r="W345" s="182">
        <v>16</v>
      </c>
      <c r="X345" s="183">
        <v>31</v>
      </c>
      <c r="Y345" s="181">
        <v>3104</v>
      </c>
      <c r="Z345" s="183">
        <v>1068</v>
      </c>
      <c r="AA345" s="181">
        <v>3176</v>
      </c>
      <c r="AB345" s="183">
        <v>1008</v>
      </c>
      <c r="AC345" s="181">
        <v>3289</v>
      </c>
      <c r="AD345" s="183">
        <v>1120</v>
      </c>
      <c r="AE345" s="181">
        <v>484</v>
      </c>
      <c r="AF345" s="182">
        <v>190</v>
      </c>
      <c r="AG345" s="183">
        <v>925</v>
      </c>
      <c r="AH345" s="133">
        <v>2.3195876288659795E-2</v>
      </c>
      <c r="AI345" s="19">
        <v>5.9600515463917529E-2</v>
      </c>
      <c r="AJ345" s="19">
        <v>3.5579345088161206E-2</v>
      </c>
      <c r="AK345" s="19">
        <v>-5.6179775280898875E-2</v>
      </c>
      <c r="AL345" s="19">
        <v>4.8689138576779027E-2</v>
      </c>
      <c r="AM345" s="19">
        <v>0.1111111111111111</v>
      </c>
      <c r="AN345" s="20">
        <v>2.3260254596888261</v>
      </c>
      <c r="AO345" s="19">
        <v>0.79207920792079212</v>
      </c>
      <c r="AP345" s="19">
        <v>0.13437057991513437</v>
      </c>
      <c r="AQ345" s="19">
        <v>0.65417256011315417</v>
      </c>
      <c r="AR345" s="19">
        <v>9.417040358744394E-2</v>
      </c>
      <c r="AS345" s="133">
        <v>0.10042432814710042</v>
      </c>
      <c r="AT345" s="21">
        <v>6.5063649222065062E-2</v>
      </c>
      <c r="AU345" s="16">
        <v>1242</v>
      </c>
      <c r="AV345" s="16">
        <v>1240</v>
      </c>
      <c r="AW345" s="17">
        <v>1220</v>
      </c>
      <c r="AX345" s="133">
        <v>-1.6103059581320451E-3</v>
      </c>
      <c r="AY345" s="19">
        <v>-1.7713365539452495E-2</v>
      </c>
      <c r="AZ345" s="21">
        <v>-1.6129032258064516E-2</v>
      </c>
      <c r="BA345" s="15">
        <v>11</v>
      </c>
      <c r="BB345" s="17">
        <v>11</v>
      </c>
      <c r="BC345" s="15">
        <v>3</v>
      </c>
      <c r="BD345" s="17">
        <v>2</v>
      </c>
      <c r="BE345" s="15">
        <v>2606</v>
      </c>
      <c r="BF345" s="16">
        <v>3289</v>
      </c>
      <c r="BG345" s="19">
        <v>0.79233809668592281</v>
      </c>
      <c r="BH345" s="16">
        <v>919</v>
      </c>
      <c r="BI345" s="16">
        <v>1220</v>
      </c>
      <c r="BJ345" s="21">
        <v>0.75327868852459012</v>
      </c>
    </row>
    <row r="346" spans="1:62" x14ac:dyDescent="0.25">
      <c r="A346" s="29"/>
      <c r="B346" s="30"/>
      <c r="C346" s="30"/>
      <c r="D346" s="30"/>
      <c r="E346" s="31" t="s">
        <v>68</v>
      </c>
      <c r="F346" s="188">
        <v>1632</v>
      </c>
      <c r="G346" s="189">
        <v>1388</v>
      </c>
      <c r="H346" s="190">
        <v>3</v>
      </c>
      <c r="I346" s="190">
        <v>720</v>
      </c>
      <c r="J346" s="191">
        <v>671</v>
      </c>
      <c r="K346" s="189">
        <v>0</v>
      </c>
      <c r="L346" s="190">
        <v>51</v>
      </c>
      <c r="M346" s="190">
        <v>24</v>
      </c>
      <c r="N346" s="190">
        <v>7</v>
      </c>
      <c r="O346" s="190">
        <v>6</v>
      </c>
      <c r="P346" s="190">
        <v>0</v>
      </c>
      <c r="Q346" s="190">
        <v>4</v>
      </c>
      <c r="R346" s="191">
        <v>147</v>
      </c>
      <c r="S346" s="188">
        <v>121</v>
      </c>
      <c r="T346" s="189">
        <v>50</v>
      </c>
      <c r="U346" s="190">
        <v>2</v>
      </c>
      <c r="V346" s="190">
        <v>1</v>
      </c>
      <c r="W346" s="190">
        <v>16</v>
      </c>
      <c r="X346" s="191">
        <v>31</v>
      </c>
      <c r="Y346" s="189">
        <v>3104</v>
      </c>
      <c r="Z346" s="191">
        <v>1068</v>
      </c>
      <c r="AA346" s="189">
        <v>3176</v>
      </c>
      <c r="AB346" s="191">
        <v>1008</v>
      </c>
      <c r="AC346" s="189">
        <v>3272</v>
      </c>
      <c r="AD346" s="191">
        <v>1108</v>
      </c>
      <c r="AE346" s="189">
        <v>470</v>
      </c>
      <c r="AF346" s="190">
        <v>176</v>
      </c>
      <c r="AG346" s="191">
        <v>914</v>
      </c>
      <c r="AH346" s="136">
        <v>2.3195876288659795E-2</v>
      </c>
      <c r="AI346" s="33">
        <v>5.4123711340206188E-2</v>
      </c>
      <c r="AJ346" s="33">
        <v>3.0226700251889168E-2</v>
      </c>
      <c r="AK346" s="33">
        <v>-5.6179775280898875E-2</v>
      </c>
      <c r="AL346" s="33">
        <v>3.7453183520599252E-2</v>
      </c>
      <c r="AM346" s="33">
        <v>9.9206349206349201E-2</v>
      </c>
      <c r="AN346" s="34">
        <v>2.3573487031700289</v>
      </c>
      <c r="AO346" s="33">
        <v>0.79827089337175794</v>
      </c>
      <c r="AP346" s="33">
        <v>0.12680115273775217</v>
      </c>
      <c r="AQ346" s="33">
        <v>0.65850144092219021</v>
      </c>
      <c r="AR346" s="33">
        <v>9.576547231270359E-2</v>
      </c>
      <c r="AS346" s="136">
        <v>8.7175792507204614E-2</v>
      </c>
      <c r="AT346" s="35">
        <v>5.1152737752161385E-2</v>
      </c>
      <c r="AU346" s="30">
        <v>1242</v>
      </c>
      <c r="AV346" s="30">
        <v>1240</v>
      </c>
      <c r="AW346" s="31">
        <v>1217</v>
      </c>
      <c r="AX346" s="136">
        <v>-1.6103059581320451E-3</v>
      </c>
      <c r="AY346" s="33">
        <v>-2.0128824476650563E-2</v>
      </c>
      <c r="AZ346" s="35">
        <v>-1.8548387096774192E-2</v>
      </c>
      <c r="BA346" s="29">
        <v>11</v>
      </c>
      <c r="BB346" s="31">
        <v>11</v>
      </c>
      <c r="BC346" s="29">
        <v>3</v>
      </c>
      <c r="BD346" s="31">
        <v>2</v>
      </c>
      <c r="BE346" s="29">
        <v>2592</v>
      </c>
      <c r="BF346" s="30">
        <v>3272</v>
      </c>
      <c r="BG346" s="33">
        <v>0.79217603911980439</v>
      </c>
      <c r="BH346" s="30">
        <v>917</v>
      </c>
      <c r="BI346" s="30">
        <v>1217</v>
      </c>
      <c r="BJ346" s="35">
        <v>0.75349219391947408</v>
      </c>
    </row>
    <row r="347" spans="1:62" x14ac:dyDescent="0.25">
      <c r="A347" s="15"/>
      <c r="B347" s="16"/>
      <c r="C347" s="16" t="s">
        <v>92</v>
      </c>
      <c r="D347" s="16"/>
      <c r="E347" s="17"/>
      <c r="F347" s="180">
        <v>2902</v>
      </c>
      <c r="G347" s="181">
        <v>2535</v>
      </c>
      <c r="H347" s="182">
        <v>4</v>
      </c>
      <c r="I347" s="182">
        <v>1057</v>
      </c>
      <c r="J347" s="183">
        <v>1482</v>
      </c>
      <c r="K347" s="181">
        <v>0</v>
      </c>
      <c r="L347" s="182">
        <v>72</v>
      </c>
      <c r="M347" s="182">
        <v>43</v>
      </c>
      <c r="N347" s="182">
        <v>14</v>
      </c>
      <c r="O347" s="182">
        <v>5</v>
      </c>
      <c r="P347" s="182">
        <v>0</v>
      </c>
      <c r="Q347" s="182">
        <v>3</v>
      </c>
      <c r="R347" s="183">
        <v>222</v>
      </c>
      <c r="S347" s="180">
        <v>226</v>
      </c>
      <c r="T347" s="181">
        <v>167</v>
      </c>
      <c r="U347" s="182">
        <v>1</v>
      </c>
      <c r="V347" s="182">
        <v>3</v>
      </c>
      <c r="W347" s="182">
        <v>21</v>
      </c>
      <c r="X347" s="183">
        <v>142</v>
      </c>
      <c r="Y347" s="181">
        <v>4885</v>
      </c>
      <c r="Z347" s="183">
        <v>1934</v>
      </c>
      <c r="AA347" s="181">
        <v>5058</v>
      </c>
      <c r="AB347" s="183">
        <v>2024</v>
      </c>
      <c r="AC347" s="181">
        <v>5454</v>
      </c>
      <c r="AD347" s="183">
        <v>2081</v>
      </c>
      <c r="AE347" s="181">
        <v>760</v>
      </c>
      <c r="AF347" s="182">
        <v>263</v>
      </c>
      <c r="AG347" s="183">
        <v>1739</v>
      </c>
      <c r="AH347" s="133">
        <v>3.5414534288638687E-2</v>
      </c>
      <c r="AI347" s="19">
        <v>0.11647901740020471</v>
      </c>
      <c r="AJ347" s="19">
        <v>7.8291814946619215E-2</v>
      </c>
      <c r="AK347" s="19">
        <v>4.6535677352637021E-2</v>
      </c>
      <c r="AL347" s="19">
        <v>7.600827300930714E-2</v>
      </c>
      <c r="AM347" s="19">
        <v>2.816205533596838E-2</v>
      </c>
      <c r="AN347" s="20">
        <v>2.1514792899408284</v>
      </c>
      <c r="AO347" s="19">
        <v>0.82090729783037475</v>
      </c>
      <c r="AP347" s="19">
        <v>0.10374753451676529</v>
      </c>
      <c r="AQ347" s="19">
        <v>0.6859960552268245</v>
      </c>
      <c r="AR347" s="19">
        <v>8.0522306855277476E-2</v>
      </c>
      <c r="AS347" s="133">
        <v>8.9151873767258388E-2</v>
      </c>
      <c r="AT347" s="21">
        <v>2.3274161735700197E-2</v>
      </c>
      <c r="AU347" s="16">
        <v>1337</v>
      </c>
      <c r="AV347" s="16">
        <v>1436</v>
      </c>
      <c r="AW347" s="17">
        <v>1434</v>
      </c>
      <c r="AX347" s="133">
        <v>7.4046372475691846E-2</v>
      </c>
      <c r="AY347" s="19">
        <v>7.2550486163051611E-2</v>
      </c>
      <c r="AZ347" s="21">
        <v>-1.3927576601671309E-3</v>
      </c>
      <c r="BA347" s="15">
        <v>10</v>
      </c>
      <c r="BB347" s="17">
        <v>10</v>
      </c>
      <c r="BC347" s="15">
        <v>2</v>
      </c>
      <c r="BD347" s="17">
        <v>2</v>
      </c>
      <c r="BE347" s="15">
        <v>4499</v>
      </c>
      <c r="BF347" s="16">
        <v>5454</v>
      </c>
      <c r="BG347" s="19">
        <v>0.82489915658232493</v>
      </c>
      <c r="BH347" s="16">
        <v>1100</v>
      </c>
      <c r="BI347" s="16">
        <v>1434</v>
      </c>
      <c r="BJ347" s="21">
        <v>0.76708507670850767</v>
      </c>
    </row>
    <row r="348" spans="1:62" x14ac:dyDescent="0.25">
      <c r="A348" s="29"/>
      <c r="B348" s="30"/>
      <c r="C348" s="30"/>
      <c r="D348" s="30"/>
      <c r="E348" s="31" t="s">
        <v>68</v>
      </c>
      <c r="F348" s="188">
        <v>2870</v>
      </c>
      <c r="G348" s="189">
        <v>2510</v>
      </c>
      <c r="H348" s="190">
        <v>4</v>
      </c>
      <c r="I348" s="190">
        <v>1052</v>
      </c>
      <c r="J348" s="191">
        <v>1462</v>
      </c>
      <c r="K348" s="189">
        <v>0</v>
      </c>
      <c r="L348" s="190">
        <v>66</v>
      </c>
      <c r="M348" s="190">
        <v>43</v>
      </c>
      <c r="N348" s="190">
        <v>14</v>
      </c>
      <c r="O348" s="190">
        <v>4</v>
      </c>
      <c r="P348" s="190">
        <v>0</v>
      </c>
      <c r="Q348" s="190">
        <v>3</v>
      </c>
      <c r="R348" s="191">
        <v>222</v>
      </c>
      <c r="S348" s="188">
        <v>198</v>
      </c>
      <c r="T348" s="189">
        <v>167</v>
      </c>
      <c r="U348" s="190">
        <v>1</v>
      </c>
      <c r="V348" s="190">
        <v>3</v>
      </c>
      <c r="W348" s="190">
        <v>21</v>
      </c>
      <c r="X348" s="191">
        <v>142</v>
      </c>
      <c r="Y348" s="189">
        <v>4883</v>
      </c>
      <c r="Z348" s="191">
        <v>1933</v>
      </c>
      <c r="AA348" s="189">
        <v>5057</v>
      </c>
      <c r="AB348" s="191">
        <v>2023</v>
      </c>
      <c r="AC348" s="189">
        <v>5427</v>
      </c>
      <c r="AD348" s="191">
        <v>2070</v>
      </c>
      <c r="AE348" s="189">
        <v>745</v>
      </c>
      <c r="AF348" s="190">
        <v>248</v>
      </c>
      <c r="AG348" s="191">
        <v>1729</v>
      </c>
      <c r="AH348" s="136">
        <v>3.5633831660864222E-2</v>
      </c>
      <c r="AI348" s="33">
        <v>0.11140692197419619</v>
      </c>
      <c r="AJ348" s="33">
        <v>7.3165908641487046E-2</v>
      </c>
      <c r="AK348" s="33">
        <v>4.6559751681324368E-2</v>
      </c>
      <c r="AL348" s="33">
        <v>7.0874288670460431E-2</v>
      </c>
      <c r="AM348" s="33">
        <v>2.3232822540781017E-2</v>
      </c>
      <c r="AN348" s="34">
        <v>2.162151394422311</v>
      </c>
      <c r="AO348" s="33">
        <v>0.82470119521912355</v>
      </c>
      <c r="AP348" s="33">
        <v>9.8804780876494025E-2</v>
      </c>
      <c r="AQ348" s="33">
        <v>0.68884462151394421</v>
      </c>
      <c r="AR348" s="33">
        <v>8.1259150805270866E-2</v>
      </c>
      <c r="AS348" s="136">
        <v>7.8884462151394427E-2</v>
      </c>
      <c r="AT348" s="35">
        <v>1.2350597609561753E-2</v>
      </c>
      <c r="AU348" s="30">
        <v>1336</v>
      </c>
      <c r="AV348" s="30">
        <v>1436</v>
      </c>
      <c r="AW348" s="31">
        <v>1431</v>
      </c>
      <c r="AX348" s="136">
        <v>7.4850299401197598E-2</v>
      </c>
      <c r="AY348" s="33">
        <v>7.110778443113773E-2</v>
      </c>
      <c r="AZ348" s="35">
        <v>-3.4818941504178272E-3</v>
      </c>
      <c r="BA348" s="29">
        <v>10</v>
      </c>
      <c r="BB348" s="31">
        <v>10</v>
      </c>
      <c r="BC348" s="29">
        <v>2</v>
      </c>
      <c r="BD348" s="31">
        <v>2</v>
      </c>
      <c r="BE348" s="29">
        <v>4478</v>
      </c>
      <c r="BF348" s="30">
        <v>5427</v>
      </c>
      <c r="BG348" s="33">
        <v>0.82513359130274555</v>
      </c>
      <c r="BH348" s="30">
        <v>1097</v>
      </c>
      <c r="BI348" s="30">
        <v>1431</v>
      </c>
      <c r="BJ348" s="35">
        <v>0.76659678546471</v>
      </c>
    </row>
    <row r="349" spans="1:62" x14ac:dyDescent="0.25">
      <c r="A349" s="15"/>
      <c r="B349" s="16"/>
      <c r="C349" s="16" t="s">
        <v>93</v>
      </c>
      <c r="D349" s="16"/>
      <c r="E349" s="17"/>
      <c r="F349" s="180">
        <v>1022</v>
      </c>
      <c r="G349" s="181">
        <v>919</v>
      </c>
      <c r="H349" s="182">
        <v>5</v>
      </c>
      <c r="I349" s="182">
        <v>420</v>
      </c>
      <c r="J349" s="183">
        <v>504</v>
      </c>
      <c r="K349" s="181">
        <v>0</v>
      </c>
      <c r="L349" s="182">
        <v>18</v>
      </c>
      <c r="M349" s="182">
        <v>6</v>
      </c>
      <c r="N349" s="182">
        <v>5</v>
      </c>
      <c r="O349" s="182">
        <v>8</v>
      </c>
      <c r="P349" s="182">
        <v>0</v>
      </c>
      <c r="Q349" s="182">
        <v>4</v>
      </c>
      <c r="R349" s="183">
        <v>57</v>
      </c>
      <c r="S349" s="180">
        <v>46</v>
      </c>
      <c r="T349" s="181">
        <v>25</v>
      </c>
      <c r="U349" s="182">
        <v>1</v>
      </c>
      <c r="V349" s="182">
        <v>4</v>
      </c>
      <c r="W349" s="182">
        <v>1</v>
      </c>
      <c r="X349" s="183">
        <v>19</v>
      </c>
      <c r="Y349" s="181">
        <v>1181</v>
      </c>
      <c r="Z349" s="183">
        <v>552</v>
      </c>
      <c r="AA349" s="181">
        <v>1348</v>
      </c>
      <c r="AB349" s="183">
        <v>531</v>
      </c>
      <c r="AC349" s="181">
        <v>1267</v>
      </c>
      <c r="AD349" s="183">
        <v>538</v>
      </c>
      <c r="AE349" s="181">
        <v>464</v>
      </c>
      <c r="AF349" s="182">
        <v>267</v>
      </c>
      <c r="AG349" s="183">
        <v>372</v>
      </c>
      <c r="AH349" s="133">
        <v>0.14140558848433532</v>
      </c>
      <c r="AI349" s="19">
        <v>7.2819644369178663E-2</v>
      </c>
      <c r="AJ349" s="19">
        <v>-6.0089020771513353E-2</v>
      </c>
      <c r="AK349" s="19">
        <v>-3.8043478260869568E-2</v>
      </c>
      <c r="AL349" s="19">
        <v>-2.5362318840579712E-2</v>
      </c>
      <c r="AM349" s="19">
        <v>1.3182674199623353E-2</v>
      </c>
      <c r="AN349" s="20">
        <v>1.3786724700761697</v>
      </c>
      <c r="AO349" s="19">
        <v>0.58541893362350383</v>
      </c>
      <c r="AP349" s="19">
        <v>0.29053318824809576</v>
      </c>
      <c r="AQ349" s="19">
        <v>0.4047878128400435</v>
      </c>
      <c r="AR349" s="19">
        <v>5.8401639344262297E-2</v>
      </c>
      <c r="AS349" s="133">
        <v>5.0054406964091407E-2</v>
      </c>
      <c r="AT349" s="21">
        <v>2.2850924918389554E-2</v>
      </c>
      <c r="AU349" s="16">
        <v>491</v>
      </c>
      <c r="AV349" s="16">
        <v>570</v>
      </c>
      <c r="AW349" s="17">
        <v>533</v>
      </c>
      <c r="AX349" s="133">
        <v>0.16089613034623218</v>
      </c>
      <c r="AY349" s="19">
        <v>8.5539714867617106E-2</v>
      </c>
      <c r="AZ349" s="21">
        <v>-6.491228070175438E-2</v>
      </c>
      <c r="BA349" s="15">
        <v>11</v>
      </c>
      <c r="BB349" s="17">
        <v>11</v>
      </c>
      <c r="BC349" s="15">
        <v>3</v>
      </c>
      <c r="BD349" s="17">
        <v>3</v>
      </c>
      <c r="BE349" s="15">
        <v>1096</v>
      </c>
      <c r="BF349" s="16">
        <v>1267</v>
      </c>
      <c r="BG349" s="19">
        <v>0.86503551696921865</v>
      </c>
      <c r="BH349" s="16">
        <v>418</v>
      </c>
      <c r="BI349" s="16">
        <v>533</v>
      </c>
      <c r="BJ349" s="21">
        <v>0.78424015009380865</v>
      </c>
    </row>
    <row r="350" spans="1:62" x14ac:dyDescent="0.25">
      <c r="A350" s="29"/>
      <c r="B350" s="30"/>
      <c r="C350" s="30"/>
      <c r="D350" s="30"/>
      <c r="E350" s="31" t="s">
        <v>181</v>
      </c>
      <c r="F350" s="188">
        <v>10</v>
      </c>
      <c r="G350" s="189">
        <v>9</v>
      </c>
      <c r="H350" s="190">
        <v>0</v>
      </c>
      <c r="I350" s="190">
        <v>9</v>
      </c>
      <c r="J350" s="191">
        <v>0</v>
      </c>
      <c r="K350" s="189">
        <v>0</v>
      </c>
      <c r="L350" s="190">
        <v>0</v>
      </c>
      <c r="M350" s="190">
        <v>0</v>
      </c>
      <c r="N350" s="190">
        <v>0</v>
      </c>
      <c r="O350" s="190">
        <v>1</v>
      </c>
      <c r="P350" s="190">
        <v>0</v>
      </c>
      <c r="Q350" s="190">
        <v>0</v>
      </c>
      <c r="R350" s="191">
        <v>0</v>
      </c>
      <c r="S350" s="188">
        <v>0</v>
      </c>
      <c r="T350" s="189"/>
      <c r="U350" s="190"/>
      <c r="V350" s="190"/>
      <c r="W350" s="190"/>
      <c r="X350" s="191"/>
      <c r="Y350" s="189">
        <v>0</v>
      </c>
      <c r="Z350" s="191">
        <v>0</v>
      </c>
      <c r="AA350" s="189">
        <v>0</v>
      </c>
      <c r="AB350" s="191">
        <v>0</v>
      </c>
      <c r="AC350" s="189">
        <v>0</v>
      </c>
      <c r="AD350" s="191">
        <v>0</v>
      </c>
      <c r="AE350" s="189">
        <v>10</v>
      </c>
      <c r="AF350" s="190">
        <v>10</v>
      </c>
      <c r="AG350" s="191">
        <v>0</v>
      </c>
      <c r="AH350" s="136"/>
      <c r="AI350" s="33"/>
      <c r="AJ350" s="33"/>
      <c r="AK350" s="33"/>
      <c r="AL350" s="33"/>
      <c r="AM350" s="33"/>
      <c r="AN350" s="34">
        <v>0</v>
      </c>
      <c r="AO350" s="33">
        <v>0</v>
      </c>
      <c r="AP350" s="33">
        <v>1.1111111111111112</v>
      </c>
      <c r="AQ350" s="33">
        <v>0</v>
      </c>
      <c r="AR350" s="33">
        <v>0</v>
      </c>
      <c r="AS350" s="136">
        <v>0</v>
      </c>
      <c r="AT350" s="35">
        <v>0</v>
      </c>
      <c r="AU350" s="30">
        <v>0</v>
      </c>
      <c r="AV350" s="30">
        <v>0</v>
      </c>
      <c r="AW350" s="31">
        <v>0</v>
      </c>
      <c r="AX350" s="136"/>
      <c r="AY350" s="33"/>
      <c r="AZ350" s="35"/>
      <c r="BA350" s="29"/>
      <c r="BB350" s="31"/>
      <c r="BC350" s="29"/>
      <c r="BD350" s="31"/>
      <c r="BE350" s="29">
        <v>0</v>
      </c>
      <c r="BF350" s="30">
        <v>0</v>
      </c>
      <c r="BG350" s="33"/>
      <c r="BH350" s="30">
        <v>0</v>
      </c>
      <c r="BI350" s="30">
        <v>0</v>
      </c>
      <c r="BJ350" s="35"/>
    </row>
    <row r="351" spans="1:62" x14ac:dyDescent="0.25">
      <c r="A351" s="29"/>
      <c r="B351" s="30"/>
      <c r="C351" s="30"/>
      <c r="D351" s="30"/>
      <c r="E351" s="31" t="s">
        <v>68</v>
      </c>
      <c r="F351" s="188">
        <v>1004</v>
      </c>
      <c r="G351" s="189">
        <v>904</v>
      </c>
      <c r="H351" s="190">
        <v>5</v>
      </c>
      <c r="I351" s="190">
        <v>411</v>
      </c>
      <c r="J351" s="191">
        <v>498</v>
      </c>
      <c r="K351" s="189">
        <v>0</v>
      </c>
      <c r="L351" s="190">
        <v>16</v>
      </c>
      <c r="M351" s="190">
        <v>6</v>
      </c>
      <c r="N351" s="190">
        <v>5</v>
      </c>
      <c r="O351" s="190">
        <v>7</v>
      </c>
      <c r="P351" s="190">
        <v>0</v>
      </c>
      <c r="Q351" s="190">
        <v>4</v>
      </c>
      <c r="R351" s="191">
        <v>57</v>
      </c>
      <c r="S351" s="188">
        <v>38</v>
      </c>
      <c r="T351" s="189">
        <v>25</v>
      </c>
      <c r="U351" s="190">
        <v>1</v>
      </c>
      <c r="V351" s="190">
        <v>4</v>
      </c>
      <c r="W351" s="190">
        <v>1</v>
      </c>
      <c r="X351" s="191">
        <v>19</v>
      </c>
      <c r="Y351" s="189">
        <v>1181</v>
      </c>
      <c r="Z351" s="191">
        <v>552</v>
      </c>
      <c r="AA351" s="189">
        <v>1348</v>
      </c>
      <c r="AB351" s="191">
        <v>531</v>
      </c>
      <c r="AC351" s="189">
        <v>1267</v>
      </c>
      <c r="AD351" s="191">
        <v>538</v>
      </c>
      <c r="AE351" s="189">
        <v>448</v>
      </c>
      <c r="AF351" s="190">
        <v>251</v>
      </c>
      <c r="AG351" s="191">
        <v>372</v>
      </c>
      <c r="AH351" s="136">
        <v>0.14140558848433532</v>
      </c>
      <c r="AI351" s="33">
        <v>7.2819644369178663E-2</v>
      </c>
      <c r="AJ351" s="33">
        <v>-6.0089020771513353E-2</v>
      </c>
      <c r="AK351" s="33">
        <v>-3.8043478260869568E-2</v>
      </c>
      <c r="AL351" s="33">
        <v>-2.5362318840579712E-2</v>
      </c>
      <c r="AM351" s="33">
        <v>1.3182674199623353E-2</v>
      </c>
      <c r="AN351" s="34">
        <v>1.4015486725663717</v>
      </c>
      <c r="AO351" s="33">
        <v>0.59513274336283184</v>
      </c>
      <c r="AP351" s="33">
        <v>0.27765486725663718</v>
      </c>
      <c r="AQ351" s="33">
        <v>0.41150442477876104</v>
      </c>
      <c r="AR351" s="33">
        <v>5.9313215400624349E-2</v>
      </c>
      <c r="AS351" s="136">
        <v>4.2035398230088498E-2</v>
      </c>
      <c r="AT351" s="35">
        <v>1.4380530973451327E-2</v>
      </c>
      <c r="AU351" s="30">
        <v>491</v>
      </c>
      <c r="AV351" s="30">
        <v>570</v>
      </c>
      <c r="AW351" s="31">
        <v>533</v>
      </c>
      <c r="AX351" s="136">
        <v>0.16089613034623218</v>
      </c>
      <c r="AY351" s="33">
        <v>8.5539714867617106E-2</v>
      </c>
      <c r="AZ351" s="35">
        <v>-6.491228070175438E-2</v>
      </c>
      <c r="BA351" s="29">
        <v>11</v>
      </c>
      <c r="BB351" s="31">
        <v>11</v>
      </c>
      <c r="BC351" s="29">
        <v>3</v>
      </c>
      <c r="BD351" s="31">
        <v>3</v>
      </c>
      <c r="BE351" s="29">
        <v>1096</v>
      </c>
      <c r="BF351" s="30">
        <v>1267</v>
      </c>
      <c r="BG351" s="33">
        <v>0.86503551696921865</v>
      </c>
      <c r="BH351" s="30">
        <v>418</v>
      </c>
      <c r="BI351" s="30">
        <v>533</v>
      </c>
      <c r="BJ351" s="35">
        <v>0.78424015009380865</v>
      </c>
    </row>
    <row r="352" spans="1:62" x14ac:dyDescent="0.25">
      <c r="A352" s="8"/>
      <c r="B352" s="9" t="s">
        <v>200</v>
      </c>
      <c r="C352" s="9"/>
      <c r="D352" s="9"/>
      <c r="E352" s="10"/>
      <c r="F352" s="176">
        <v>710</v>
      </c>
      <c r="G352" s="177">
        <v>649</v>
      </c>
      <c r="H352" s="178">
        <v>0</v>
      </c>
      <c r="I352" s="178">
        <v>623</v>
      </c>
      <c r="J352" s="179">
        <v>26</v>
      </c>
      <c r="K352" s="177">
        <v>0</v>
      </c>
      <c r="L352" s="178">
        <v>26</v>
      </c>
      <c r="M352" s="178">
        <v>6</v>
      </c>
      <c r="N352" s="178">
        <v>4</v>
      </c>
      <c r="O352" s="178">
        <v>5</v>
      </c>
      <c r="P352" s="178">
        <v>0</v>
      </c>
      <c r="Q352" s="178">
        <v>5</v>
      </c>
      <c r="R352" s="179">
        <v>15</v>
      </c>
      <c r="S352" s="176">
        <v>40</v>
      </c>
      <c r="T352" s="177">
        <v>91</v>
      </c>
      <c r="U352" s="178">
        <v>1</v>
      </c>
      <c r="V352" s="178">
        <v>4</v>
      </c>
      <c r="W352" s="178">
        <v>0</v>
      </c>
      <c r="X352" s="179">
        <v>86</v>
      </c>
      <c r="Y352" s="177">
        <v>1081</v>
      </c>
      <c r="Z352" s="179">
        <v>475</v>
      </c>
      <c r="AA352" s="177">
        <v>1093</v>
      </c>
      <c r="AB352" s="179">
        <v>457</v>
      </c>
      <c r="AC352" s="177">
        <v>816</v>
      </c>
      <c r="AD352" s="179">
        <v>384</v>
      </c>
      <c r="AE352" s="177">
        <v>306</v>
      </c>
      <c r="AF352" s="178">
        <v>57</v>
      </c>
      <c r="AG352" s="179">
        <v>85</v>
      </c>
      <c r="AH352" s="131">
        <v>1.1100832562442183E-2</v>
      </c>
      <c r="AI352" s="12">
        <v>-0.24514338575393155</v>
      </c>
      <c r="AJ352" s="12">
        <v>-0.25343092406221407</v>
      </c>
      <c r="AK352" s="12">
        <v>-3.7894736842105266E-2</v>
      </c>
      <c r="AL352" s="12">
        <v>-0.19157894736842104</v>
      </c>
      <c r="AM352" s="12">
        <v>-0.15973741794310722</v>
      </c>
      <c r="AN352" s="13">
        <v>1.2573189522342065</v>
      </c>
      <c r="AO352" s="12">
        <v>0.59167950693374427</v>
      </c>
      <c r="AP352" s="12">
        <v>8.7827426810477657E-2</v>
      </c>
      <c r="AQ352" s="12">
        <v>0.13097072419106318</v>
      </c>
      <c r="AR352" s="12">
        <v>2.2590361445783132E-2</v>
      </c>
      <c r="AS352" s="131">
        <v>6.1633281972265024E-2</v>
      </c>
      <c r="AT352" s="14">
        <v>-7.8582434514637908E-2</v>
      </c>
      <c r="AU352" s="9">
        <v>285</v>
      </c>
      <c r="AV352" s="9">
        <v>266</v>
      </c>
      <c r="AW352" s="10">
        <v>226</v>
      </c>
      <c r="AX352" s="131">
        <v>-6.6666666666666666E-2</v>
      </c>
      <c r="AY352" s="12">
        <v>-0.20701754385964913</v>
      </c>
      <c r="AZ352" s="14">
        <v>-0.15037593984962405</v>
      </c>
      <c r="BA352" s="8">
        <v>35</v>
      </c>
      <c r="BB352" s="10">
        <v>17</v>
      </c>
      <c r="BC352" s="8">
        <v>4</v>
      </c>
      <c r="BD352" s="10">
        <v>3</v>
      </c>
      <c r="BE352" s="8">
        <v>597</v>
      </c>
      <c r="BF352" s="9">
        <v>816</v>
      </c>
      <c r="BG352" s="12">
        <v>0.73161764705882348</v>
      </c>
      <c r="BH352" s="9">
        <v>164</v>
      </c>
      <c r="BI352" s="9">
        <v>226</v>
      </c>
      <c r="BJ352" s="14">
        <v>0.72566371681415931</v>
      </c>
    </row>
    <row r="353" spans="1:62" x14ac:dyDescent="0.25">
      <c r="A353" s="29"/>
      <c r="B353" s="30"/>
      <c r="C353" s="30"/>
      <c r="D353" s="30"/>
      <c r="E353" s="31" t="s">
        <v>82</v>
      </c>
      <c r="F353" s="188">
        <v>677</v>
      </c>
      <c r="G353" s="189">
        <v>616</v>
      </c>
      <c r="H353" s="190">
        <v>0</v>
      </c>
      <c r="I353" s="190">
        <v>590</v>
      </c>
      <c r="J353" s="191">
        <v>26</v>
      </c>
      <c r="K353" s="189">
        <v>0</v>
      </c>
      <c r="L353" s="190">
        <v>26</v>
      </c>
      <c r="M353" s="190">
        <v>6</v>
      </c>
      <c r="N353" s="190">
        <v>4</v>
      </c>
      <c r="O353" s="190">
        <v>5</v>
      </c>
      <c r="P353" s="190">
        <v>0</v>
      </c>
      <c r="Q353" s="190">
        <v>5</v>
      </c>
      <c r="R353" s="191">
        <v>15</v>
      </c>
      <c r="S353" s="188">
        <v>40</v>
      </c>
      <c r="T353" s="189">
        <v>91</v>
      </c>
      <c r="U353" s="190">
        <v>1</v>
      </c>
      <c r="V353" s="190">
        <v>4</v>
      </c>
      <c r="W353" s="190">
        <v>0</v>
      </c>
      <c r="X353" s="191">
        <v>86</v>
      </c>
      <c r="Y353" s="189">
        <v>1054</v>
      </c>
      <c r="Z353" s="191">
        <v>465</v>
      </c>
      <c r="AA353" s="189">
        <v>1037</v>
      </c>
      <c r="AB353" s="191">
        <v>435</v>
      </c>
      <c r="AC353" s="189">
        <v>754</v>
      </c>
      <c r="AD353" s="191">
        <v>360</v>
      </c>
      <c r="AE353" s="189">
        <v>297</v>
      </c>
      <c r="AF353" s="190">
        <v>56</v>
      </c>
      <c r="AG353" s="191">
        <v>78</v>
      </c>
      <c r="AH353" s="136">
        <v>-1.6129032258064516E-2</v>
      </c>
      <c r="AI353" s="33">
        <v>-0.28462998102466791</v>
      </c>
      <c r="AJ353" s="33">
        <v>-0.2729026036644166</v>
      </c>
      <c r="AK353" s="33">
        <v>-6.4516129032258063E-2</v>
      </c>
      <c r="AL353" s="33">
        <v>-0.22580645161290322</v>
      </c>
      <c r="AM353" s="33">
        <v>-0.17241379310344829</v>
      </c>
      <c r="AN353" s="34">
        <v>1.224025974025974</v>
      </c>
      <c r="AO353" s="33">
        <v>0.58441558441558439</v>
      </c>
      <c r="AP353" s="33">
        <v>9.0909090909090912E-2</v>
      </c>
      <c r="AQ353" s="33">
        <v>0.12662337662337661</v>
      </c>
      <c r="AR353" s="33">
        <v>2.3771790808240888E-2</v>
      </c>
      <c r="AS353" s="136">
        <v>6.4935064935064929E-2</v>
      </c>
      <c r="AT353" s="35">
        <v>-8.2792207792207792E-2</v>
      </c>
      <c r="AU353" s="30">
        <v>276</v>
      </c>
      <c r="AV353" s="30">
        <v>248</v>
      </c>
      <c r="AW353" s="31">
        <v>199</v>
      </c>
      <c r="AX353" s="136">
        <v>-0.10144927536231885</v>
      </c>
      <c r="AY353" s="33">
        <v>-0.27898550724637683</v>
      </c>
      <c r="AZ353" s="35">
        <v>-0.19758064516129031</v>
      </c>
      <c r="BA353" s="29">
        <v>35</v>
      </c>
      <c r="BB353" s="31">
        <v>14</v>
      </c>
      <c r="BC353" s="29">
        <v>4</v>
      </c>
      <c r="BD353" s="31">
        <v>3</v>
      </c>
      <c r="BE353" s="29">
        <v>552</v>
      </c>
      <c r="BF353" s="30">
        <v>754</v>
      </c>
      <c r="BG353" s="33">
        <v>0.73209549071618041</v>
      </c>
      <c r="BH353" s="30">
        <v>143</v>
      </c>
      <c r="BI353" s="30">
        <v>199</v>
      </c>
      <c r="BJ353" s="35">
        <v>0.71859296482412061</v>
      </c>
    </row>
    <row r="354" spans="1:62" x14ac:dyDescent="0.25">
      <c r="A354" s="29"/>
      <c r="B354" s="30"/>
      <c r="C354" s="30"/>
      <c r="D354" s="30"/>
      <c r="E354" s="31" t="s">
        <v>68</v>
      </c>
      <c r="F354" s="188">
        <v>18</v>
      </c>
      <c r="G354" s="189">
        <v>18</v>
      </c>
      <c r="H354" s="190">
        <v>0</v>
      </c>
      <c r="I354" s="190">
        <v>18</v>
      </c>
      <c r="J354" s="191">
        <v>0</v>
      </c>
      <c r="K354" s="189">
        <v>0</v>
      </c>
      <c r="L354" s="190">
        <v>0</v>
      </c>
      <c r="M354" s="190">
        <v>0</v>
      </c>
      <c r="N354" s="190">
        <v>0</v>
      </c>
      <c r="O354" s="190">
        <v>0</v>
      </c>
      <c r="P354" s="190">
        <v>0</v>
      </c>
      <c r="Q354" s="190">
        <v>0</v>
      </c>
      <c r="R354" s="191">
        <v>0</v>
      </c>
      <c r="S354" s="188">
        <v>0</v>
      </c>
      <c r="T354" s="189"/>
      <c r="U354" s="190"/>
      <c r="V354" s="190"/>
      <c r="W354" s="190"/>
      <c r="X354" s="191"/>
      <c r="Y354" s="189">
        <v>26</v>
      </c>
      <c r="Z354" s="191">
        <v>9</v>
      </c>
      <c r="AA354" s="189">
        <v>37</v>
      </c>
      <c r="AB354" s="191">
        <v>14</v>
      </c>
      <c r="AC354" s="189">
        <v>40</v>
      </c>
      <c r="AD354" s="191">
        <v>13</v>
      </c>
      <c r="AE354" s="189">
        <v>5</v>
      </c>
      <c r="AF354" s="190">
        <v>1</v>
      </c>
      <c r="AG354" s="191">
        <v>3</v>
      </c>
      <c r="AH354" s="136">
        <v>0.42307692307692307</v>
      </c>
      <c r="AI354" s="33">
        <v>0.53846153846153844</v>
      </c>
      <c r="AJ354" s="33">
        <v>8.1081081081081086E-2</v>
      </c>
      <c r="AK354" s="33">
        <v>0.55555555555555558</v>
      </c>
      <c r="AL354" s="33">
        <v>0.44444444444444442</v>
      </c>
      <c r="AM354" s="33">
        <v>-7.1428571428571425E-2</v>
      </c>
      <c r="AN354" s="34">
        <v>2.2222222222222223</v>
      </c>
      <c r="AO354" s="33">
        <v>0.72222222222222221</v>
      </c>
      <c r="AP354" s="33">
        <v>5.5555555555555552E-2</v>
      </c>
      <c r="AQ354" s="33">
        <v>0.16666666666666666</v>
      </c>
      <c r="AR354" s="33">
        <v>0</v>
      </c>
      <c r="AS354" s="136">
        <v>0</v>
      </c>
      <c r="AT354" s="35">
        <v>0</v>
      </c>
      <c r="AU354" s="30">
        <v>23</v>
      </c>
      <c r="AV354" s="30">
        <v>31</v>
      </c>
      <c r="AW354" s="31">
        <v>37</v>
      </c>
      <c r="AX354" s="136">
        <v>0.34782608695652173</v>
      </c>
      <c r="AY354" s="33">
        <v>0.60869565217391308</v>
      </c>
      <c r="AZ354" s="35">
        <v>0.19354838709677419</v>
      </c>
      <c r="BA354" s="29">
        <v>17.5</v>
      </c>
      <c r="BB354" s="31">
        <v>29</v>
      </c>
      <c r="BC354" s="29">
        <v>3</v>
      </c>
      <c r="BD354" s="31">
        <v>3</v>
      </c>
      <c r="BE354" s="29">
        <v>30</v>
      </c>
      <c r="BF354" s="30">
        <v>40</v>
      </c>
      <c r="BG354" s="33">
        <v>0.75</v>
      </c>
      <c r="BH354" s="30">
        <v>28</v>
      </c>
      <c r="BI354" s="30">
        <v>37</v>
      </c>
      <c r="BJ354" s="35">
        <v>0.7567567567567568</v>
      </c>
    </row>
    <row r="355" spans="1:62" x14ac:dyDescent="0.25">
      <c r="A355" s="8"/>
      <c r="B355" s="9" t="s">
        <v>94</v>
      </c>
      <c r="C355" s="9"/>
      <c r="D355" s="9"/>
      <c r="E355" s="10"/>
      <c r="F355" s="176">
        <v>363</v>
      </c>
      <c r="G355" s="177">
        <v>343</v>
      </c>
      <c r="H355" s="178">
        <v>0</v>
      </c>
      <c r="I355" s="178">
        <v>239</v>
      </c>
      <c r="J355" s="179">
        <v>104</v>
      </c>
      <c r="K355" s="177">
        <v>0</v>
      </c>
      <c r="L355" s="178">
        <v>3</v>
      </c>
      <c r="M355" s="178">
        <v>0</v>
      </c>
      <c r="N355" s="178">
        <v>0</v>
      </c>
      <c r="O355" s="178">
        <v>3</v>
      </c>
      <c r="P355" s="178">
        <v>0</v>
      </c>
      <c r="Q355" s="178">
        <v>2</v>
      </c>
      <c r="R355" s="179">
        <v>12</v>
      </c>
      <c r="S355" s="176">
        <v>10</v>
      </c>
      <c r="T355" s="177">
        <v>65</v>
      </c>
      <c r="U355" s="178">
        <v>0</v>
      </c>
      <c r="V355" s="178">
        <v>1</v>
      </c>
      <c r="W355" s="178">
        <v>0</v>
      </c>
      <c r="X355" s="179">
        <v>64</v>
      </c>
      <c r="Y355" s="177">
        <v>255</v>
      </c>
      <c r="Z355" s="179">
        <v>137</v>
      </c>
      <c r="AA355" s="177">
        <v>285</v>
      </c>
      <c r="AB355" s="179">
        <v>153</v>
      </c>
      <c r="AC355" s="177">
        <v>311</v>
      </c>
      <c r="AD355" s="179">
        <v>159</v>
      </c>
      <c r="AE355" s="177">
        <v>202</v>
      </c>
      <c r="AF355" s="178">
        <v>110</v>
      </c>
      <c r="AG355" s="179">
        <v>69</v>
      </c>
      <c r="AH355" s="131">
        <v>0.11764705882352941</v>
      </c>
      <c r="AI355" s="12">
        <v>0.2196078431372549</v>
      </c>
      <c r="AJ355" s="12">
        <v>9.1228070175438603E-2</v>
      </c>
      <c r="AK355" s="12">
        <v>0.11678832116788321</v>
      </c>
      <c r="AL355" s="12">
        <v>0.16058394160583941</v>
      </c>
      <c r="AM355" s="12">
        <v>3.9215686274509803E-2</v>
      </c>
      <c r="AN355" s="13">
        <v>0.90670553935860054</v>
      </c>
      <c r="AO355" s="12">
        <v>0.46355685131195334</v>
      </c>
      <c r="AP355" s="12">
        <v>0.32069970845481049</v>
      </c>
      <c r="AQ355" s="12">
        <v>0.20116618075801748</v>
      </c>
      <c r="AR355" s="12">
        <v>3.3802816901408447E-2</v>
      </c>
      <c r="AS355" s="131">
        <v>2.9154518950437316E-2</v>
      </c>
      <c r="AT355" s="14">
        <v>-0.16034985422740525</v>
      </c>
      <c r="AU355" s="9">
        <v>161</v>
      </c>
      <c r="AV355" s="9">
        <v>183</v>
      </c>
      <c r="AW355" s="10">
        <v>181</v>
      </c>
      <c r="AX355" s="131">
        <v>0.13664596273291926</v>
      </c>
      <c r="AY355" s="12">
        <v>0.12422360248447205</v>
      </c>
      <c r="AZ355" s="14">
        <v>-1.092896174863388E-2</v>
      </c>
      <c r="BA355" s="8">
        <v>12</v>
      </c>
      <c r="BB355" s="10">
        <v>11</v>
      </c>
      <c r="BC355" s="8">
        <v>3</v>
      </c>
      <c r="BD355" s="10">
        <v>2</v>
      </c>
      <c r="BE355" s="8">
        <v>272</v>
      </c>
      <c r="BF355" s="9">
        <v>311</v>
      </c>
      <c r="BG355" s="12">
        <v>0.87459807073954987</v>
      </c>
      <c r="BH355" s="9">
        <v>153</v>
      </c>
      <c r="BI355" s="9">
        <v>181</v>
      </c>
      <c r="BJ355" s="14">
        <v>0.84530386740331487</v>
      </c>
    </row>
    <row r="356" spans="1:62" x14ac:dyDescent="0.25">
      <c r="A356" s="29"/>
      <c r="B356" s="30"/>
      <c r="C356" s="30"/>
      <c r="D356" s="30"/>
      <c r="E356" s="31" t="s">
        <v>68</v>
      </c>
      <c r="F356" s="188">
        <v>362</v>
      </c>
      <c r="G356" s="189">
        <v>343</v>
      </c>
      <c r="H356" s="190">
        <v>0</v>
      </c>
      <c r="I356" s="190">
        <v>239</v>
      </c>
      <c r="J356" s="191">
        <v>104</v>
      </c>
      <c r="K356" s="189">
        <v>0</v>
      </c>
      <c r="L356" s="190">
        <v>2</v>
      </c>
      <c r="M356" s="190">
        <v>0</v>
      </c>
      <c r="N356" s="190">
        <v>0</v>
      </c>
      <c r="O356" s="190">
        <v>3</v>
      </c>
      <c r="P356" s="190">
        <v>0</v>
      </c>
      <c r="Q356" s="190">
        <v>2</v>
      </c>
      <c r="R356" s="191">
        <v>12</v>
      </c>
      <c r="S356" s="188">
        <v>9</v>
      </c>
      <c r="T356" s="189">
        <v>65</v>
      </c>
      <c r="U356" s="190">
        <v>0</v>
      </c>
      <c r="V356" s="190">
        <v>1</v>
      </c>
      <c r="W356" s="190">
        <v>0</v>
      </c>
      <c r="X356" s="191">
        <v>64</v>
      </c>
      <c r="Y356" s="189">
        <v>255</v>
      </c>
      <c r="Z356" s="191">
        <v>137</v>
      </c>
      <c r="AA356" s="189">
        <v>285</v>
      </c>
      <c r="AB356" s="191">
        <v>153</v>
      </c>
      <c r="AC356" s="189">
        <v>311</v>
      </c>
      <c r="AD356" s="191">
        <v>159</v>
      </c>
      <c r="AE356" s="189">
        <v>202</v>
      </c>
      <c r="AF356" s="190">
        <v>110</v>
      </c>
      <c r="AG356" s="191">
        <v>69</v>
      </c>
      <c r="AH356" s="136">
        <v>0.11764705882352941</v>
      </c>
      <c r="AI356" s="33">
        <v>0.2196078431372549</v>
      </c>
      <c r="AJ356" s="33">
        <v>9.1228070175438603E-2</v>
      </c>
      <c r="AK356" s="33">
        <v>0.11678832116788321</v>
      </c>
      <c r="AL356" s="33">
        <v>0.16058394160583941</v>
      </c>
      <c r="AM356" s="33">
        <v>3.9215686274509803E-2</v>
      </c>
      <c r="AN356" s="34">
        <v>0.90670553935860054</v>
      </c>
      <c r="AO356" s="33">
        <v>0.46355685131195334</v>
      </c>
      <c r="AP356" s="33">
        <v>0.32069970845481049</v>
      </c>
      <c r="AQ356" s="33">
        <v>0.20116618075801748</v>
      </c>
      <c r="AR356" s="33">
        <v>3.3802816901408447E-2</v>
      </c>
      <c r="AS356" s="136">
        <v>2.6239067055393587E-2</v>
      </c>
      <c r="AT356" s="35">
        <v>-0.16326530612244897</v>
      </c>
      <c r="AU356" s="30">
        <v>161</v>
      </c>
      <c r="AV356" s="30">
        <v>183</v>
      </c>
      <c r="AW356" s="31">
        <v>181</v>
      </c>
      <c r="AX356" s="136">
        <v>0.13664596273291926</v>
      </c>
      <c r="AY356" s="33">
        <v>0.12422360248447205</v>
      </c>
      <c r="AZ356" s="35">
        <v>-1.092896174863388E-2</v>
      </c>
      <c r="BA356" s="29">
        <v>12</v>
      </c>
      <c r="BB356" s="31">
        <v>11</v>
      </c>
      <c r="BC356" s="29">
        <v>3</v>
      </c>
      <c r="BD356" s="31">
        <v>2</v>
      </c>
      <c r="BE356" s="29">
        <v>272</v>
      </c>
      <c r="BF356" s="30">
        <v>311</v>
      </c>
      <c r="BG356" s="33">
        <v>0.87459807073954987</v>
      </c>
      <c r="BH356" s="30">
        <v>153</v>
      </c>
      <c r="BI356" s="30">
        <v>181</v>
      </c>
      <c r="BJ356" s="35">
        <v>0.84530386740331487</v>
      </c>
    </row>
    <row r="357" spans="1:62" x14ac:dyDescent="0.25">
      <c r="A357" s="8"/>
      <c r="B357" s="9" t="s">
        <v>144</v>
      </c>
      <c r="C357" s="9"/>
      <c r="D357" s="9"/>
      <c r="E357" s="10"/>
      <c r="F357" s="176">
        <v>2092</v>
      </c>
      <c r="G357" s="177">
        <v>1769</v>
      </c>
      <c r="H357" s="178">
        <v>32</v>
      </c>
      <c r="I357" s="178">
        <v>1795</v>
      </c>
      <c r="J357" s="179">
        <v>6</v>
      </c>
      <c r="K357" s="177">
        <v>0</v>
      </c>
      <c r="L357" s="178">
        <v>1</v>
      </c>
      <c r="M357" s="178">
        <v>46</v>
      </c>
      <c r="N357" s="178">
        <v>6</v>
      </c>
      <c r="O357" s="178">
        <v>30</v>
      </c>
      <c r="P357" s="178">
        <v>1</v>
      </c>
      <c r="Q357" s="178">
        <v>6</v>
      </c>
      <c r="R357" s="179">
        <v>139</v>
      </c>
      <c r="S357" s="176">
        <v>698</v>
      </c>
      <c r="T357" s="177">
        <v>521</v>
      </c>
      <c r="U357" s="178">
        <v>5</v>
      </c>
      <c r="V357" s="178">
        <v>6</v>
      </c>
      <c r="W357" s="178">
        <v>37</v>
      </c>
      <c r="X357" s="179">
        <v>473</v>
      </c>
      <c r="Y357" s="177">
        <v>6650</v>
      </c>
      <c r="Z357" s="179">
        <v>1686</v>
      </c>
      <c r="AA357" s="177">
        <v>5513</v>
      </c>
      <c r="AB357" s="179">
        <v>1531</v>
      </c>
      <c r="AC357" s="177">
        <v>5103</v>
      </c>
      <c r="AD357" s="179">
        <v>1492</v>
      </c>
      <c r="AE357" s="177">
        <v>795</v>
      </c>
      <c r="AF357" s="178">
        <v>543</v>
      </c>
      <c r="AG357" s="179">
        <v>631</v>
      </c>
      <c r="AH357" s="131">
        <v>-0.17097744360902256</v>
      </c>
      <c r="AI357" s="12">
        <v>-0.23263157894736841</v>
      </c>
      <c r="AJ357" s="12">
        <v>-7.4369671685107927E-2</v>
      </c>
      <c r="AK357" s="12">
        <v>-9.1933570581257409E-2</v>
      </c>
      <c r="AL357" s="12">
        <v>-0.11506524317912219</v>
      </c>
      <c r="AM357" s="12">
        <v>-2.5473546701502287E-2</v>
      </c>
      <c r="AN357" s="13">
        <v>2.8846806105144149</v>
      </c>
      <c r="AO357" s="12">
        <v>0.84341435839457324</v>
      </c>
      <c r="AP357" s="12">
        <v>0.30695308083663086</v>
      </c>
      <c r="AQ357" s="12">
        <v>0.35669869983041264</v>
      </c>
      <c r="AR357" s="12">
        <v>7.2851153039832278E-2</v>
      </c>
      <c r="AS357" s="131">
        <v>0.39457320520067835</v>
      </c>
      <c r="AT357" s="14">
        <v>0.10005652911249294</v>
      </c>
      <c r="AU357" s="9">
        <v>881</v>
      </c>
      <c r="AV357" s="9">
        <v>883</v>
      </c>
      <c r="AW357" s="10">
        <v>825</v>
      </c>
      <c r="AX357" s="131">
        <v>2.2701475595913734E-3</v>
      </c>
      <c r="AY357" s="12">
        <v>-6.3564131668558455E-2</v>
      </c>
      <c r="AZ357" s="14">
        <v>-6.5685164212910527E-2</v>
      </c>
      <c r="BA357" s="8">
        <v>11</v>
      </c>
      <c r="BB357" s="10">
        <v>11</v>
      </c>
      <c r="BC357" s="8">
        <v>4</v>
      </c>
      <c r="BD357" s="10">
        <v>3</v>
      </c>
      <c r="BE357" s="8">
        <v>3626</v>
      </c>
      <c r="BF357" s="9">
        <v>5103</v>
      </c>
      <c r="BG357" s="12">
        <v>0.71056241426611799</v>
      </c>
      <c r="BH357" s="9">
        <v>587</v>
      </c>
      <c r="BI357" s="9">
        <v>825</v>
      </c>
      <c r="BJ357" s="14">
        <v>0.71151515151515154</v>
      </c>
    </row>
    <row r="358" spans="1:62" x14ac:dyDescent="0.25">
      <c r="A358" s="29"/>
      <c r="B358" s="30"/>
      <c r="C358" s="30"/>
      <c r="D358" s="30"/>
      <c r="E358" s="31" t="s">
        <v>68</v>
      </c>
      <c r="F358" s="188">
        <v>13</v>
      </c>
      <c r="G358" s="189">
        <v>13</v>
      </c>
      <c r="H358" s="190">
        <v>0</v>
      </c>
      <c r="I358" s="190">
        <v>9</v>
      </c>
      <c r="J358" s="191">
        <v>4</v>
      </c>
      <c r="K358" s="189">
        <v>0</v>
      </c>
      <c r="L358" s="190">
        <v>0</v>
      </c>
      <c r="M358" s="190">
        <v>0</v>
      </c>
      <c r="N358" s="190">
        <v>0</v>
      </c>
      <c r="O358" s="190">
        <v>0</v>
      </c>
      <c r="P358" s="190">
        <v>0</v>
      </c>
      <c r="Q358" s="190">
        <v>0</v>
      </c>
      <c r="R358" s="191">
        <v>0</v>
      </c>
      <c r="S358" s="188">
        <v>0</v>
      </c>
      <c r="T358" s="189">
        <v>1</v>
      </c>
      <c r="U358" s="190">
        <v>0</v>
      </c>
      <c r="V358" s="190">
        <v>0</v>
      </c>
      <c r="W358" s="190">
        <v>0</v>
      </c>
      <c r="X358" s="191">
        <v>1</v>
      </c>
      <c r="Y358" s="189">
        <v>3</v>
      </c>
      <c r="Z358" s="191">
        <v>3</v>
      </c>
      <c r="AA358" s="189">
        <v>7</v>
      </c>
      <c r="AB358" s="191">
        <v>2</v>
      </c>
      <c r="AC358" s="189">
        <v>13</v>
      </c>
      <c r="AD358" s="191">
        <v>5</v>
      </c>
      <c r="AE358" s="189">
        <v>9</v>
      </c>
      <c r="AF358" s="190">
        <v>6</v>
      </c>
      <c r="AG358" s="191">
        <v>0</v>
      </c>
      <c r="AH358" s="136">
        <v>1.3333333333333333</v>
      </c>
      <c r="AI358" s="33">
        <v>3.3333333333333335</v>
      </c>
      <c r="AJ358" s="33">
        <v>0.8571428571428571</v>
      </c>
      <c r="AK358" s="33">
        <v>-0.33333333333333331</v>
      </c>
      <c r="AL358" s="33">
        <v>0.66666666666666663</v>
      </c>
      <c r="AM358" s="33">
        <v>1.5</v>
      </c>
      <c r="AN358" s="34">
        <v>1</v>
      </c>
      <c r="AO358" s="33">
        <v>0.38461538461538464</v>
      </c>
      <c r="AP358" s="33">
        <v>0.46153846153846156</v>
      </c>
      <c r="AQ358" s="33">
        <v>0</v>
      </c>
      <c r="AR358" s="33">
        <v>0</v>
      </c>
      <c r="AS358" s="136">
        <v>0</v>
      </c>
      <c r="AT358" s="35">
        <v>-7.6923076923076927E-2</v>
      </c>
      <c r="AU358" s="30">
        <v>3</v>
      </c>
      <c r="AV358" s="30">
        <v>7</v>
      </c>
      <c r="AW358" s="31">
        <v>12</v>
      </c>
      <c r="AX358" s="136">
        <v>1.3333333333333333</v>
      </c>
      <c r="AY358" s="33">
        <v>3</v>
      </c>
      <c r="AZ358" s="35">
        <v>0.7142857142857143</v>
      </c>
      <c r="BA358" s="29">
        <v>10.5</v>
      </c>
      <c r="BB358" s="31">
        <v>11</v>
      </c>
      <c r="BC358" s="29">
        <v>5</v>
      </c>
      <c r="BD358" s="31">
        <v>4.5</v>
      </c>
      <c r="BE358" s="29">
        <v>12</v>
      </c>
      <c r="BF358" s="30">
        <v>13</v>
      </c>
      <c r="BG358" s="33">
        <v>0.92307692307692313</v>
      </c>
      <c r="BH358" s="30">
        <v>11</v>
      </c>
      <c r="BI358" s="30">
        <v>12</v>
      </c>
      <c r="BJ358" s="35">
        <v>0.91666666666666663</v>
      </c>
    </row>
    <row r="359" spans="1:62" x14ac:dyDescent="0.25">
      <c r="A359" s="29"/>
      <c r="B359" s="30"/>
      <c r="C359" s="30"/>
      <c r="D359" s="30"/>
      <c r="E359" s="31" t="s">
        <v>148</v>
      </c>
      <c r="F359" s="188">
        <v>2079</v>
      </c>
      <c r="G359" s="189">
        <v>1756</v>
      </c>
      <c r="H359" s="190">
        <v>32</v>
      </c>
      <c r="I359" s="190">
        <v>1786</v>
      </c>
      <c r="J359" s="191">
        <v>2</v>
      </c>
      <c r="K359" s="189">
        <v>0</v>
      </c>
      <c r="L359" s="190">
        <v>1</v>
      </c>
      <c r="M359" s="190">
        <v>46</v>
      </c>
      <c r="N359" s="190">
        <v>6</v>
      </c>
      <c r="O359" s="190">
        <v>30</v>
      </c>
      <c r="P359" s="190">
        <v>1</v>
      </c>
      <c r="Q359" s="190">
        <v>6</v>
      </c>
      <c r="R359" s="191">
        <v>139</v>
      </c>
      <c r="S359" s="188">
        <v>698</v>
      </c>
      <c r="T359" s="189">
        <v>520</v>
      </c>
      <c r="U359" s="190">
        <v>5</v>
      </c>
      <c r="V359" s="190">
        <v>6</v>
      </c>
      <c r="W359" s="190">
        <v>37</v>
      </c>
      <c r="X359" s="191">
        <v>472</v>
      </c>
      <c r="Y359" s="189">
        <v>6647</v>
      </c>
      <c r="Z359" s="191">
        <v>1683</v>
      </c>
      <c r="AA359" s="189">
        <v>5506</v>
      </c>
      <c r="AB359" s="191">
        <v>1529</v>
      </c>
      <c r="AC359" s="189">
        <v>5090</v>
      </c>
      <c r="AD359" s="191">
        <v>1487</v>
      </c>
      <c r="AE359" s="189">
        <v>786</v>
      </c>
      <c r="AF359" s="190">
        <v>537</v>
      </c>
      <c r="AG359" s="191">
        <v>631</v>
      </c>
      <c r="AH359" s="136">
        <v>-0.17165638633970212</v>
      </c>
      <c r="AI359" s="33">
        <v>-0.23424101098239808</v>
      </c>
      <c r="AJ359" s="33">
        <v>-7.5553941155103527E-2</v>
      </c>
      <c r="AK359" s="33">
        <v>-9.1503267973856203E-2</v>
      </c>
      <c r="AL359" s="33">
        <v>-0.11645870469399881</v>
      </c>
      <c r="AM359" s="33">
        <v>-2.7468933943754086E-2</v>
      </c>
      <c r="AN359" s="34">
        <v>2.8986332574031892</v>
      </c>
      <c r="AO359" s="33">
        <v>0.84681093394077445</v>
      </c>
      <c r="AP359" s="33">
        <v>0.30580865603644647</v>
      </c>
      <c r="AQ359" s="33">
        <v>0.35933940774487472</v>
      </c>
      <c r="AR359" s="33">
        <v>7.3350923482849606E-2</v>
      </c>
      <c r="AS359" s="136">
        <v>0.39749430523917995</v>
      </c>
      <c r="AT359" s="35">
        <v>0.10136674259681093</v>
      </c>
      <c r="AU359" s="30">
        <v>879</v>
      </c>
      <c r="AV359" s="30">
        <v>881</v>
      </c>
      <c r="AW359" s="31">
        <v>821</v>
      </c>
      <c r="AX359" s="136">
        <v>2.2753128555176336E-3</v>
      </c>
      <c r="AY359" s="33">
        <v>-6.5984072810011382E-2</v>
      </c>
      <c r="AZ359" s="35">
        <v>-6.8104426787741201E-2</v>
      </c>
      <c r="BA359" s="29">
        <v>11</v>
      </c>
      <c r="BB359" s="31">
        <v>11</v>
      </c>
      <c r="BC359" s="29">
        <v>4</v>
      </c>
      <c r="BD359" s="31">
        <v>3</v>
      </c>
      <c r="BE359" s="29">
        <v>3614</v>
      </c>
      <c r="BF359" s="30">
        <v>5090</v>
      </c>
      <c r="BG359" s="33">
        <v>0.71001964636542236</v>
      </c>
      <c r="BH359" s="30">
        <v>583</v>
      </c>
      <c r="BI359" s="30">
        <v>821</v>
      </c>
      <c r="BJ359" s="35">
        <v>0.71010962241169306</v>
      </c>
    </row>
    <row r="360" spans="1:62" x14ac:dyDescent="0.25">
      <c r="A360" s="8"/>
      <c r="B360" s="9" t="s">
        <v>95</v>
      </c>
      <c r="C360" s="9"/>
      <c r="D360" s="9"/>
      <c r="E360" s="10"/>
      <c r="F360" s="176">
        <v>12757</v>
      </c>
      <c r="G360" s="177">
        <v>11242</v>
      </c>
      <c r="H360" s="178">
        <v>0</v>
      </c>
      <c r="I360" s="178">
        <v>6709</v>
      </c>
      <c r="J360" s="179">
        <v>4533</v>
      </c>
      <c r="K360" s="177">
        <v>0</v>
      </c>
      <c r="L360" s="178">
        <v>190</v>
      </c>
      <c r="M360" s="178">
        <v>170</v>
      </c>
      <c r="N360" s="178">
        <v>66</v>
      </c>
      <c r="O360" s="178">
        <v>26</v>
      </c>
      <c r="P360" s="178">
        <v>0</v>
      </c>
      <c r="Q360" s="178">
        <v>42</v>
      </c>
      <c r="R360" s="179">
        <v>802</v>
      </c>
      <c r="S360" s="176">
        <v>838</v>
      </c>
      <c r="T360" s="177">
        <v>1102</v>
      </c>
      <c r="U360" s="178">
        <v>16</v>
      </c>
      <c r="V360" s="178">
        <v>30</v>
      </c>
      <c r="W360" s="178">
        <v>105</v>
      </c>
      <c r="X360" s="179">
        <v>951</v>
      </c>
      <c r="Y360" s="177">
        <v>29074</v>
      </c>
      <c r="Z360" s="179">
        <v>8275</v>
      </c>
      <c r="AA360" s="177">
        <v>31530</v>
      </c>
      <c r="AB360" s="179">
        <v>8059</v>
      </c>
      <c r="AC360" s="177">
        <v>33615</v>
      </c>
      <c r="AD360" s="179">
        <v>8308</v>
      </c>
      <c r="AE360" s="177">
        <v>4300</v>
      </c>
      <c r="AF360" s="178">
        <v>2199</v>
      </c>
      <c r="AG360" s="179">
        <v>5614</v>
      </c>
      <c r="AH360" s="131">
        <v>8.4474100570956875E-2</v>
      </c>
      <c r="AI360" s="12">
        <v>0.1561876590768384</v>
      </c>
      <c r="AJ360" s="12">
        <v>6.6127497621313036E-2</v>
      </c>
      <c r="AK360" s="12">
        <v>-2.6102719033232628E-2</v>
      </c>
      <c r="AL360" s="12">
        <v>3.9879154078549849E-3</v>
      </c>
      <c r="AM360" s="12">
        <v>3.0897133639409356E-2</v>
      </c>
      <c r="AN360" s="13">
        <v>2.9901263120441204</v>
      </c>
      <c r="AO360" s="12">
        <v>0.73901441024728698</v>
      </c>
      <c r="AP360" s="12">
        <v>0.19560576409891478</v>
      </c>
      <c r="AQ360" s="12">
        <v>0.49937733499377335</v>
      </c>
      <c r="AR360" s="12">
        <v>6.6589173032215204E-2</v>
      </c>
      <c r="AS360" s="131">
        <v>7.4541896459704673E-2</v>
      </c>
      <c r="AT360" s="14">
        <v>-2.3483365949119372E-2</v>
      </c>
      <c r="AU360" s="9">
        <v>3835</v>
      </c>
      <c r="AV360" s="9">
        <v>4020</v>
      </c>
      <c r="AW360" s="10">
        <v>4119</v>
      </c>
      <c r="AX360" s="131">
        <v>4.8239895697522815E-2</v>
      </c>
      <c r="AY360" s="12">
        <v>7.4054758800521508E-2</v>
      </c>
      <c r="AZ360" s="14">
        <v>2.4626865671641792E-2</v>
      </c>
      <c r="BA360" s="8">
        <v>10</v>
      </c>
      <c r="BB360" s="10">
        <v>12</v>
      </c>
      <c r="BC360" s="8">
        <v>3</v>
      </c>
      <c r="BD360" s="10">
        <v>2</v>
      </c>
      <c r="BE360" s="8">
        <v>25133</v>
      </c>
      <c r="BF360" s="9">
        <v>33615</v>
      </c>
      <c r="BG360" s="12">
        <v>0.74767217016213006</v>
      </c>
      <c r="BH360" s="9">
        <v>3144</v>
      </c>
      <c r="BI360" s="9">
        <v>4119</v>
      </c>
      <c r="BJ360" s="14">
        <v>0.76329206117989801</v>
      </c>
    </row>
    <row r="361" spans="1:62" x14ac:dyDescent="0.25">
      <c r="A361" s="15"/>
      <c r="B361" s="16"/>
      <c r="C361" s="16" t="s">
        <v>96</v>
      </c>
      <c r="D361" s="16"/>
      <c r="E361" s="17"/>
      <c r="F361" s="180">
        <v>4770</v>
      </c>
      <c r="G361" s="181">
        <v>4153</v>
      </c>
      <c r="H361" s="182">
        <v>0</v>
      </c>
      <c r="I361" s="182">
        <v>2746</v>
      </c>
      <c r="J361" s="183">
        <v>1407</v>
      </c>
      <c r="K361" s="181">
        <v>0</v>
      </c>
      <c r="L361" s="182">
        <v>89</v>
      </c>
      <c r="M361" s="182">
        <v>67</v>
      </c>
      <c r="N361" s="182">
        <v>46</v>
      </c>
      <c r="O361" s="182">
        <v>2</v>
      </c>
      <c r="P361" s="182">
        <v>0</v>
      </c>
      <c r="Q361" s="182">
        <v>15</v>
      </c>
      <c r="R361" s="183">
        <v>393</v>
      </c>
      <c r="S361" s="180">
        <v>353</v>
      </c>
      <c r="T361" s="181">
        <v>184</v>
      </c>
      <c r="U361" s="182">
        <v>12</v>
      </c>
      <c r="V361" s="182">
        <v>15</v>
      </c>
      <c r="W361" s="182">
        <v>43</v>
      </c>
      <c r="X361" s="183">
        <v>114</v>
      </c>
      <c r="Y361" s="181">
        <v>15947</v>
      </c>
      <c r="Z361" s="183">
        <v>3482</v>
      </c>
      <c r="AA361" s="181">
        <v>18279</v>
      </c>
      <c r="AB361" s="183">
        <v>3709</v>
      </c>
      <c r="AC361" s="181">
        <v>20042</v>
      </c>
      <c r="AD361" s="183">
        <v>3877</v>
      </c>
      <c r="AE361" s="181">
        <v>830</v>
      </c>
      <c r="AF361" s="182">
        <v>277</v>
      </c>
      <c r="AG361" s="183">
        <v>2828</v>
      </c>
      <c r="AH361" s="133">
        <v>0.14623440145481909</v>
      </c>
      <c r="AI361" s="19">
        <v>0.25678811061641688</v>
      </c>
      <c r="AJ361" s="19">
        <v>9.6449477542535147E-2</v>
      </c>
      <c r="AK361" s="19">
        <v>6.5192418150488221E-2</v>
      </c>
      <c r="AL361" s="19">
        <v>0.11344055140723722</v>
      </c>
      <c r="AM361" s="19">
        <v>4.529522782421138E-2</v>
      </c>
      <c r="AN361" s="20">
        <v>4.825908981459186</v>
      </c>
      <c r="AO361" s="19">
        <v>0.93354201781844448</v>
      </c>
      <c r="AP361" s="19">
        <v>6.6698771972068388E-2</v>
      </c>
      <c r="AQ361" s="19">
        <v>0.68095352757043104</v>
      </c>
      <c r="AR361" s="19">
        <v>8.644962604487462E-2</v>
      </c>
      <c r="AS361" s="133">
        <v>8.4998796051047432E-2</v>
      </c>
      <c r="AT361" s="21">
        <v>4.0693474596677104E-2</v>
      </c>
      <c r="AU361" s="16">
        <v>2333</v>
      </c>
      <c r="AV361" s="16">
        <v>2534</v>
      </c>
      <c r="AW361" s="17">
        <v>2639</v>
      </c>
      <c r="AX361" s="133">
        <v>8.6155165023574801E-2</v>
      </c>
      <c r="AY361" s="19">
        <v>0.13116159451350193</v>
      </c>
      <c r="AZ361" s="21">
        <v>4.1436464088397788E-2</v>
      </c>
      <c r="BA361" s="15">
        <v>9</v>
      </c>
      <c r="BB361" s="17">
        <v>10</v>
      </c>
      <c r="BC361" s="15">
        <v>2</v>
      </c>
      <c r="BD361" s="17">
        <v>2</v>
      </c>
      <c r="BE361" s="15">
        <v>15465</v>
      </c>
      <c r="BF361" s="16">
        <v>20042</v>
      </c>
      <c r="BG361" s="19">
        <v>0.77162957788643849</v>
      </c>
      <c r="BH361" s="16">
        <v>2071</v>
      </c>
      <c r="BI361" s="16">
        <v>2639</v>
      </c>
      <c r="BJ361" s="21">
        <v>0.78476695718075029</v>
      </c>
    </row>
    <row r="362" spans="1:62" x14ac:dyDescent="0.25">
      <c r="A362" s="29"/>
      <c r="B362" s="30"/>
      <c r="C362" s="30"/>
      <c r="D362" s="30"/>
      <c r="E362" s="31" t="s">
        <v>68</v>
      </c>
      <c r="F362" s="188">
        <v>4687</v>
      </c>
      <c r="G362" s="189">
        <v>4099</v>
      </c>
      <c r="H362" s="190">
        <v>0</v>
      </c>
      <c r="I362" s="190">
        <v>2692</v>
      </c>
      <c r="J362" s="191">
        <v>1407</v>
      </c>
      <c r="K362" s="189">
        <v>0</v>
      </c>
      <c r="L362" s="190">
        <v>61</v>
      </c>
      <c r="M362" s="190">
        <v>67</v>
      </c>
      <c r="N362" s="190">
        <v>46</v>
      </c>
      <c r="O362" s="190">
        <v>2</v>
      </c>
      <c r="P362" s="190">
        <v>0</v>
      </c>
      <c r="Q362" s="190">
        <v>15</v>
      </c>
      <c r="R362" s="191">
        <v>392</v>
      </c>
      <c r="S362" s="188">
        <v>270</v>
      </c>
      <c r="T362" s="189">
        <v>184</v>
      </c>
      <c r="U362" s="190">
        <v>12</v>
      </c>
      <c r="V362" s="190">
        <v>15</v>
      </c>
      <c r="W362" s="190">
        <v>43</v>
      </c>
      <c r="X362" s="191">
        <v>114</v>
      </c>
      <c r="Y362" s="189">
        <v>15947</v>
      </c>
      <c r="Z362" s="191">
        <v>3482</v>
      </c>
      <c r="AA362" s="189">
        <v>18279</v>
      </c>
      <c r="AB362" s="191">
        <v>3709</v>
      </c>
      <c r="AC362" s="189">
        <v>19840</v>
      </c>
      <c r="AD362" s="191">
        <v>3822</v>
      </c>
      <c r="AE362" s="189">
        <v>830</v>
      </c>
      <c r="AF362" s="190">
        <v>277</v>
      </c>
      <c r="AG362" s="191">
        <v>2789</v>
      </c>
      <c r="AH362" s="136">
        <v>0.14623440145481909</v>
      </c>
      <c r="AI362" s="33">
        <v>0.24412115131372672</v>
      </c>
      <c r="AJ362" s="33">
        <v>8.5398544778160737E-2</v>
      </c>
      <c r="AK362" s="33">
        <v>6.5192418150488221E-2</v>
      </c>
      <c r="AL362" s="33">
        <v>9.7645031591039627E-2</v>
      </c>
      <c r="AM362" s="33">
        <v>3.0466433000808844E-2</v>
      </c>
      <c r="AN362" s="34">
        <v>4.8402049280312269</v>
      </c>
      <c r="AO362" s="33">
        <v>0.932422542083435</v>
      </c>
      <c r="AP362" s="33">
        <v>6.7577457916565012E-2</v>
      </c>
      <c r="AQ362" s="33">
        <v>0.6804098560624543</v>
      </c>
      <c r="AR362" s="33">
        <v>8.7285682476063234E-2</v>
      </c>
      <c r="AS362" s="136">
        <v>6.5869724323005613E-2</v>
      </c>
      <c r="AT362" s="35">
        <v>2.0980727006586972E-2</v>
      </c>
      <c r="AU362" s="30">
        <v>2333</v>
      </c>
      <c r="AV362" s="30">
        <v>2534</v>
      </c>
      <c r="AW362" s="31">
        <v>2629</v>
      </c>
      <c r="AX362" s="136">
        <v>8.6155165023574801E-2</v>
      </c>
      <c r="AY362" s="33">
        <v>0.12687526789541362</v>
      </c>
      <c r="AZ362" s="35">
        <v>3.7490134175217051E-2</v>
      </c>
      <c r="BA362" s="29">
        <v>9</v>
      </c>
      <c r="BB362" s="31">
        <v>10</v>
      </c>
      <c r="BC362" s="29">
        <v>2</v>
      </c>
      <c r="BD362" s="31">
        <v>2</v>
      </c>
      <c r="BE362" s="29">
        <v>15310</v>
      </c>
      <c r="BF362" s="30">
        <v>19840</v>
      </c>
      <c r="BG362" s="33">
        <v>0.77167338709677424</v>
      </c>
      <c r="BH362" s="30">
        <v>2063</v>
      </c>
      <c r="BI362" s="30">
        <v>2629</v>
      </c>
      <c r="BJ362" s="35">
        <v>0.78470901483453781</v>
      </c>
    </row>
    <row r="363" spans="1:62" x14ac:dyDescent="0.25">
      <c r="A363" s="29"/>
      <c r="B363" s="30"/>
      <c r="C363" s="30"/>
      <c r="D363" s="30"/>
      <c r="E363" s="31" t="s">
        <v>97</v>
      </c>
      <c r="F363" s="188">
        <v>80</v>
      </c>
      <c r="G363" s="189">
        <v>54</v>
      </c>
      <c r="H363" s="190">
        <v>0</v>
      </c>
      <c r="I363" s="190">
        <v>54</v>
      </c>
      <c r="J363" s="191">
        <v>0</v>
      </c>
      <c r="K363" s="189">
        <v>0</v>
      </c>
      <c r="L363" s="190">
        <v>25</v>
      </c>
      <c r="M363" s="190">
        <v>0</v>
      </c>
      <c r="N363" s="190">
        <v>0</v>
      </c>
      <c r="O363" s="190">
        <v>0</v>
      </c>
      <c r="P363" s="190">
        <v>0</v>
      </c>
      <c r="Q363" s="190">
        <v>0</v>
      </c>
      <c r="R363" s="191">
        <v>1</v>
      </c>
      <c r="S363" s="188">
        <v>80</v>
      </c>
      <c r="T363" s="189"/>
      <c r="U363" s="190"/>
      <c r="V363" s="190"/>
      <c r="W363" s="190"/>
      <c r="X363" s="191"/>
      <c r="Y363" s="189">
        <v>0</v>
      </c>
      <c r="Z363" s="191">
        <v>0</v>
      </c>
      <c r="AA363" s="189">
        <v>0</v>
      </c>
      <c r="AB363" s="191">
        <v>0</v>
      </c>
      <c r="AC363" s="189">
        <v>202</v>
      </c>
      <c r="AD363" s="191">
        <v>55</v>
      </c>
      <c r="AE363" s="189">
        <v>0</v>
      </c>
      <c r="AF363" s="190">
        <v>0</v>
      </c>
      <c r="AG363" s="191">
        <v>39</v>
      </c>
      <c r="AH363" s="136"/>
      <c r="AI363" s="33"/>
      <c r="AJ363" s="33"/>
      <c r="AK363" s="33"/>
      <c r="AL363" s="33"/>
      <c r="AM363" s="33"/>
      <c r="AN363" s="34">
        <v>3.7407407407407409</v>
      </c>
      <c r="AO363" s="33">
        <v>1.0185185185185186</v>
      </c>
      <c r="AP363" s="33">
        <v>0</v>
      </c>
      <c r="AQ363" s="33">
        <v>0.72222222222222221</v>
      </c>
      <c r="AR363" s="33">
        <v>1.8181818181818181E-2</v>
      </c>
      <c r="AS363" s="136">
        <v>1.4814814814814814</v>
      </c>
      <c r="AT363" s="35">
        <v>1.4814814814814814</v>
      </c>
      <c r="AU363" s="30">
        <v>0</v>
      </c>
      <c r="AV363" s="30">
        <v>0</v>
      </c>
      <c r="AW363" s="31">
        <v>171</v>
      </c>
      <c r="AX363" s="136"/>
      <c r="AY363" s="33"/>
      <c r="AZ363" s="35"/>
      <c r="BA363" s="29">
        <v>9</v>
      </c>
      <c r="BB363" s="31">
        <v>9</v>
      </c>
      <c r="BC363" s="29">
        <v>2</v>
      </c>
      <c r="BD363" s="31">
        <v>2</v>
      </c>
      <c r="BE363" s="29">
        <v>155</v>
      </c>
      <c r="BF363" s="30">
        <v>202</v>
      </c>
      <c r="BG363" s="33">
        <v>0.76732673267326734</v>
      </c>
      <c r="BH363" s="30">
        <v>132</v>
      </c>
      <c r="BI363" s="30">
        <v>171</v>
      </c>
      <c r="BJ363" s="35">
        <v>0.77192982456140347</v>
      </c>
    </row>
    <row r="364" spans="1:62" x14ac:dyDescent="0.25">
      <c r="A364" s="15"/>
      <c r="B364" s="16"/>
      <c r="C364" s="16" t="s">
        <v>230</v>
      </c>
      <c r="D364" s="16"/>
      <c r="E364" s="17"/>
      <c r="F364" s="180">
        <v>91</v>
      </c>
      <c r="G364" s="181">
        <v>80</v>
      </c>
      <c r="H364" s="182">
        <v>0</v>
      </c>
      <c r="I364" s="182">
        <v>80</v>
      </c>
      <c r="J364" s="183">
        <v>0</v>
      </c>
      <c r="K364" s="181">
        <v>0</v>
      </c>
      <c r="L364" s="182">
        <v>0</v>
      </c>
      <c r="M364" s="182">
        <v>3</v>
      </c>
      <c r="N364" s="182">
        <v>0</v>
      </c>
      <c r="O364" s="182">
        <v>2</v>
      </c>
      <c r="P364" s="182">
        <v>0</v>
      </c>
      <c r="Q364" s="182">
        <v>1</v>
      </c>
      <c r="R364" s="183">
        <v>5</v>
      </c>
      <c r="S364" s="180">
        <v>0</v>
      </c>
      <c r="T364" s="181">
        <v>2</v>
      </c>
      <c r="U364" s="182">
        <v>0</v>
      </c>
      <c r="V364" s="182">
        <v>1</v>
      </c>
      <c r="W364" s="182">
        <v>1</v>
      </c>
      <c r="X364" s="183">
        <v>0</v>
      </c>
      <c r="Y364" s="181">
        <v>330</v>
      </c>
      <c r="Z364" s="183">
        <v>76</v>
      </c>
      <c r="AA364" s="181">
        <v>309</v>
      </c>
      <c r="AB364" s="183">
        <v>79</v>
      </c>
      <c r="AC364" s="181">
        <v>223</v>
      </c>
      <c r="AD364" s="183">
        <v>73</v>
      </c>
      <c r="AE364" s="181">
        <v>18</v>
      </c>
      <c r="AF364" s="182">
        <v>3</v>
      </c>
      <c r="AG364" s="183">
        <v>18</v>
      </c>
      <c r="AH364" s="133">
        <v>-6.363636363636363E-2</v>
      </c>
      <c r="AI364" s="19">
        <v>-0.32424242424242422</v>
      </c>
      <c r="AJ364" s="19">
        <v>-0.27831715210355989</v>
      </c>
      <c r="AK364" s="19">
        <v>3.9473684210526314E-2</v>
      </c>
      <c r="AL364" s="19">
        <v>-3.9473684210526314E-2</v>
      </c>
      <c r="AM364" s="19">
        <v>-7.5949367088607597E-2</v>
      </c>
      <c r="AN364" s="20">
        <v>2.7875000000000001</v>
      </c>
      <c r="AO364" s="19">
        <v>0.91249999999999998</v>
      </c>
      <c r="AP364" s="19">
        <v>3.7499999999999999E-2</v>
      </c>
      <c r="AQ364" s="19">
        <v>0.22500000000000001</v>
      </c>
      <c r="AR364" s="19">
        <v>5.8823529411764705E-2</v>
      </c>
      <c r="AS364" s="133">
        <v>0</v>
      </c>
      <c r="AT364" s="21">
        <v>-2.5000000000000001E-2</v>
      </c>
      <c r="AU364" s="16">
        <v>105</v>
      </c>
      <c r="AV364" s="16">
        <v>107</v>
      </c>
      <c r="AW364" s="17">
        <v>113</v>
      </c>
      <c r="AX364" s="133">
        <v>1.9047619047619049E-2</v>
      </c>
      <c r="AY364" s="19">
        <v>7.6190476190476197E-2</v>
      </c>
      <c r="AZ364" s="21">
        <v>5.6074766355140186E-2</v>
      </c>
      <c r="BA364" s="15">
        <v>13</v>
      </c>
      <c r="BB364" s="17">
        <v>13</v>
      </c>
      <c r="BC364" s="15">
        <v>3</v>
      </c>
      <c r="BD364" s="17">
        <v>2</v>
      </c>
      <c r="BE364" s="15">
        <v>125</v>
      </c>
      <c r="BF364" s="16">
        <v>223</v>
      </c>
      <c r="BG364" s="19">
        <v>0.5605381165919282</v>
      </c>
      <c r="BH364" s="16">
        <v>63</v>
      </c>
      <c r="BI364" s="16">
        <v>113</v>
      </c>
      <c r="BJ364" s="21">
        <v>0.55752212389380529</v>
      </c>
    </row>
    <row r="365" spans="1:62" x14ac:dyDescent="0.25">
      <c r="A365" s="29"/>
      <c r="B365" s="30"/>
      <c r="C365" s="30"/>
      <c r="D365" s="30"/>
      <c r="E365" s="31" t="s">
        <v>82</v>
      </c>
      <c r="F365" s="188">
        <v>13</v>
      </c>
      <c r="G365" s="189">
        <v>12</v>
      </c>
      <c r="H365" s="190">
        <v>0</v>
      </c>
      <c r="I365" s="190">
        <v>12</v>
      </c>
      <c r="J365" s="191">
        <v>0</v>
      </c>
      <c r="K365" s="189">
        <v>0</v>
      </c>
      <c r="L365" s="190">
        <v>0</v>
      </c>
      <c r="M365" s="190">
        <v>0</v>
      </c>
      <c r="N365" s="190">
        <v>0</v>
      </c>
      <c r="O365" s="190">
        <v>1</v>
      </c>
      <c r="P365" s="190">
        <v>0</v>
      </c>
      <c r="Q365" s="190">
        <v>0</v>
      </c>
      <c r="R365" s="191">
        <v>0</v>
      </c>
      <c r="S365" s="188">
        <v>0</v>
      </c>
      <c r="T365" s="189"/>
      <c r="U365" s="190"/>
      <c r="V365" s="190"/>
      <c r="W365" s="190"/>
      <c r="X365" s="191"/>
      <c r="Y365" s="189">
        <v>35</v>
      </c>
      <c r="Z365" s="191">
        <v>8</v>
      </c>
      <c r="AA365" s="189">
        <v>62</v>
      </c>
      <c r="AB365" s="191">
        <v>13</v>
      </c>
      <c r="AC365" s="189">
        <v>44</v>
      </c>
      <c r="AD365" s="191">
        <v>13</v>
      </c>
      <c r="AE365" s="189">
        <v>0</v>
      </c>
      <c r="AF365" s="190">
        <v>0</v>
      </c>
      <c r="AG365" s="191">
        <v>0</v>
      </c>
      <c r="AH365" s="136">
        <v>0.77142857142857146</v>
      </c>
      <c r="AI365" s="33">
        <v>0.25714285714285712</v>
      </c>
      <c r="AJ365" s="33">
        <v>-0.29032258064516131</v>
      </c>
      <c r="AK365" s="33">
        <v>0.625</v>
      </c>
      <c r="AL365" s="33">
        <v>0.625</v>
      </c>
      <c r="AM365" s="33">
        <v>0</v>
      </c>
      <c r="AN365" s="34">
        <v>3.6666666666666665</v>
      </c>
      <c r="AO365" s="33">
        <v>1.0833333333333333</v>
      </c>
      <c r="AP365" s="33">
        <v>0</v>
      </c>
      <c r="AQ365" s="33">
        <v>0</v>
      </c>
      <c r="AR365" s="33">
        <v>0</v>
      </c>
      <c r="AS365" s="136">
        <v>0</v>
      </c>
      <c r="AT365" s="35">
        <v>0</v>
      </c>
      <c r="AU365" s="30">
        <v>22</v>
      </c>
      <c r="AV365" s="30">
        <v>43</v>
      </c>
      <c r="AW365" s="31">
        <v>33</v>
      </c>
      <c r="AX365" s="136">
        <v>0.95454545454545459</v>
      </c>
      <c r="AY365" s="33">
        <v>0.5</v>
      </c>
      <c r="AZ365" s="35">
        <v>-0.23255813953488372</v>
      </c>
      <c r="BA365" s="29">
        <v>31</v>
      </c>
      <c r="BB365" s="31">
        <v>30</v>
      </c>
      <c r="BC365" s="29">
        <v>2.5</v>
      </c>
      <c r="BD365" s="31">
        <v>2</v>
      </c>
      <c r="BE365" s="29">
        <v>27</v>
      </c>
      <c r="BF365" s="30">
        <v>44</v>
      </c>
      <c r="BG365" s="33">
        <v>0.61363636363636365</v>
      </c>
      <c r="BH365" s="30">
        <v>20</v>
      </c>
      <c r="BI365" s="30">
        <v>33</v>
      </c>
      <c r="BJ365" s="35">
        <v>0.60606060606060608</v>
      </c>
    </row>
    <row r="366" spans="1:62" x14ac:dyDescent="0.25">
      <c r="A366" s="29"/>
      <c r="B366" s="30"/>
      <c r="C366" s="30"/>
      <c r="D366" s="30"/>
      <c r="E366" s="31" t="s">
        <v>174</v>
      </c>
      <c r="F366" s="188">
        <v>72</v>
      </c>
      <c r="G366" s="189">
        <v>62</v>
      </c>
      <c r="H366" s="190">
        <v>0</v>
      </c>
      <c r="I366" s="190">
        <v>62</v>
      </c>
      <c r="J366" s="191">
        <v>0</v>
      </c>
      <c r="K366" s="189">
        <v>0</v>
      </c>
      <c r="L366" s="190">
        <v>0</v>
      </c>
      <c r="M366" s="190">
        <v>3</v>
      </c>
      <c r="N366" s="190">
        <v>0</v>
      </c>
      <c r="O366" s="190">
        <v>1</v>
      </c>
      <c r="P366" s="190">
        <v>0</v>
      </c>
      <c r="Q366" s="190">
        <v>1</v>
      </c>
      <c r="R366" s="191">
        <v>5</v>
      </c>
      <c r="S366" s="188">
        <v>0</v>
      </c>
      <c r="T366" s="189">
        <v>2</v>
      </c>
      <c r="U366" s="190">
        <v>0</v>
      </c>
      <c r="V366" s="190">
        <v>1</v>
      </c>
      <c r="W366" s="190">
        <v>1</v>
      </c>
      <c r="X366" s="191">
        <v>0</v>
      </c>
      <c r="Y366" s="189">
        <v>259</v>
      </c>
      <c r="Z366" s="191">
        <v>62</v>
      </c>
      <c r="AA366" s="189">
        <v>217</v>
      </c>
      <c r="AB366" s="191">
        <v>61</v>
      </c>
      <c r="AC366" s="189">
        <v>160</v>
      </c>
      <c r="AD366" s="191">
        <v>54</v>
      </c>
      <c r="AE366" s="189">
        <v>18</v>
      </c>
      <c r="AF366" s="190">
        <v>3</v>
      </c>
      <c r="AG366" s="191">
        <v>17</v>
      </c>
      <c r="AH366" s="136">
        <v>-0.16216216216216217</v>
      </c>
      <c r="AI366" s="33">
        <v>-0.38223938223938225</v>
      </c>
      <c r="AJ366" s="33">
        <v>-0.26267281105990781</v>
      </c>
      <c r="AK366" s="33">
        <v>-1.6129032258064516E-2</v>
      </c>
      <c r="AL366" s="33">
        <v>-0.12903225806451613</v>
      </c>
      <c r="AM366" s="33">
        <v>-0.11475409836065574</v>
      </c>
      <c r="AN366" s="34">
        <v>2.5806451612903225</v>
      </c>
      <c r="AO366" s="33">
        <v>0.87096774193548387</v>
      </c>
      <c r="AP366" s="33">
        <v>4.8387096774193547E-2</v>
      </c>
      <c r="AQ366" s="33">
        <v>0.27419354838709675</v>
      </c>
      <c r="AR366" s="33">
        <v>7.4626865671641784E-2</v>
      </c>
      <c r="AS366" s="136">
        <v>0</v>
      </c>
      <c r="AT366" s="35">
        <v>-3.2258064516129031E-2</v>
      </c>
      <c r="AU366" s="30">
        <v>90</v>
      </c>
      <c r="AV366" s="30">
        <v>87</v>
      </c>
      <c r="AW366" s="31">
        <v>97</v>
      </c>
      <c r="AX366" s="136">
        <v>-3.3333333333333333E-2</v>
      </c>
      <c r="AY366" s="33">
        <v>7.7777777777777779E-2</v>
      </c>
      <c r="AZ366" s="35">
        <v>0.11494252873563218</v>
      </c>
      <c r="BA366" s="29">
        <v>12</v>
      </c>
      <c r="BB366" s="31">
        <v>12</v>
      </c>
      <c r="BC366" s="29">
        <v>3</v>
      </c>
      <c r="BD366" s="31">
        <v>2</v>
      </c>
      <c r="BE366" s="29">
        <v>90</v>
      </c>
      <c r="BF366" s="30">
        <v>160</v>
      </c>
      <c r="BG366" s="33">
        <v>0.5625</v>
      </c>
      <c r="BH366" s="30">
        <v>51</v>
      </c>
      <c r="BI366" s="30">
        <v>97</v>
      </c>
      <c r="BJ366" s="35">
        <v>0.52577319587628868</v>
      </c>
    </row>
    <row r="367" spans="1:62" x14ac:dyDescent="0.25">
      <c r="A367" s="15"/>
      <c r="B367" s="16"/>
      <c r="C367" s="16" t="s">
        <v>98</v>
      </c>
      <c r="D367" s="16"/>
      <c r="E367" s="17"/>
      <c r="F367" s="180">
        <v>639</v>
      </c>
      <c r="G367" s="181">
        <v>584</v>
      </c>
      <c r="H367" s="182">
        <v>0</v>
      </c>
      <c r="I367" s="182">
        <v>283</v>
      </c>
      <c r="J367" s="183">
        <v>301</v>
      </c>
      <c r="K367" s="181">
        <v>0</v>
      </c>
      <c r="L367" s="182">
        <v>8</v>
      </c>
      <c r="M367" s="182">
        <v>9</v>
      </c>
      <c r="N367" s="182">
        <v>2</v>
      </c>
      <c r="O367" s="182">
        <v>5</v>
      </c>
      <c r="P367" s="182">
        <v>0</v>
      </c>
      <c r="Q367" s="182">
        <v>5</v>
      </c>
      <c r="R367" s="183">
        <v>26</v>
      </c>
      <c r="S367" s="180">
        <v>55</v>
      </c>
      <c r="T367" s="181">
        <v>11</v>
      </c>
      <c r="U367" s="182">
        <v>1</v>
      </c>
      <c r="V367" s="182">
        <v>2</v>
      </c>
      <c r="W367" s="182">
        <v>6</v>
      </c>
      <c r="X367" s="183">
        <v>2</v>
      </c>
      <c r="Y367" s="181">
        <v>888</v>
      </c>
      <c r="Z367" s="183">
        <v>373</v>
      </c>
      <c r="AA367" s="181">
        <v>1163</v>
      </c>
      <c r="AB367" s="183">
        <v>367</v>
      </c>
      <c r="AC367" s="181">
        <v>1013</v>
      </c>
      <c r="AD367" s="183">
        <v>350</v>
      </c>
      <c r="AE367" s="181">
        <v>283</v>
      </c>
      <c r="AF367" s="182">
        <v>164</v>
      </c>
      <c r="AG367" s="183">
        <v>186</v>
      </c>
      <c r="AH367" s="133">
        <v>0.30968468468468469</v>
      </c>
      <c r="AI367" s="19">
        <v>0.14076576576576577</v>
      </c>
      <c r="AJ367" s="19">
        <v>-0.12897678417884781</v>
      </c>
      <c r="AK367" s="19">
        <v>-1.6085790884718499E-2</v>
      </c>
      <c r="AL367" s="19">
        <v>-6.1662198391420911E-2</v>
      </c>
      <c r="AM367" s="19">
        <v>-4.632152588555858E-2</v>
      </c>
      <c r="AN367" s="20">
        <v>1.7345890410958904</v>
      </c>
      <c r="AO367" s="19">
        <v>0.59931506849315064</v>
      </c>
      <c r="AP367" s="19">
        <v>0.28082191780821919</v>
      </c>
      <c r="AQ367" s="19">
        <v>0.3184931506849315</v>
      </c>
      <c r="AR367" s="19">
        <v>4.2622950819672129E-2</v>
      </c>
      <c r="AS367" s="133">
        <v>9.4178082191780824E-2</v>
      </c>
      <c r="AT367" s="21">
        <v>7.5342465753424653E-2</v>
      </c>
      <c r="AU367" s="16">
        <v>331</v>
      </c>
      <c r="AV367" s="16">
        <v>395</v>
      </c>
      <c r="AW367" s="17">
        <v>344</v>
      </c>
      <c r="AX367" s="133">
        <v>0.19335347432024169</v>
      </c>
      <c r="AY367" s="19">
        <v>3.9274924471299093E-2</v>
      </c>
      <c r="AZ367" s="21">
        <v>-0.12911392405063291</v>
      </c>
      <c r="BA367" s="15">
        <v>12</v>
      </c>
      <c r="BB367" s="17">
        <v>12</v>
      </c>
      <c r="BC367" s="15">
        <v>2</v>
      </c>
      <c r="BD367" s="17">
        <v>3</v>
      </c>
      <c r="BE367" s="15">
        <v>808</v>
      </c>
      <c r="BF367" s="16">
        <v>1013</v>
      </c>
      <c r="BG367" s="19">
        <v>0.79763079960513328</v>
      </c>
      <c r="BH367" s="16">
        <v>249</v>
      </c>
      <c r="BI367" s="16">
        <v>344</v>
      </c>
      <c r="BJ367" s="21">
        <v>0.72383720930232553</v>
      </c>
    </row>
    <row r="368" spans="1:62" x14ac:dyDescent="0.25">
      <c r="A368" s="29"/>
      <c r="B368" s="30"/>
      <c r="C368" s="30"/>
      <c r="D368" s="30"/>
      <c r="E368" s="31" t="s">
        <v>68</v>
      </c>
      <c r="F368" s="188">
        <v>622</v>
      </c>
      <c r="G368" s="189">
        <v>567</v>
      </c>
      <c r="H368" s="190">
        <v>0</v>
      </c>
      <c r="I368" s="190">
        <v>280</v>
      </c>
      <c r="J368" s="191">
        <v>287</v>
      </c>
      <c r="K368" s="189">
        <v>0</v>
      </c>
      <c r="L368" s="190">
        <v>8</v>
      </c>
      <c r="M368" s="190">
        <v>9</v>
      </c>
      <c r="N368" s="190">
        <v>2</v>
      </c>
      <c r="O368" s="190">
        <v>5</v>
      </c>
      <c r="P368" s="190">
        <v>0</v>
      </c>
      <c r="Q368" s="190">
        <v>5</v>
      </c>
      <c r="R368" s="191">
        <v>26</v>
      </c>
      <c r="S368" s="188">
        <v>39</v>
      </c>
      <c r="T368" s="189">
        <v>11</v>
      </c>
      <c r="U368" s="190">
        <v>1</v>
      </c>
      <c r="V368" s="190">
        <v>2</v>
      </c>
      <c r="W368" s="190">
        <v>6</v>
      </c>
      <c r="X368" s="191">
        <v>2</v>
      </c>
      <c r="Y368" s="189">
        <v>886</v>
      </c>
      <c r="Z368" s="191">
        <v>372</v>
      </c>
      <c r="AA368" s="189">
        <v>1161</v>
      </c>
      <c r="AB368" s="191">
        <v>366</v>
      </c>
      <c r="AC368" s="189">
        <v>1010</v>
      </c>
      <c r="AD368" s="191">
        <v>348</v>
      </c>
      <c r="AE368" s="189">
        <v>268</v>
      </c>
      <c r="AF368" s="190">
        <v>150</v>
      </c>
      <c r="AG368" s="191">
        <v>184</v>
      </c>
      <c r="AH368" s="136">
        <v>0.31038374717832956</v>
      </c>
      <c r="AI368" s="33">
        <v>0.1399548532731377</v>
      </c>
      <c r="AJ368" s="33">
        <v>-0.13006029285099052</v>
      </c>
      <c r="AK368" s="33">
        <v>-1.6129032258064516E-2</v>
      </c>
      <c r="AL368" s="33">
        <v>-6.4516129032258063E-2</v>
      </c>
      <c r="AM368" s="33">
        <v>-4.9180327868852458E-2</v>
      </c>
      <c r="AN368" s="34">
        <v>1.781305114638448</v>
      </c>
      <c r="AO368" s="33">
        <v>0.61375661375661372</v>
      </c>
      <c r="AP368" s="33">
        <v>0.26455026455026454</v>
      </c>
      <c r="AQ368" s="33">
        <v>0.32451499118165783</v>
      </c>
      <c r="AR368" s="33">
        <v>4.3844856661045532E-2</v>
      </c>
      <c r="AS368" s="136">
        <v>6.8783068783068779E-2</v>
      </c>
      <c r="AT368" s="35">
        <v>4.9382716049382713E-2</v>
      </c>
      <c r="AU368" s="30">
        <v>330</v>
      </c>
      <c r="AV368" s="30">
        <v>394</v>
      </c>
      <c r="AW368" s="31">
        <v>342</v>
      </c>
      <c r="AX368" s="136">
        <v>0.19393939393939394</v>
      </c>
      <c r="AY368" s="33">
        <v>3.6363636363636362E-2</v>
      </c>
      <c r="AZ368" s="35">
        <v>-0.13197969543147209</v>
      </c>
      <c r="BA368" s="29">
        <v>12</v>
      </c>
      <c r="BB368" s="31">
        <v>12</v>
      </c>
      <c r="BC368" s="29">
        <v>2</v>
      </c>
      <c r="BD368" s="31">
        <v>3</v>
      </c>
      <c r="BE368" s="29">
        <v>805</v>
      </c>
      <c r="BF368" s="30">
        <v>1010</v>
      </c>
      <c r="BG368" s="33">
        <v>0.79702970297029707</v>
      </c>
      <c r="BH368" s="30">
        <v>247</v>
      </c>
      <c r="BI368" s="30">
        <v>342</v>
      </c>
      <c r="BJ368" s="35">
        <v>0.72222222222222221</v>
      </c>
    </row>
    <row r="369" spans="1:62" x14ac:dyDescent="0.25">
      <c r="A369" s="15"/>
      <c r="B369" s="16"/>
      <c r="C369" s="16" t="s">
        <v>99</v>
      </c>
      <c r="D369" s="16"/>
      <c r="E369" s="17"/>
      <c r="F369" s="180">
        <v>7181</v>
      </c>
      <c r="G369" s="181">
        <v>6355</v>
      </c>
      <c r="H369" s="182">
        <v>0</v>
      </c>
      <c r="I369" s="182">
        <v>3556</v>
      </c>
      <c r="J369" s="183">
        <v>2799</v>
      </c>
      <c r="K369" s="181">
        <v>0</v>
      </c>
      <c r="L369" s="182">
        <v>93</v>
      </c>
      <c r="M369" s="182">
        <v>89</v>
      </c>
      <c r="N369" s="182">
        <v>18</v>
      </c>
      <c r="O369" s="182">
        <v>17</v>
      </c>
      <c r="P369" s="182">
        <v>0</v>
      </c>
      <c r="Q369" s="182">
        <v>21</v>
      </c>
      <c r="R369" s="183">
        <v>374</v>
      </c>
      <c r="S369" s="180">
        <v>428</v>
      </c>
      <c r="T369" s="181">
        <v>903</v>
      </c>
      <c r="U369" s="182">
        <v>3</v>
      </c>
      <c r="V369" s="182">
        <v>12</v>
      </c>
      <c r="W369" s="182">
        <v>54</v>
      </c>
      <c r="X369" s="183">
        <v>834</v>
      </c>
      <c r="Y369" s="181">
        <v>11840</v>
      </c>
      <c r="Z369" s="183">
        <v>4312</v>
      </c>
      <c r="AA369" s="181">
        <v>11695</v>
      </c>
      <c r="AB369" s="183">
        <v>3872</v>
      </c>
      <c r="AC369" s="181">
        <v>12241</v>
      </c>
      <c r="AD369" s="183">
        <v>3975</v>
      </c>
      <c r="AE369" s="181">
        <v>3125</v>
      </c>
      <c r="AF369" s="182">
        <v>1724</v>
      </c>
      <c r="AG369" s="183">
        <v>2572</v>
      </c>
      <c r="AH369" s="133">
        <v>-1.2246621621621621E-2</v>
      </c>
      <c r="AI369" s="19">
        <v>3.3868243243243244E-2</v>
      </c>
      <c r="AJ369" s="19">
        <v>4.66866182129115E-2</v>
      </c>
      <c r="AK369" s="19">
        <v>-0.10204081632653061</v>
      </c>
      <c r="AL369" s="19">
        <v>-7.8153988868274585E-2</v>
      </c>
      <c r="AM369" s="19">
        <v>2.6601239669421489E-2</v>
      </c>
      <c r="AN369" s="20">
        <v>1.9261998426435878</v>
      </c>
      <c r="AO369" s="19">
        <v>0.62549173878835562</v>
      </c>
      <c r="AP369" s="19">
        <v>0.27128245476003149</v>
      </c>
      <c r="AQ369" s="19">
        <v>0.40472069236821401</v>
      </c>
      <c r="AR369" s="19">
        <v>5.5580323970872342E-2</v>
      </c>
      <c r="AS369" s="133">
        <v>6.7348544453186471E-2</v>
      </c>
      <c r="AT369" s="21">
        <v>-7.4744295830055069E-2</v>
      </c>
      <c r="AU369" s="16">
        <v>2439</v>
      </c>
      <c r="AV369" s="16">
        <v>2414</v>
      </c>
      <c r="AW369" s="17">
        <v>2474</v>
      </c>
      <c r="AX369" s="133">
        <v>-1.025010250102501E-2</v>
      </c>
      <c r="AY369" s="19">
        <v>1.4350143501435014E-2</v>
      </c>
      <c r="AZ369" s="21">
        <v>2.4855012427506214E-2</v>
      </c>
      <c r="BA369" s="15">
        <v>12</v>
      </c>
      <c r="BB369" s="17">
        <v>12</v>
      </c>
      <c r="BC369" s="15">
        <v>3</v>
      </c>
      <c r="BD369" s="17">
        <v>2</v>
      </c>
      <c r="BE369" s="15">
        <v>8663</v>
      </c>
      <c r="BF369" s="16">
        <v>12241</v>
      </c>
      <c r="BG369" s="19">
        <v>0.70770361898537704</v>
      </c>
      <c r="BH369" s="16">
        <v>1795</v>
      </c>
      <c r="BI369" s="16">
        <v>2474</v>
      </c>
      <c r="BJ369" s="21">
        <v>0.72554567502021017</v>
      </c>
    </row>
    <row r="370" spans="1:62" x14ac:dyDescent="0.25">
      <c r="A370" s="29"/>
      <c r="B370" s="30"/>
      <c r="C370" s="30"/>
      <c r="D370" s="30"/>
      <c r="E370" s="31" t="s">
        <v>68</v>
      </c>
      <c r="F370" s="188">
        <v>7121</v>
      </c>
      <c r="G370" s="189">
        <v>6321</v>
      </c>
      <c r="H370" s="190">
        <v>0</v>
      </c>
      <c r="I370" s="190">
        <v>3523</v>
      </c>
      <c r="J370" s="191">
        <v>2798</v>
      </c>
      <c r="K370" s="189">
        <v>0</v>
      </c>
      <c r="L370" s="190">
        <v>67</v>
      </c>
      <c r="M370" s="190">
        <v>89</v>
      </c>
      <c r="N370" s="190">
        <v>18</v>
      </c>
      <c r="O370" s="190">
        <v>17</v>
      </c>
      <c r="P370" s="190">
        <v>0</v>
      </c>
      <c r="Q370" s="190">
        <v>21</v>
      </c>
      <c r="R370" s="191">
        <v>374</v>
      </c>
      <c r="S370" s="188">
        <v>368</v>
      </c>
      <c r="T370" s="189">
        <v>903</v>
      </c>
      <c r="U370" s="190">
        <v>3</v>
      </c>
      <c r="V370" s="190">
        <v>12</v>
      </c>
      <c r="W370" s="190">
        <v>54</v>
      </c>
      <c r="X370" s="191">
        <v>834</v>
      </c>
      <c r="Y370" s="189">
        <v>11840</v>
      </c>
      <c r="Z370" s="191">
        <v>4312</v>
      </c>
      <c r="AA370" s="189">
        <v>11695</v>
      </c>
      <c r="AB370" s="191">
        <v>3872</v>
      </c>
      <c r="AC370" s="189">
        <v>12160</v>
      </c>
      <c r="AD370" s="191">
        <v>3940</v>
      </c>
      <c r="AE370" s="189">
        <v>3125</v>
      </c>
      <c r="AF370" s="190">
        <v>1724</v>
      </c>
      <c r="AG370" s="191">
        <v>2555</v>
      </c>
      <c r="AH370" s="136">
        <v>-1.2246621621621621E-2</v>
      </c>
      <c r="AI370" s="33">
        <v>2.7027027027027029E-2</v>
      </c>
      <c r="AJ370" s="33">
        <v>3.976058144506199E-2</v>
      </c>
      <c r="AK370" s="33">
        <v>-0.10204081632653061</v>
      </c>
      <c r="AL370" s="33">
        <v>-8.6270871985157704E-2</v>
      </c>
      <c r="AM370" s="33">
        <v>1.7561983471074381E-2</v>
      </c>
      <c r="AN370" s="34">
        <v>1.9237462426831198</v>
      </c>
      <c r="AO370" s="33">
        <v>0.62331909507989247</v>
      </c>
      <c r="AP370" s="33">
        <v>0.27274165480145546</v>
      </c>
      <c r="AQ370" s="33">
        <v>0.40420819490586934</v>
      </c>
      <c r="AR370" s="33">
        <v>5.5862584017923822E-2</v>
      </c>
      <c r="AS370" s="136">
        <v>5.8218636291725995E-2</v>
      </c>
      <c r="AT370" s="35">
        <v>-8.4638506565416868E-2</v>
      </c>
      <c r="AU370" s="30">
        <v>2439</v>
      </c>
      <c r="AV370" s="30">
        <v>2412</v>
      </c>
      <c r="AW370" s="31">
        <v>2469</v>
      </c>
      <c r="AX370" s="136">
        <v>-1.107011070110701E-2</v>
      </c>
      <c r="AY370" s="33">
        <v>1.2300123001230012E-2</v>
      </c>
      <c r="AZ370" s="35">
        <v>2.36318407960199E-2</v>
      </c>
      <c r="BA370" s="29">
        <v>12</v>
      </c>
      <c r="BB370" s="31">
        <v>12</v>
      </c>
      <c r="BC370" s="29">
        <v>3</v>
      </c>
      <c r="BD370" s="31">
        <v>2</v>
      </c>
      <c r="BE370" s="29">
        <v>8620</v>
      </c>
      <c r="BF370" s="30">
        <v>12160</v>
      </c>
      <c r="BG370" s="33">
        <v>0.70888157894736847</v>
      </c>
      <c r="BH370" s="30">
        <v>1789</v>
      </c>
      <c r="BI370" s="30">
        <v>2469</v>
      </c>
      <c r="BJ370" s="35">
        <v>0.72458485216686919</v>
      </c>
    </row>
    <row r="371" spans="1:62" x14ac:dyDescent="0.25">
      <c r="A371" s="29"/>
      <c r="B371" s="30"/>
      <c r="C371" s="30"/>
      <c r="D371" s="30"/>
      <c r="E371" s="31" t="s">
        <v>97</v>
      </c>
      <c r="F371" s="188">
        <v>57</v>
      </c>
      <c r="G371" s="189">
        <v>34</v>
      </c>
      <c r="H371" s="190">
        <v>0</v>
      </c>
      <c r="I371" s="190">
        <v>33</v>
      </c>
      <c r="J371" s="191">
        <v>1</v>
      </c>
      <c r="K371" s="189">
        <v>0</v>
      </c>
      <c r="L371" s="190">
        <v>23</v>
      </c>
      <c r="M371" s="190">
        <v>0</v>
      </c>
      <c r="N371" s="190">
        <v>0</v>
      </c>
      <c r="O371" s="190">
        <v>0</v>
      </c>
      <c r="P371" s="190">
        <v>0</v>
      </c>
      <c r="Q371" s="190">
        <v>0</v>
      </c>
      <c r="R371" s="191">
        <v>0</v>
      </c>
      <c r="S371" s="188">
        <v>57</v>
      </c>
      <c r="T371" s="189"/>
      <c r="U371" s="190"/>
      <c r="V371" s="190"/>
      <c r="W371" s="190"/>
      <c r="X371" s="191"/>
      <c r="Y371" s="189">
        <v>0</v>
      </c>
      <c r="Z371" s="191">
        <v>0</v>
      </c>
      <c r="AA371" s="189">
        <v>0</v>
      </c>
      <c r="AB371" s="191">
        <v>0</v>
      </c>
      <c r="AC371" s="189">
        <v>81</v>
      </c>
      <c r="AD371" s="191">
        <v>35</v>
      </c>
      <c r="AE371" s="189">
        <v>0</v>
      </c>
      <c r="AF371" s="190">
        <v>0</v>
      </c>
      <c r="AG371" s="191">
        <v>17</v>
      </c>
      <c r="AH371" s="136"/>
      <c r="AI371" s="33"/>
      <c r="AJ371" s="33"/>
      <c r="AK371" s="33"/>
      <c r="AL371" s="33"/>
      <c r="AM371" s="33"/>
      <c r="AN371" s="34">
        <v>2.3823529411764706</v>
      </c>
      <c r="AO371" s="33">
        <v>1.0294117647058822</v>
      </c>
      <c r="AP371" s="33">
        <v>0</v>
      </c>
      <c r="AQ371" s="33">
        <v>0.5</v>
      </c>
      <c r="AR371" s="33">
        <v>0</v>
      </c>
      <c r="AS371" s="136">
        <v>1.6764705882352942</v>
      </c>
      <c r="AT371" s="35">
        <v>1.6764705882352942</v>
      </c>
      <c r="AU371" s="30">
        <v>0</v>
      </c>
      <c r="AV371" s="30">
        <v>0</v>
      </c>
      <c r="AW371" s="31">
        <v>67</v>
      </c>
      <c r="AX371" s="136"/>
      <c r="AY371" s="33"/>
      <c r="AZ371" s="35"/>
      <c r="BA371" s="29">
        <v>12</v>
      </c>
      <c r="BB371" s="31">
        <v>12</v>
      </c>
      <c r="BC371" s="29">
        <v>3</v>
      </c>
      <c r="BD371" s="31">
        <v>3</v>
      </c>
      <c r="BE371" s="29">
        <v>43</v>
      </c>
      <c r="BF371" s="30">
        <v>81</v>
      </c>
      <c r="BG371" s="33">
        <v>0.53086419753086422</v>
      </c>
      <c r="BH371" s="30">
        <v>38</v>
      </c>
      <c r="BI371" s="30">
        <v>67</v>
      </c>
      <c r="BJ371" s="35">
        <v>0.56716417910447758</v>
      </c>
    </row>
    <row r="372" spans="1:62" x14ac:dyDescent="0.25">
      <c r="A372" s="15"/>
      <c r="B372" s="16"/>
      <c r="C372" s="16" t="s">
        <v>100</v>
      </c>
      <c r="D372" s="16"/>
      <c r="E372" s="17"/>
      <c r="F372" s="180">
        <v>76</v>
      </c>
      <c r="G372" s="181">
        <v>70</v>
      </c>
      <c r="H372" s="182">
        <v>0</v>
      </c>
      <c r="I372" s="182">
        <v>44</v>
      </c>
      <c r="J372" s="183">
        <v>26</v>
      </c>
      <c r="K372" s="181">
        <v>0</v>
      </c>
      <c r="L372" s="182">
        <v>0</v>
      </c>
      <c r="M372" s="182">
        <v>2</v>
      </c>
      <c r="N372" s="182">
        <v>0</v>
      </c>
      <c r="O372" s="182">
        <v>0</v>
      </c>
      <c r="P372" s="182">
        <v>0</v>
      </c>
      <c r="Q372" s="182">
        <v>0</v>
      </c>
      <c r="R372" s="183">
        <v>4</v>
      </c>
      <c r="S372" s="180">
        <v>2</v>
      </c>
      <c r="T372" s="181">
        <v>2</v>
      </c>
      <c r="U372" s="182">
        <v>0</v>
      </c>
      <c r="V372" s="182">
        <v>0</v>
      </c>
      <c r="W372" s="182">
        <v>1</v>
      </c>
      <c r="X372" s="183">
        <v>1</v>
      </c>
      <c r="Y372" s="181">
        <v>69</v>
      </c>
      <c r="Z372" s="183">
        <v>32</v>
      </c>
      <c r="AA372" s="181">
        <v>84</v>
      </c>
      <c r="AB372" s="183">
        <v>32</v>
      </c>
      <c r="AC372" s="181">
        <v>96</v>
      </c>
      <c r="AD372" s="183">
        <v>33</v>
      </c>
      <c r="AE372" s="181">
        <v>44</v>
      </c>
      <c r="AF372" s="182">
        <v>31</v>
      </c>
      <c r="AG372" s="183">
        <v>10</v>
      </c>
      <c r="AH372" s="133">
        <v>0.21739130434782608</v>
      </c>
      <c r="AI372" s="19">
        <v>0.39130434782608697</v>
      </c>
      <c r="AJ372" s="19">
        <v>0.14285714285714285</v>
      </c>
      <c r="AK372" s="19">
        <v>0</v>
      </c>
      <c r="AL372" s="19">
        <v>3.125E-2</v>
      </c>
      <c r="AM372" s="19">
        <v>3.125E-2</v>
      </c>
      <c r="AN372" s="20">
        <v>1.3714285714285714</v>
      </c>
      <c r="AO372" s="19">
        <v>0.47142857142857142</v>
      </c>
      <c r="AP372" s="19">
        <v>0.44285714285714284</v>
      </c>
      <c r="AQ372" s="19">
        <v>0.14285714285714285</v>
      </c>
      <c r="AR372" s="19">
        <v>5.4054054054054057E-2</v>
      </c>
      <c r="AS372" s="133">
        <v>2.8571428571428571E-2</v>
      </c>
      <c r="AT372" s="21">
        <v>0</v>
      </c>
      <c r="AU372" s="16">
        <v>56</v>
      </c>
      <c r="AV372" s="16">
        <v>66</v>
      </c>
      <c r="AW372" s="17">
        <v>61</v>
      </c>
      <c r="AX372" s="133">
        <v>0.17857142857142858</v>
      </c>
      <c r="AY372" s="19">
        <v>8.9285714285714288E-2</v>
      </c>
      <c r="AZ372" s="21">
        <v>-7.575757575757576E-2</v>
      </c>
      <c r="BA372" s="15">
        <v>11</v>
      </c>
      <c r="BB372" s="17">
        <v>11</v>
      </c>
      <c r="BC372" s="15">
        <v>4.5</v>
      </c>
      <c r="BD372" s="17">
        <v>3</v>
      </c>
      <c r="BE372" s="15">
        <v>72</v>
      </c>
      <c r="BF372" s="16">
        <v>96</v>
      </c>
      <c r="BG372" s="19">
        <v>0.75</v>
      </c>
      <c r="BH372" s="16">
        <v>52</v>
      </c>
      <c r="BI372" s="16">
        <v>61</v>
      </c>
      <c r="BJ372" s="21">
        <v>0.85245901639344257</v>
      </c>
    </row>
    <row r="373" spans="1:62" x14ac:dyDescent="0.25">
      <c r="A373" s="29"/>
      <c r="B373" s="30"/>
      <c r="C373" s="30"/>
      <c r="D373" s="30"/>
      <c r="E373" s="31" t="s">
        <v>68</v>
      </c>
      <c r="F373" s="188">
        <v>76</v>
      </c>
      <c r="G373" s="189">
        <v>70</v>
      </c>
      <c r="H373" s="190">
        <v>0</v>
      </c>
      <c r="I373" s="190">
        <v>44</v>
      </c>
      <c r="J373" s="191">
        <v>26</v>
      </c>
      <c r="K373" s="189">
        <v>0</v>
      </c>
      <c r="L373" s="190">
        <v>0</v>
      </c>
      <c r="M373" s="190">
        <v>2</v>
      </c>
      <c r="N373" s="190">
        <v>0</v>
      </c>
      <c r="O373" s="190">
        <v>0</v>
      </c>
      <c r="P373" s="190">
        <v>0</v>
      </c>
      <c r="Q373" s="190">
        <v>0</v>
      </c>
      <c r="R373" s="191">
        <v>4</v>
      </c>
      <c r="S373" s="188">
        <v>2</v>
      </c>
      <c r="T373" s="189">
        <v>2</v>
      </c>
      <c r="U373" s="190">
        <v>0</v>
      </c>
      <c r="V373" s="190">
        <v>0</v>
      </c>
      <c r="W373" s="190">
        <v>1</v>
      </c>
      <c r="X373" s="191">
        <v>1</v>
      </c>
      <c r="Y373" s="189">
        <v>69</v>
      </c>
      <c r="Z373" s="191">
        <v>32</v>
      </c>
      <c r="AA373" s="189">
        <v>84</v>
      </c>
      <c r="AB373" s="191">
        <v>32</v>
      </c>
      <c r="AC373" s="189">
        <v>96</v>
      </c>
      <c r="AD373" s="191">
        <v>33</v>
      </c>
      <c r="AE373" s="189">
        <v>44</v>
      </c>
      <c r="AF373" s="190">
        <v>31</v>
      </c>
      <c r="AG373" s="191">
        <v>10</v>
      </c>
      <c r="AH373" s="136">
        <v>0.21739130434782608</v>
      </c>
      <c r="AI373" s="33">
        <v>0.39130434782608697</v>
      </c>
      <c r="AJ373" s="33">
        <v>0.14285714285714285</v>
      </c>
      <c r="AK373" s="33">
        <v>0</v>
      </c>
      <c r="AL373" s="33">
        <v>3.125E-2</v>
      </c>
      <c r="AM373" s="33">
        <v>3.125E-2</v>
      </c>
      <c r="AN373" s="34">
        <v>1.3714285714285714</v>
      </c>
      <c r="AO373" s="33">
        <v>0.47142857142857142</v>
      </c>
      <c r="AP373" s="33">
        <v>0.44285714285714284</v>
      </c>
      <c r="AQ373" s="33">
        <v>0.14285714285714285</v>
      </c>
      <c r="AR373" s="33">
        <v>5.4054054054054057E-2</v>
      </c>
      <c r="AS373" s="136">
        <v>2.8571428571428571E-2</v>
      </c>
      <c r="AT373" s="35">
        <v>0</v>
      </c>
      <c r="AU373" s="30">
        <v>56</v>
      </c>
      <c r="AV373" s="30">
        <v>66</v>
      </c>
      <c r="AW373" s="31">
        <v>61</v>
      </c>
      <c r="AX373" s="136">
        <v>0.17857142857142858</v>
      </c>
      <c r="AY373" s="33">
        <v>8.9285714285714288E-2</v>
      </c>
      <c r="AZ373" s="35">
        <v>-7.575757575757576E-2</v>
      </c>
      <c r="BA373" s="29">
        <v>11</v>
      </c>
      <c r="BB373" s="31">
        <v>11</v>
      </c>
      <c r="BC373" s="29">
        <v>4.5</v>
      </c>
      <c r="BD373" s="31">
        <v>3</v>
      </c>
      <c r="BE373" s="29">
        <v>72</v>
      </c>
      <c r="BF373" s="30">
        <v>96</v>
      </c>
      <c r="BG373" s="33">
        <v>0.75</v>
      </c>
      <c r="BH373" s="30">
        <v>52</v>
      </c>
      <c r="BI373" s="30">
        <v>61</v>
      </c>
      <c r="BJ373" s="35">
        <v>0.85245901639344257</v>
      </c>
    </row>
    <row r="374" spans="1:62" x14ac:dyDescent="0.25">
      <c r="A374" s="8"/>
      <c r="B374" s="9" t="s">
        <v>101</v>
      </c>
      <c r="C374" s="9"/>
      <c r="D374" s="9"/>
      <c r="E374" s="10"/>
      <c r="F374" s="176">
        <v>260</v>
      </c>
      <c r="G374" s="177">
        <v>249</v>
      </c>
      <c r="H374" s="178">
        <v>0</v>
      </c>
      <c r="I374" s="178">
        <v>198</v>
      </c>
      <c r="J374" s="179">
        <v>51</v>
      </c>
      <c r="K374" s="177">
        <v>0</v>
      </c>
      <c r="L374" s="178">
        <v>1</v>
      </c>
      <c r="M374" s="178">
        <v>1</v>
      </c>
      <c r="N374" s="178">
        <v>0</v>
      </c>
      <c r="O374" s="178">
        <v>0</v>
      </c>
      <c r="P374" s="178">
        <v>0</v>
      </c>
      <c r="Q374" s="178">
        <v>1</v>
      </c>
      <c r="R374" s="179">
        <v>8</v>
      </c>
      <c r="S374" s="176">
        <v>6</v>
      </c>
      <c r="T374" s="177">
        <v>2</v>
      </c>
      <c r="U374" s="178">
        <v>0</v>
      </c>
      <c r="V374" s="178">
        <v>1</v>
      </c>
      <c r="W374" s="178">
        <v>1</v>
      </c>
      <c r="X374" s="179">
        <v>0</v>
      </c>
      <c r="Y374" s="177">
        <v>199</v>
      </c>
      <c r="Z374" s="179">
        <v>112</v>
      </c>
      <c r="AA374" s="177">
        <v>252</v>
      </c>
      <c r="AB374" s="179">
        <v>130</v>
      </c>
      <c r="AC374" s="177">
        <v>171</v>
      </c>
      <c r="AD374" s="179">
        <v>94</v>
      </c>
      <c r="AE374" s="177">
        <v>165</v>
      </c>
      <c r="AF374" s="178">
        <v>57</v>
      </c>
      <c r="AG374" s="179">
        <v>24</v>
      </c>
      <c r="AH374" s="131">
        <v>0.26633165829145727</v>
      </c>
      <c r="AI374" s="12">
        <v>-0.1407035175879397</v>
      </c>
      <c r="AJ374" s="12">
        <v>-0.32142857142857145</v>
      </c>
      <c r="AK374" s="12">
        <v>0.16071428571428573</v>
      </c>
      <c r="AL374" s="12">
        <v>-0.16071428571428573</v>
      </c>
      <c r="AM374" s="12">
        <v>-0.27692307692307694</v>
      </c>
      <c r="AN374" s="13">
        <v>0.68674698795180722</v>
      </c>
      <c r="AO374" s="12">
        <v>0.37751004016064255</v>
      </c>
      <c r="AP374" s="12">
        <v>0.2289156626506024</v>
      </c>
      <c r="AQ374" s="12">
        <v>9.6385542168674704E-2</v>
      </c>
      <c r="AR374" s="12">
        <v>3.1128404669260701E-2</v>
      </c>
      <c r="AS374" s="131">
        <v>2.4096385542168676E-2</v>
      </c>
      <c r="AT374" s="14">
        <v>1.6064257028112448E-2</v>
      </c>
      <c r="AU374" s="9">
        <v>0</v>
      </c>
      <c r="AV374" s="9">
        <v>0</v>
      </c>
      <c r="AW374" s="10">
        <v>0</v>
      </c>
      <c r="AX374" s="131"/>
      <c r="AY374" s="12"/>
      <c r="AZ374" s="14"/>
      <c r="BA374" s="8"/>
      <c r="BB374" s="10"/>
      <c r="BC374" s="8"/>
      <c r="BD374" s="10"/>
      <c r="BE374" s="8">
        <v>0</v>
      </c>
      <c r="BF374" s="9">
        <v>0</v>
      </c>
      <c r="BG374" s="12"/>
      <c r="BH374" s="9">
        <v>0</v>
      </c>
      <c r="BI374" s="9">
        <v>0</v>
      </c>
      <c r="BJ374" s="14"/>
    </row>
    <row r="375" spans="1:62" x14ac:dyDescent="0.25">
      <c r="A375" s="29"/>
      <c r="B375" s="30"/>
      <c r="C375" s="30"/>
      <c r="D375" s="30"/>
      <c r="E375" s="31" t="s">
        <v>68</v>
      </c>
      <c r="F375" s="188">
        <v>257</v>
      </c>
      <c r="G375" s="189">
        <v>246</v>
      </c>
      <c r="H375" s="190">
        <v>0</v>
      </c>
      <c r="I375" s="190">
        <v>195</v>
      </c>
      <c r="J375" s="191">
        <v>51</v>
      </c>
      <c r="K375" s="189">
        <v>0</v>
      </c>
      <c r="L375" s="190">
        <v>1</v>
      </c>
      <c r="M375" s="190">
        <v>1</v>
      </c>
      <c r="N375" s="190">
        <v>0</v>
      </c>
      <c r="O375" s="190">
        <v>0</v>
      </c>
      <c r="P375" s="190">
        <v>0</v>
      </c>
      <c r="Q375" s="190">
        <v>1</v>
      </c>
      <c r="R375" s="191">
        <v>8</v>
      </c>
      <c r="S375" s="188">
        <v>3</v>
      </c>
      <c r="T375" s="189">
        <v>2</v>
      </c>
      <c r="U375" s="190">
        <v>0</v>
      </c>
      <c r="V375" s="190">
        <v>1</v>
      </c>
      <c r="W375" s="190">
        <v>1</v>
      </c>
      <c r="X375" s="191">
        <v>0</v>
      </c>
      <c r="Y375" s="189">
        <v>199</v>
      </c>
      <c r="Z375" s="191">
        <v>112</v>
      </c>
      <c r="AA375" s="189">
        <v>252</v>
      </c>
      <c r="AB375" s="191">
        <v>130</v>
      </c>
      <c r="AC375" s="189">
        <v>167</v>
      </c>
      <c r="AD375" s="191">
        <v>91</v>
      </c>
      <c r="AE375" s="189">
        <v>165</v>
      </c>
      <c r="AF375" s="190">
        <v>57</v>
      </c>
      <c r="AG375" s="191">
        <v>23</v>
      </c>
      <c r="AH375" s="136">
        <v>0.26633165829145727</v>
      </c>
      <c r="AI375" s="33">
        <v>-0.16080402010050251</v>
      </c>
      <c r="AJ375" s="33">
        <v>-0.33730158730158732</v>
      </c>
      <c r="AK375" s="33">
        <v>0.16071428571428573</v>
      </c>
      <c r="AL375" s="33">
        <v>-0.1875</v>
      </c>
      <c r="AM375" s="33">
        <v>-0.3</v>
      </c>
      <c r="AN375" s="34">
        <v>0.67886178861788615</v>
      </c>
      <c r="AO375" s="33">
        <v>0.36991869918699188</v>
      </c>
      <c r="AP375" s="33">
        <v>0.23170731707317074</v>
      </c>
      <c r="AQ375" s="33">
        <v>9.3495934959349589E-2</v>
      </c>
      <c r="AR375" s="33">
        <v>3.1496062992125984E-2</v>
      </c>
      <c r="AS375" s="136">
        <v>1.2195121951219513E-2</v>
      </c>
      <c r="AT375" s="35">
        <v>4.0650406504065045E-3</v>
      </c>
      <c r="AU375" s="30">
        <v>94</v>
      </c>
      <c r="AV375" s="30">
        <v>88</v>
      </c>
      <c r="AW375" s="31">
        <v>73</v>
      </c>
      <c r="AX375" s="136">
        <v>-6.3829787234042548E-2</v>
      </c>
      <c r="AY375" s="33">
        <v>-0.22340425531914893</v>
      </c>
      <c r="AZ375" s="35">
        <v>-0.17045454545454544</v>
      </c>
      <c r="BA375" s="29">
        <v>29</v>
      </c>
      <c r="BB375" s="31">
        <v>14.5</v>
      </c>
      <c r="BC375" s="29">
        <v>3</v>
      </c>
      <c r="BD375" s="31">
        <v>3</v>
      </c>
      <c r="BE375" s="29">
        <v>130</v>
      </c>
      <c r="BF375" s="30">
        <v>167</v>
      </c>
      <c r="BG375" s="33">
        <v>0.77844311377245512</v>
      </c>
      <c r="BH375" s="30">
        <v>57</v>
      </c>
      <c r="BI375" s="30">
        <v>73</v>
      </c>
      <c r="BJ375" s="35">
        <v>0.78082191780821919</v>
      </c>
    </row>
    <row r="376" spans="1:62" x14ac:dyDescent="0.25">
      <c r="A376" s="138" t="s">
        <v>231</v>
      </c>
      <c r="B376" s="139"/>
      <c r="C376" s="139"/>
      <c r="D376" s="139"/>
      <c r="E376" s="140"/>
      <c r="F376" s="196">
        <v>55493</v>
      </c>
      <c r="G376" s="197">
        <v>156</v>
      </c>
      <c r="H376" s="198">
        <v>55189</v>
      </c>
      <c r="I376" s="198">
        <v>14531</v>
      </c>
      <c r="J376" s="199">
        <v>40814</v>
      </c>
      <c r="K376" s="197">
        <v>0</v>
      </c>
      <c r="L376" s="198">
        <v>147</v>
      </c>
      <c r="M376" s="198">
        <v>0</v>
      </c>
      <c r="N376" s="198">
        <v>0</v>
      </c>
      <c r="O376" s="198">
        <v>0</v>
      </c>
      <c r="P376" s="198">
        <v>1</v>
      </c>
      <c r="Q376" s="198">
        <v>0</v>
      </c>
      <c r="R376" s="199">
        <v>0</v>
      </c>
      <c r="S376" s="196">
        <v>864</v>
      </c>
      <c r="T376" s="197"/>
      <c r="U376" s="198"/>
      <c r="V376" s="198"/>
      <c r="W376" s="198"/>
      <c r="X376" s="199"/>
      <c r="Y376" s="197">
        <v>613</v>
      </c>
      <c r="Z376" s="199">
        <v>456</v>
      </c>
      <c r="AA376" s="197">
        <v>25</v>
      </c>
      <c r="AB376" s="199">
        <v>17</v>
      </c>
      <c r="AC376" s="197">
        <v>18</v>
      </c>
      <c r="AD376" s="199">
        <v>14</v>
      </c>
      <c r="AE376" s="197">
        <v>144</v>
      </c>
      <c r="AF376" s="198">
        <v>126</v>
      </c>
      <c r="AG376" s="199">
        <v>1</v>
      </c>
      <c r="AH376" s="141">
        <v>-0.95921696574225124</v>
      </c>
      <c r="AI376" s="142">
        <v>-0.9706362153344209</v>
      </c>
      <c r="AJ376" s="142">
        <v>-0.28000000000000003</v>
      </c>
      <c r="AK376" s="142">
        <v>-0.96271929824561409</v>
      </c>
      <c r="AL376" s="142">
        <v>-0.9692982456140351</v>
      </c>
      <c r="AM376" s="142">
        <v>-0.17647058823529413</v>
      </c>
      <c r="AN376" s="143">
        <v>0.11538461538461539</v>
      </c>
      <c r="AO376" s="142">
        <v>8.9743589743589744E-2</v>
      </c>
      <c r="AP376" s="142">
        <v>0.80769230769230771</v>
      </c>
      <c r="AQ376" s="142">
        <v>6.41025641025641E-3</v>
      </c>
      <c r="AR376" s="142">
        <v>0</v>
      </c>
      <c r="AS376" s="141">
        <v>5.5384615384615383</v>
      </c>
      <c r="AT376" s="144">
        <v>5.5384615384615383</v>
      </c>
      <c r="AU376" s="139">
        <v>368</v>
      </c>
      <c r="AV376" s="139"/>
      <c r="AW376" s="140">
        <v>12</v>
      </c>
      <c r="AX376" s="141"/>
      <c r="AY376" s="142">
        <v>-0.96739130434782605</v>
      </c>
      <c r="AZ376" s="144"/>
      <c r="BA376" s="138">
        <v>49.5</v>
      </c>
      <c r="BB376" s="140">
        <v>52</v>
      </c>
      <c r="BC376" s="138">
        <v>2</v>
      </c>
      <c r="BD376" s="140">
        <v>5.5</v>
      </c>
      <c r="BE376" s="138">
        <v>8</v>
      </c>
      <c r="BF376" s="139">
        <v>18</v>
      </c>
      <c r="BG376" s="142">
        <v>0.44444444444444442</v>
      </c>
      <c r="BH376" s="139">
        <v>5</v>
      </c>
      <c r="BI376" s="139">
        <v>12</v>
      </c>
      <c r="BJ376" s="144">
        <v>0.41666666666666669</v>
      </c>
    </row>
    <row r="377" spans="1:62" x14ac:dyDescent="0.25">
      <c r="A377" s="8"/>
      <c r="B377" s="9" t="s">
        <v>232</v>
      </c>
      <c r="C377" s="9"/>
      <c r="D377" s="9"/>
      <c r="E377" s="10"/>
      <c r="F377" s="176">
        <v>905</v>
      </c>
      <c r="G377" s="177">
        <v>15</v>
      </c>
      <c r="H377" s="178">
        <v>889</v>
      </c>
      <c r="I377" s="178">
        <v>14</v>
      </c>
      <c r="J377" s="179">
        <v>890</v>
      </c>
      <c r="K377" s="177">
        <v>0</v>
      </c>
      <c r="L377" s="178">
        <v>1</v>
      </c>
      <c r="M377" s="178">
        <v>0</v>
      </c>
      <c r="N377" s="178">
        <v>0</v>
      </c>
      <c r="O377" s="178">
        <v>0</v>
      </c>
      <c r="P377" s="178">
        <v>0</v>
      </c>
      <c r="Q377" s="178">
        <v>0</v>
      </c>
      <c r="R377" s="179">
        <v>0</v>
      </c>
      <c r="S377" s="176">
        <v>0</v>
      </c>
      <c r="T377" s="177"/>
      <c r="U377" s="178"/>
      <c r="V377" s="178"/>
      <c r="W377" s="178"/>
      <c r="X377" s="179"/>
      <c r="Y377" s="177">
        <v>8</v>
      </c>
      <c r="Z377" s="179">
        <v>4</v>
      </c>
      <c r="AA377" s="177">
        <v>13</v>
      </c>
      <c r="AB377" s="179">
        <v>10</v>
      </c>
      <c r="AC377" s="177">
        <v>10</v>
      </c>
      <c r="AD377" s="179">
        <v>7</v>
      </c>
      <c r="AE377" s="177">
        <v>8</v>
      </c>
      <c r="AF377" s="178">
        <v>4</v>
      </c>
      <c r="AG377" s="179">
        <v>0</v>
      </c>
      <c r="AH377" s="131">
        <v>0.625</v>
      </c>
      <c r="AI377" s="12">
        <v>0.25</v>
      </c>
      <c r="AJ377" s="12">
        <v>-0.23076923076923078</v>
      </c>
      <c r="AK377" s="12">
        <v>1.5</v>
      </c>
      <c r="AL377" s="12">
        <v>0.75</v>
      </c>
      <c r="AM377" s="12">
        <v>-0.3</v>
      </c>
      <c r="AN377" s="13">
        <v>0.66666666666666663</v>
      </c>
      <c r="AO377" s="12">
        <v>0.46666666666666667</v>
      </c>
      <c r="AP377" s="12">
        <v>0.26666666666666666</v>
      </c>
      <c r="AQ377" s="12">
        <v>0</v>
      </c>
      <c r="AR377" s="12">
        <v>0</v>
      </c>
      <c r="AS377" s="131">
        <v>0</v>
      </c>
      <c r="AT377" s="14">
        <v>0</v>
      </c>
      <c r="AU377" s="9">
        <v>9</v>
      </c>
      <c r="AV377" s="9">
        <v>9</v>
      </c>
      <c r="AW377" s="10">
        <v>6</v>
      </c>
      <c r="AX377" s="131">
        <v>0</v>
      </c>
      <c r="AY377" s="12">
        <v>-0.33333333333333331</v>
      </c>
      <c r="AZ377" s="14">
        <v>-0.33333333333333331</v>
      </c>
      <c r="BA377" s="8">
        <v>43</v>
      </c>
      <c r="BB377" s="10">
        <v>56</v>
      </c>
      <c r="BC377" s="8">
        <v>2</v>
      </c>
      <c r="BD377" s="10">
        <v>8</v>
      </c>
      <c r="BE377" s="8">
        <v>3</v>
      </c>
      <c r="BF377" s="9">
        <v>10</v>
      </c>
      <c r="BG377" s="12">
        <v>0.3</v>
      </c>
      <c r="BH377" s="9">
        <v>2</v>
      </c>
      <c r="BI377" s="9">
        <v>6</v>
      </c>
      <c r="BJ377" s="14">
        <v>0.33333333333333331</v>
      </c>
    </row>
    <row r="378" spans="1:62" x14ac:dyDescent="0.25">
      <c r="A378" s="15"/>
      <c r="B378" s="16"/>
      <c r="C378" s="16" t="s">
        <v>233</v>
      </c>
      <c r="D378" s="16"/>
      <c r="E378" s="17"/>
      <c r="F378" s="180">
        <v>905</v>
      </c>
      <c r="G378" s="181">
        <v>15</v>
      </c>
      <c r="H378" s="182">
        <v>889</v>
      </c>
      <c r="I378" s="182">
        <v>14</v>
      </c>
      <c r="J378" s="183">
        <v>890</v>
      </c>
      <c r="K378" s="181">
        <v>0</v>
      </c>
      <c r="L378" s="182">
        <v>1</v>
      </c>
      <c r="M378" s="182">
        <v>0</v>
      </c>
      <c r="N378" s="182">
        <v>0</v>
      </c>
      <c r="O378" s="182">
        <v>0</v>
      </c>
      <c r="P378" s="182">
        <v>0</v>
      </c>
      <c r="Q378" s="182">
        <v>0</v>
      </c>
      <c r="R378" s="183">
        <v>0</v>
      </c>
      <c r="S378" s="180">
        <v>0</v>
      </c>
      <c r="T378" s="181"/>
      <c r="U378" s="182"/>
      <c r="V378" s="182"/>
      <c r="W378" s="182"/>
      <c r="X378" s="183"/>
      <c r="Y378" s="181">
        <v>8</v>
      </c>
      <c r="Z378" s="183">
        <v>4</v>
      </c>
      <c r="AA378" s="181">
        <v>13</v>
      </c>
      <c r="AB378" s="183">
        <v>10</v>
      </c>
      <c r="AC378" s="181">
        <v>10</v>
      </c>
      <c r="AD378" s="183">
        <v>7</v>
      </c>
      <c r="AE378" s="181">
        <v>8</v>
      </c>
      <c r="AF378" s="182">
        <v>4</v>
      </c>
      <c r="AG378" s="183">
        <v>0</v>
      </c>
      <c r="AH378" s="133">
        <v>0.625</v>
      </c>
      <c r="AI378" s="19">
        <v>0.25</v>
      </c>
      <c r="AJ378" s="19">
        <v>-0.23076923076923078</v>
      </c>
      <c r="AK378" s="19">
        <v>1.5</v>
      </c>
      <c r="AL378" s="19">
        <v>0.75</v>
      </c>
      <c r="AM378" s="19">
        <v>-0.3</v>
      </c>
      <c r="AN378" s="20">
        <v>0.66666666666666663</v>
      </c>
      <c r="AO378" s="19">
        <v>0.46666666666666667</v>
      </c>
      <c r="AP378" s="19">
        <v>0.26666666666666666</v>
      </c>
      <c r="AQ378" s="19">
        <v>0</v>
      </c>
      <c r="AR378" s="19">
        <v>0</v>
      </c>
      <c r="AS378" s="133">
        <v>0</v>
      </c>
      <c r="AT378" s="21">
        <v>0</v>
      </c>
      <c r="AU378" s="16">
        <v>8</v>
      </c>
      <c r="AV378" s="16">
        <v>6</v>
      </c>
      <c r="AW378" s="17">
        <v>6</v>
      </c>
      <c r="AX378" s="133">
        <v>-0.25</v>
      </c>
      <c r="AY378" s="19">
        <v>-0.25</v>
      </c>
      <c r="AZ378" s="21">
        <v>0</v>
      </c>
      <c r="BA378" s="15">
        <v>43</v>
      </c>
      <c r="BB378" s="17">
        <v>56</v>
      </c>
      <c r="BC378" s="15">
        <v>2</v>
      </c>
      <c r="BD378" s="17">
        <v>8</v>
      </c>
      <c r="BE378" s="15">
        <v>3</v>
      </c>
      <c r="BF378" s="16">
        <v>10</v>
      </c>
      <c r="BG378" s="19">
        <v>0.3</v>
      </c>
      <c r="BH378" s="16">
        <v>2</v>
      </c>
      <c r="BI378" s="16">
        <v>6</v>
      </c>
      <c r="BJ378" s="21">
        <v>0.33333333333333331</v>
      </c>
    </row>
    <row r="379" spans="1:62" x14ac:dyDescent="0.25">
      <c r="A379" s="29"/>
      <c r="B379" s="30"/>
      <c r="C379" s="30"/>
      <c r="D379" s="30"/>
      <c r="E379" s="31" t="s">
        <v>97</v>
      </c>
      <c r="F379" s="188">
        <v>25</v>
      </c>
      <c r="G379" s="189">
        <v>14</v>
      </c>
      <c r="H379" s="190">
        <v>10</v>
      </c>
      <c r="I379" s="190">
        <v>14</v>
      </c>
      <c r="J379" s="191">
        <v>10</v>
      </c>
      <c r="K379" s="189">
        <v>0</v>
      </c>
      <c r="L379" s="190">
        <v>1</v>
      </c>
      <c r="M379" s="190">
        <v>0</v>
      </c>
      <c r="N379" s="190">
        <v>0</v>
      </c>
      <c r="O379" s="190">
        <v>0</v>
      </c>
      <c r="P379" s="190">
        <v>0</v>
      </c>
      <c r="Q379" s="190">
        <v>0</v>
      </c>
      <c r="R379" s="191">
        <v>0</v>
      </c>
      <c r="S379" s="188">
        <v>0</v>
      </c>
      <c r="T379" s="189"/>
      <c r="U379" s="190"/>
      <c r="V379" s="190"/>
      <c r="W379" s="190"/>
      <c r="X379" s="191"/>
      <c r="Y379" s="189">
        <v>8</v>
      </c>
      <c r="Z379" s="191">
        <v>4</v>
      </c>
      <c r="AA379" s="189">
        <v>13</v>
      </c>
      <c r="AB379" s="191">
        <v>10</v>
      </c>
      <c r="AC379" s="189">
        <v>10</v>
      </c>
      <c r="AD379" s="191">
        <v>7</v>
      </c>
      <c r="AE379" s="189">
        <v>7</v>
      </c>
      <c r="AF379" s="190">
        <v>3</v>
      </c>
      <c r="AG379" s="191">
        <v>0</v>
      </c>
      <c r="AH379" s="136">
        <v>0.625</v>
      </c>
      <c r="AI379" s="33">
        <v>0.25</v>
      </c>
      <c r="AJ379" s="33">
        <v>-0.23076923076923078</v>
      </c>
      <c r="AK379" s="33">
        <v>1.5</v>
      </c>
      <c r="AL379" s="33">
        <v>0.75</v>
      </c>
      <c r="AM379" s="33">
        <v>-0.3</v>
      </c>
      <c r="AN379" s="34">
        <v>0.7142857142857143</v>
      </c>
      <c r="AO379" s="33">
        <v>0.5</v>
      </c>
      <c r="AP379" s="33">
        <v>0.21428571428571427</v>
      </c>
      <c r="AQ379" s="33">
        <v>0</v>
      </c>
      <c r="AR379" s="33">
        <v>0</v>
      </c>
      <c r="AS379" s="136">
        <v>0</v>
      </c>
      <c r="AT379" s="35">
        <v>0</v>
      </c>
      <c r="AU379" s="30">
        <v>8</v>
      </c>
      <c r="AV379" s="30">
        <v>6</v>
      </c>
      <c r="AW379" s="31">
        <v>6</v>
      </c>
      <c r="AX379" s="136">
        <v>-0.25</v>
      </c>
      <c r="AY379" s="33">
        <v>-0.25</v>
      </c>
      <c r="AZ379" s="35">
        <v>0</v>
      </c>
      <c r="BA379" s="29">
        <v>43</v>
      </c>
      <c r="BB379" s="31">
        <v>56</v>
      </c>
      <c r="BC379" s="29">
        <v>2</v>
      </c>
      <c r="BD379" s="31">
        <v>8</v>
      </c>
      <c r="BE379" s="29">
        <v>3</v>
      </c>
      <c r="BF379" s="30">
        <v>10</v>
      </c>
      <c r="BG379" s="33">
        <v>0.3</v>
      </c>
      <c r="BH379" s="30">
        <v>2</v>
      </c>
      <c r="BI379" s="30">
        <v>6</v>
      </c>
      <c r="BJ379" s="35">
        <v>0.33333333333333331</v>
      </c>
    </row>
    <row r="380" spans="1:62" x14ac:dyDescent="0.25">
      <c r="A380" s="29"/>
      <c r="B380" s="30"/>
      <c r="C380" s="30"/>
      <c r="D380" s="30"/>
      <c r="E380" s="31" t="s">
        <v>245</v>
      </c>
      <c r="F380" s="188">
        <v>880</v>
      </c>
      <c r="G380" s="189">
        <v>1</v>
      </c>
      <c r="H380" s="190">
        <v>879</v>
      </c>
      <c r="I380" s="190">
        <v>0</v>
      </c>
      <c r="J380" s="191">
        <v>880</v>
      </c>
      <c r="K380" s="189">
        <v>0</v>
      </c>
      <c r="L380" s="190">
        <v>0</v>
      </c>
      <c r="M380" s="190">
        <v>0</v>
      </c>
      <c r="N380" s="190">
        <v>0</v>
      </c>
      <c r="O380" s="190">
        <v>0</v>
      </c>
      <c r="P380" s="190">
        <v>0</v>
      </c>
      <c r="Q380" s="190">
        <v>0</v>
      </c>
      <c r="R380" s="191">
        <v>0</v>
      </c>
      <c r="S380" s="188">
        <v>0</v>
      </c>
      <c r="T380" s="189"/>
      <c r="U380" s="190"/>
      <c r="V380" s="190"/>
      <c r="W380" s="190"/>
      <c r="X380" s="191"/>
      <c r="Y380" s="189">
        <v>0</v>
      </c>
      <c r="Z380" s="191">
        <v>0</v>
      </c>
      <c r="AA380" s="189">
        <v>0</v>
      </c>
      <c r="AB380" s="191">
        <v>0</v>
      </c>
      <c r="AC380" s="189">
        <v>0</v>
      </c>
      <c r="AD380" s="191">
        <v>0</v>
      </c>
      <c r="AE380" s="189">
        <v>1</v>
      </c>
      <c r="AF380" s="190">
        <v>1</v>
      </c>
      <c r="AG380" s="191">
        <v>0</v>
      </c>
      <c r="AH380" s="136"/>
      <c r="AI380" s="33"/>
      <c r="AJ380" s="33"/>
      <c r="AK380" s="33"/>
      <c r="AL380" s="33"/>
      <c r="AM380" s="33"/>
      <c r="AN380" s="34">
        <v>0</v>
      </c>
      <c r="AO380" s="33">
        <v>0</v>
      </c>
      <c r="AP380" s="33">
        <v>1</v>
      </c>
      <c r="AQ380" s="33">
        <v>0</v>
      </c>
      <c r="AR380" s="33">
        <v>0</v>
      </c>
      <c r="AS380" s="136">
        <v>0</v>
      </c>
      <c r="AT380" s="35">
        <v>0</v>
      </c>
      <c r="AU380" s="30">
        <v>0</v>
      </c>
      <c r="AV380" s="30">
        <v>0</v>
      </c>
      <c r="AW380" s="31">
        <v>0</v>
      </c>
      <c r="AX380" s="136"/>
      <c r="AY380" s="33"/>
      <c r="AZ380" s="35"/>
      <c r="BA380" s="29"/>
      <c r="BB380" s="31"/>
      <c r="BC380" s="29"/>
      <c r="BD380" s="31"/>
      <c r="BE380" s="29">
        <v>0</v>
      </c>
      <c r="BF380" s="30">
        <v>0</v>
      </c>
      <c r="BG380" s="33"/>
      <c r="BH380" s="30">
        <v>0</v>
      </c>
      <c r="BI380" s="30">
        <v>0</v>
      </c>
      <c r="BJ380" s="35"/>
    </row>
    <row r="381" spans="1:62" x14ac:dyDescent="0.25">
      <c r="A381" s="8"/>
      <c r="B381" s="9" t="s">
        <v>235</v>
      </c>
      <c r="C381" s="9"/>
      <c r="D381" s="9"/>
      <c r="E381" s="10"/>
      <c r="F381" s="176">
        <v>33686</v>
      </c>
      <c r="G381" s="177">
        <v>31</v>
      </c>
      <c r="H381" s="178">
        <v>33544</v>
      </c>
      <c r="I381" s="178">
        <v>14306</v>
      </c>
      <c r="J381" s="179">
        <v>19269</v>
      </c>
      <c r="K381" s="177">
        <v>0</v>
      </c>
      <c r="L381" s="178">
        <v>110</v>
      </c>
      <c r="M381" s="178">
        <v>0</v>
      </c>
      <c r="N381" s="178">
        <v>0</v>
      </c>
      <c r="O381" s="178">
        <v>0</v>
      </c>
      <c r="P381" s="178">
        <v>1</v>
      </c>
      <c r="Q381" s="178">
        <v>0</v>
      </c>
      <c r="R381" s="179">
        <v>0</v>
      </c>
      <c r="S381" s="176">
        <v>726</v>
      </c>
      <c r="T381" s="177"/>
      <c r="U381" s="178"/>
      <c r="V381" s="178"/>
      <c r="W381" s="178"/>
      <c r="X381" s="179"/>
      <c r="Y381" s="177">
        <v>385</v>
      </c>
      <c r="Z381" s="179">
        <v>278</v>
      </c>
      <c r="AA381" s="177">
        <v>0</v>
      </c>
      <c r="AB381" s="179">
        <v>0</v>
      </c>
      <c r="AC381" s="177">
        <v>0</v>
      </c>
      <c r="AD381" s="179">
        <v>0</v>
      </c>
      <c r="AE381" s="177">
        <v>32</v>
      </c>
      <c r="AF381" s="178">
        <v>31</v>
      </c>
      <c r="AG381" s="179">
        <v>0</v>
      </c>
      <c r="AH381" s="131">
        <v>-1</v>
      </c>
      <c r="AI381" s="12">
        <v>-1</v>
      </c>
      <c r="AJ381" s="12"/>
      <c r="AK381" s="12">
        <v>-1</v>
      </c>
      <c r="AL381" s="12">
        <v>-1</v>
      </c>
      <c r="AM381" s="12"/>
      <c r="AN381" s="13">
        <v>0</v>
      </c>
      <c r="AO381" s="12">
        <v>0</v>
      </c>
      <c r="AP381" s="12">
        <v>1</v>
      </c>
      <c r="AQ381" s="12">
        <v>0</v>
      </c>
      <c r="AR381" s="12">
        <v>0</v>
      </c>
      <c r="AS381" s="131">
        <v>23.419354838709676</v>
      </c>
      <c r="AT381" s="14">
        <v>23.419354838709676</v>
      </c>
      <c r="AU381" s="9">
        <v>248</v>
      </c>
      <c r="AV381" s="9">
        <v>0</v>
      </c>
      <c r="AW381" s="10">
        <v>0</v>
      </c>
      <c r="AX381" s="131">
        <v>-1</v>
      </c>
      <c r="AY381" s="12">
        <v>-1</v>
      </c>
      <c r="AZ381" s="14"/>
      <c r="BA381" s="8"/>
      <c r="BB381" s="10"/>
      <c r="BC381" s="8"/>
      <c r="BD381" s="10"/>
      <c r="BE381" s="8">
        <v>0</v>
      </c>
      <c r="BF381" s="9">
        <v>0</v>
      </c>
      <c r="BG381" s="12"/>
      <c r="BH381" s="9">
        <v>0</v>
      </c>
      <c r="BI381" s="9">
        <v>0</v>
      </c>
      <c r="BJ381" s="14"/>
    </row>
    <row r="382" spans="1:62" x14ac:dyDescent="0.25">
      <c r="A382" s="15"/>
      <c r="B382" s="16"/>
      <c r="C382" s="16" t="s">
        <v>236</v>
      </c>
      <c r="D382" s="16"/>
      <c r="E382" s="17"/>
      <c r="F382" s="180">
        <v>3111</v>
      </c>
      <c r="G382" s="181">
        <v>0</v>
      </c>
      <c r="H382" s="182">
        <v>3111</v>
      </c>
      <c r="I382" s="182">
        <v>3111</v>
      </c>
      <c r="J382" s="183">
        <v>0</v>
      </c>
      <c r="K382" s="181">
        <v>0</v>
      </c>
      <c r="L382" s="182">
        <v>0</v>
      </c>
      <c r="M382" s="182">
        <v>0</v>
      </c>
      <c r="N382" s="182">
        <v>0</v>
      </c>
      <c r="O382" s="182">
        <v>0</v>
      </c>
      <c r="P382" s="182">
        <v>0</v>
      </c>
      <c r="Q382" s="182">
        <v>0</v>
      </c>
      <c r="R382" s="183">
        <v>0</v>
      </c>
      <c r="S382" s="180">
        <v>0</v>
      </c>
      <c r="T382" s="181"/>
      <c r="U382" s="182"/>
      <c r="V382" s="182"/>
      <c r="W382" s="182"/>
      <c r="X382" s="183"/>
      <c r="Y382" s="181">
        <v>0</v>
      </c>
      <c r="Z382" s="183">
        <v>0</v>
      </c>
      <c r="AA382" s="181">
        <v>0</v>
      </c>
      <c r="AB382" s="183">
        <v>0</v>
      </c>
      <c r="AC382" s="181">
        <v>0</v>
      </c>
      <c r="AD382" s="183">
        <v>0</v>
      </c>
      <c r="AE382" s="181">
        <v>0</v>
      </c>
      <c r="AF382" s="182">
        <v>0</v>
      </c>
      <c r="AG382" s="183">
        <v>0</v>
      </c>
      <c r="AH382" s="133"/>
      <c r="AI382" s="19"/>
      <c r="AJ382" s="19"/>
      <c r="AK382" s="19"/>
      <c r="AL382" s="19"/>
      <c r="AM382" s="19"/>
      <c r="AN382" s="20"/>
      <c r="AO382" s="19"/>
      <c r="AP382" s="19"/>
      <c r="AQ382" s="19"/>
      <c r="AR382" s="19"/>
      <c r="AS382" s="133"/>
      <c r="AT382" s="21"/>
      <c r="AU382" s="16">
        <v>0</v>
      </c>
      <c r="AV382" s="16">
        <v>0</v>
      </c>
      <c r="AW382" s="17">
        <v>0</v>
      </c>
      <c r="AX382" s="133"/>
      <c r="AY382" s="19"/>
      <c r="AZ382" s="21"/>
      <c r="BA382" s="15"/>
      <c r="BB382" s="17"/>
      <c r="BC382" s="15"/>
      <c r="BD382" s="17"/>
      <c r="BE382" s="15">
        <v>0</v>
      </c>
      <c r="BF382" s="16">
        <v>0</v>
      </c>
      <c r="BG382" s="19"/>
      <c r="BH382" s="16">
        <v>0</v>
      </c>
      <c r="BI382" s="16">
        <v>0</v>
      </c>
      <c r="BJ382" s="21"/>
    </row>
    <row r="383" spans="1:62" x14ac:dyDescent="0.25">
      <c r="A383" s="29"/>
      <c r="B383" s="30"/>
      <c r="C383" s="30"/>
      <c r="D383" s="30"/>
      <c r="E383" s="31" t="s">
        <v>68</v>
      </c>
      <c r="F383" s="188">
        <v>3106</v>
      </c>
      <c r="G383" s="189">
        <v>0</v>
      </c>
      <c r="H383" s="190">
        <v>3106</v>
      </c>
      <c r="I383" s="190">
        <v>3106</v>
      </c>
      <c r="J383" s="191">
        <v>0</v>
      </c>
      <c r="K383" s="189">
        <v>0</v>
      </c>
      <c r="L383" s="190">
        <v>0</v>
      </c>
      <c r="M383" s="190">
        <v>0</v>
      </c>
      <c r="N383" s="190">
        <v>0</v>
      </c>
      <c r="O383" s="190">
        <v>0</v>
      </c>
      <c r="P383" s="190">
        <v>0</v>
      </c>
      <c r="Q383" s="190">
        <v>0</v>
      </c>
      <c r="R383" s="191">
        <v>0</v>
      </c>
      <c r="S383" s="188">
        <v>0</v>
      </c>
      <c r="T383" s="189"/>
      <c r="U383" s="190"/>
      <c r="V383" s="190"/>
      <c r="W383" s="190"/>
      <c r="X383" s="191"/>
      <c r="Y383" s="189">
        <v>0</v>
      </c>
      <c r="Z383" s="191">
        <v>0</v>
      </c>
      <c r="AA383" s="189">
        <v>0</v>
      </c>
      <c r="AB383" s="191">
        <v>0</v>
      </c>
      <c r="AC383" s="189">
        <v>0</v>
      </c>
      <c r="AD383" s="191">
        <v>0</v>
      </c>
      <c r="AE383" s="189">
        <v>0</v>
      </c>
      <c r="AF383" s="190">
        <v>0</v>
      </c>
      <c r="AG383" s="191">
        <v>0</v>
      </c>
      <c r="AH383" s="136"/>
      <c r="AI383" s="33"/>
      <c r="AJ383" s="33"/>
      <c r="AK383" s="33"/>
      <c r="AL383" s="33"/>
      <c r="AM383" s="33"/>
      <c r="AN383" s="34"/>
      <c r="AO383" s="33"/>
      <c r="AP383" s="33"/>
      <c r="AQ383" s="33"/>
      <c r="AR383" s="33"/>
      <c r="AS383" s="136"/>
      <c r="AT383" s="35"/>
      <c r="AU383" s="30">
        <v>0</v>
      </c>
      <c r="AV383" s="30">
        <v>0</v>
      </c>
      <c r="AW383" s="31">
        <v>0</v>
      </c>
      <c r="AX383" s="136"/>
      <c r="AY383" s="33"/>
      <c r="AZ383" s="35"/>
      <c r="BA383" s="29"/>
      <c r="BB383" s="31"/>
      <c r="BC383" s="29"/>
      <c r="BD383" s="31"/>
      <c r="BE383" s="29">
        <v>0</v>
      </c>
      <c r="BF383" s="30">
        <v>0</v>
      </c>
      <c r="BG383" s="33"/>
      <c r="BH383" s="30">
        <v>0</v>
      </c>
      <c r="BI383" s="30">
        <v>0</v>
      </c>
      <c r="BJ383" s="35"/>
    </row>
    <row r="384" spans="1:62" x14ac:dyDescent="0.25">
      <c r="A384" s="15"/>
      <c r="B384" s="16"/>
      <c r="C384" s="16" t="s">
        <v>237</v>
      </c>
      <c r="D384" s="16"/>
      <c r="E384" s="17"/>
      <c r="F384" s="180">
        <v>1851</v>
      </c>
      <c r="G384" s="181">
        <v>0</v>
      </c>
      <c r="H384" s="182">
        <v>1850</v>
      </c>
      <c r="I384" s="182">
        <v>1773</v>
      </c>
      <c r="J384" s="183">
        <v>77</v>
      </c>
      <c r="K384" s="181">
        <v>0</v>
      </c>
      <c r="L384" s="182">
        <v>1</v>
      </c>
      <c r="M384" s="182">
        <v>0</v>
      </c>
      <c r="N384" s="182">
        <v>0</v>
      </c>
      <c r="O384" s="182">
        <v>0</v>
      </c>
      <c r="P384" s="182">
        <v>0</v>
      </c>
      <c r="Q384" s="182">
        <v>0</v>
      </c>
      <c r="R384" s="183">
        <v>0</v>
      </c>
      <c r="S384" s="180">
        <v>0</v>
      </c>
      <c r="T384" s="181"/>
      <c r="U384" s="182"/>
      <c r="V384" s="182"/>
      <c r="W384" s="182"/>
      <c r="X384" s="183"/>
      <c r="Y384" s="181">
        <v>1</v>
      </c>
      <c r="Z384" s="183">
        <v>1</v>
      </c>
      <c r="AA384" s="181">
        <v>0</v>
      </c>
      <c r="AB384" s="183">
        <v>0</v>
      </c>
      <c r="AC384" s="181">
        <v>0</v>
      </c>
      <c r="AD384" s="183">
        <v>0</v>
      </c>
      <c r="AE384" s="181">
        <v>0</v>
      </c>
      <c r="AF384" s="182">
        <v>0</v>
      </c>
      <c r="AG384" s="183">
        <v>0</v>
      </c>
      <c r="AH384" s="133">
        <v>-1</v>
      </c>
      <c r="AI384" s="19">
        <v>-1</v>
      </c>
      <c r="AJ384" s="19"/>
      <c r="AK384" s="19">
        <v>-1</v>
      </c>
      <c r="AL384" s="19">
        <v>-1</v>
      </c>
      <c r="AM384" s="19"/>
      <c r="AN384" s="20"/>
      <c r="AO384" s="19"/>
      <c r="AP384" s="19"/>
      <c r="AQ384" s="19"/>
      <c r="AR384" s="19"/>
      <c r="AS384" s="133"/>
      <c r="AT384" s="21"/>
      <c r="AU384" s="16">
        <v>248</v>
      </c>
      <c r="AV384" s="16">
        <v>0</v>
      </c>
      <c r="AW384" s="17">
        <v>0</v>
      </c>
      <c r="AX384" s="133">
        <v>-1</v>
      </c>
      <c r="AY384" s="19">
        <v>-1</v>
      </c>
      <c r="AZ384" s="21"/>
      <c r="BA384" s="15"/>
      <c r="BB384" s="17"/>
      <c r="BC384" s="15"/>
      <c r="BD384" s="17"/>
      <c r="BE384" s="15">
        <v>0</v>
      </c>
      <c r="BF384" s="16">
        <v>0</v>
      </c>
      <c r="BG384" s="19"/>
      <c r="BH384" s="16">
        <v>0</v>
      </c>
      <c r="BI384" s="16">
        <v>0</v>
      </c>
      <c r="BJ384" s="21"/>
    </row>
    <row r="385" spans="1:62" x14ac:dyDescent="0.25">
      <c r="A385" s="29"/>
      <c r="B385" s="30"/>
      <c r="C385" s="30"/>
      <c r="D385" s="30"/>
      <c r="E385" s="31" t="s">
        <v>68</v>
      </c>
      <c r="F385" s="188">
        <v>305</v>
      </c>
      <c r="G385" s="189">
        <v>0</v>
      </c>
      <c r="H385" s="190">
        <v>305</v>
      </c>
      <c r="I385" s="190">
        <v>305</v>
      </c>
      <c r="J385" s="191">
        <v>0</v>
      </c>
      <c r="K385" s="189">
        <v>0</v>
      </c>
      <c r="L385" s="190">
        <v>0</v>
      </c>
      <c r="M385" s="190">
        <v>0</v>
      </c>
      <c r="N385" s="190">
        <v>0</v>
      </c>
      <c r="O385" s="190">
        <v>0</v>
      </c>
      <c r="P385" s="190">
        <v>0</v>
      </c>
      <c r="Q385" s="190">
        <v>0</v>
      </c>
      <c r="R385" s="191">
        <v>0</v>
      </c>
      <c r="S385" s="188">
        <v>0</v>
      </c>
      <c r="T385" s="189"/>
      <c r="U385" s="190"/>
      <c r="V385" s="190"/>
      <c r="W385" s="190"/>
      <c r="X385" s="191"/>
      <c r="Y385" s="189"/>
      <c r="Z385" s="191"/>
      <c r="AA385" s="189"/>
      <c r="AB385" s="191"/>
      <c r="AC385" s="189"/>
      <c r="AD385" s="191"/>
      <c r="AE385" s="189">
        <v>0</v>
      </c>
      <c r="AF385" s="190">
        <v>0</v>
      </c>
      <c r="AG385" s="191">
        <v>0</v>
      </c>
      <c r="AH385" s="136"/>
      <c r="AI385" s="33"/>
      <c r="AJ385" s="33"/>
      <c r="AK385" s="33"/>
      <c r="AL385" s="33"/>
      <c r="AM385" s="33"/>
      <c r="AN385" s="34"/>
      <c r="AO385" s="33"/>
      <c r="AP385" s="33"/>
      <c r="AQ385" s="33"/>
      <c r="AR385" s="33"/>
      <c r="AS385" s="136"/>
      <c r="AT385" s="35"/>
      <c r="AU385" s="30">
        <v>0</v>
      </c>
      <c r="AV385" s="30">
        <v>0</v>
      </c>
      <c r="AW385" s="31">
        <v>0</v>
      </c>
      <c r="AX385" s="136"/>
      <c r="AY385" s="33"/>
      <c r="AZ385" s="35"/>
      <c r="BA385" s="29"/>
      <c r="BB385" s="31"/>
      <c r="BC385" s="29"/>
      <c r="BD385" s="31"/>
      <c r="BE385" s="29">
        <v>0</v>
      </c>
      <c r="BF385" s="30">
        <v>0</v>
      </c>
      <c r="BG385" s="33"/>
      <c r="BH385" s="30">
        <v>0</v>
      </c>
      <c r="BI385" s="30">
        <v>0</v>
      </c>
      <c r="BJ385" s="35"/>
    </row>
    <row r="386" spans="1:62" x14ac:dyDescent="0.25">
      <c r="A386" s="29"/>
      <c r="B386" s="30"/>
      <c r="C386" s="30"/>
      <c r="D386" s="30"/>
      <c r="E386" s="31" t="s">
        <v>221</v>
      </c>
      <c r="F386" s="188">
        <v>1545</v>
      </c>
      <c r="G386" s="189">
        <v>0</v>
      </c>
      <c r="H386" s="190">
        <v>1544</v>
      </c>
      <c r="I386" s="190">
        <v>1467</v>
      </c>
      <c r="J386" s="191">
        <v>77</v>
      </c>
      <c r="K386" s="189">
        <v>0</v>
      </c>
      <c r="L386" s="190">
        <v>1</v>
      </c>
      <c r="M386" s="190">
        <v>0</v>
      </c>
      <c r="N386" s="190">
        <v>0</v>
      </c>
      <c r="O386" s="190">
        <v>0</v>
      </c>
      <c r="P386" s="190">
        <v>0</v>
      </c>
      <c r="Q386" s="190">
        <v>0</v>
      </c>
      <c r="R386" s="191">
        <v>0</v>
      </c>
      <c r="S386" s="188">
        <v>0</v>
      </c>
      <c r="T386" s="189"/>
      <c r="U386" s="190"/>
      <c r="V386" s="190"/>
      <c r="W386" s="190"/>
      <c r="X386" s="191"/>
      <c r="Y386" s="189">
        <v>1</v>
      </c>
      <c r="Z386" s="191">
        <v>1</v>
      </c>
      <c r="AA386" s="189">
        <v>0</v>
      </c>
      <c r="AB386" s="191">
        <v>0</v>
      </c>
      <c r="AC386" s="189">
        <v>0</v>
      </c>
      <c r="AD386" s="191">
        <v>0</v>
      </c>
      <c r="AE386" s="189">
        <v>0</v>
      </c>
      <c r="AF386" s="190">
        <v>0</v>
      </c>
      <c r="AG386" s="191">
        <v>0</v>
      </c>
      <c r="AH386" s="136">
        <v>-1</v>
      </c>
      <c r="AI386" s="33">
        <v>-1</v>
      </c>
      <c r="AJ386" s="33"/>
      <c r="AK386" s="33">
        <v>-1</v>
      </c>
      <c r="AL386" s="33">
        <v>-1</v>
      </c>
      <c r="AM386" s="33"/>
      <c r="AN386" s="34"/>
      <c r="AO386" s="33"/>
      <c r="AP386" s="33"/>
      <c r="AQ386" s="33"/>
      <c r="AR386" s="33"/>
      <c r="AS386" s="136"/>
      <c r="AT386" s="35"/>
      <c r="AU386" s="30">
        <v>124</v>
      </c>
      <c r="AV386" s="30">
        <v>12</v>
      </c>
      <c r="AW386" s="31">
        <v>6</v>
      </c>
      <c r="AX386" s="136">
        <v>-0.90322580645161288</v>
      </c>
      <c r="AY386" s="33">
        <v>-0.95161290322580649</v>
      </c>
      <c r="AZ386" s="35">
        <v>-0.5</v>
      </c>
      <c r="BA386" s="29">
        <v>49.5</v>
      </c>
      <c r="BB386" s="31">
        <v>49.5</v>
      </c>
      <c r="BC386" s="29">
        <v>4.5</v>
      </c>
      <c r="BD386" s="31">
        <v>4.5</v>
      </c>
      <c r="BE386" s="29">
        <v>5</v>
      </c>
      <c r="BF386" s="30">
        <v>8</v>
      </c>
      <c r="BG386" s="33">
        <v>0.625</v>
      </c>
      <c r="BH386" s="30">
        <v>3</v>
      </c>
      <c r="BI386" s="30">
        <v>6</v>
      </c>
      <c r="BJ386" s="35">
        <v>0.5</v>
      </c>
    </row>
    <row r="387" spans="1:62" x14ac:dyDescent="0.25">
      <c r="A387" s="15"/>
      <c r="B387" s="16"/>
      <c r="C387" s="16" t="s">
        <v>238</v>
      </c>
      <c r="D387" s="16"/>
      <c r="E387" s="17"/>
      <c r="F387" s="180">
        <v>654</v>
      </c>
      <c r="G387" s="181">
        <v>2</v>
      </c>
      <c r="H387" s="182">
        <v>652</v>
      </c>
      <c r="I387" s="182">
        <v>652</v>
      </c>
      <c r="J387" s="183">
        <v>2</v>
      </c>
      <c r="K387" s="181">
        <v>0</v>
      </c>
      <c r="L387" s="182">
        <v>0</v>
      </c>
      <c r="M387" s="182">
        <v>0</v>
      </c>
      <c r="N387" s="182">
        <v>0</v>
      </c>
      <c r="O387" s="182">
        <v>0</v>
      </c>
      <c r="P387" s="182">
        <v>0</v>
      </c>
      <c r="Q387" s="182">
        <v>0</v>
      </c>
      <c r="R387" s="183">
        <v>0</v>
      </c>
      <c r="S387" s="180">
        <v>55</v>
      </c>
      <c r="T387" s="181"/>
      <c r="U387" s="182"/>
      <c r="V387" s="182"/>
      <c r="W387" s="182"/>
      <c r="X387" s="183"/>
      <c r="Y387" s="181"/>
      <c r="Z387" s="183"/>
      <c r="AA387" s="181"/>
      <c r="AB387" s="183"/>
      <c r="AC387" s="181"/>
      <c r="AD387" s="183"/>
      <c r="AE387" s="181">
        <v>2</v>
      </c>
      <c r="AF387" s="182">
        <v>2</v>
      </c>
      <c r="AG387" s="183">
        <v>0</v>
      </c>
      <c r="AH387" s="133"/>
      <c r="AI387" s="19"/>
      <c r="AJ387" s="19"/>
      <c r="AK387" s="19"/>
      <c r="AL387" s="19"/>
      <c r="AM387" s="19"/>
      <c r="AN387" s="20">
        <v>0</v>
      </c>
      <c r="AO387" s="19">
        <v>0</v>
      </c>
      <c r="AP387" s="19">
        <v>1</v>
      </c>
      <c r="AQ387" s="19">
        <v>0</v>
      </c>
      <c r="AR387" s="19">
        <v>0</v>
      </c>
      <c r="AS387" s="133">
        <v>27.5</v>
      </c>
      <c r="AT387" s="21">
        <v>27.5</v>
      </c>
      <c r="AU387" s="16">
        <v>12</v>
      </c>
      <c r="AV387" s="16">
        <v>0</v>
      </c>
      <c r="AW387" s="17">
        <v>0</v>
      </c>
      <c r="AX387" s="133">
        <v>-1</v>
      </c>
      <c r="AY387" s="19">
        <v>-1</v>
      </c>
      <c r="AZ387" s="21"/>
      <c r="BA387" s="15"/>
      <c r="BB387" s="17"/>
      <c r="BC387" s="15"/>
      <c r="BD387" s="17"/>
      <c r="BE387" s="15">
        <v>0</v>
      </c>
      <c r="BF387" s="16">
        <v>0</v>
      </c>
      <c r="BG387" s="19"/>
      <c r="BH387" s="16">
        <v>0</v>
      </c>
      <c r="BI387" s="16">
        <v>0</v>
      </c>
      <c r="BJ387" s="21"/>
    </row>
    <row r="388" spans="1:62" x14ac:dyDescent="0.25">
      <c r="A388" s="29"/>
      <c r="B388" s="30"/>
      <c r="C388" s="30"/>
      <c r="D388" s="30"/>
      <c r="E388" s="31" t="s">
        <v>68</v>
      </c>
      <c r="F388" s="188">
        <v>10</v>
      </c>
      <c r="G388" s="189">
        <v>0</v>
      </c>
      <c r="H388" s="190">
        <v>10</v>
      </c>
      <c r="I388" s="190">
        <v>8</v>
      </c>
      <c r="J388" s="191">
        <v>2</v>
      </c>
      <c r="K388" s="189">
        <v>0</v>
      </c>
      <c r="L388" s="190">
        <v>0</v>
      </c>
      <c r="M388" s="190">
        <v>0</v>
      </c>
      <c r="N388" s="190">
        <v>0</v>
      </c>
      <c r="O388" s="190">
        <v>0</v>
      </c>
      <c r="P388" s="190">
        <v>0</v>
      </c>
      <c r="Q388" s="190">
        <v>0</v>
      </c>
      <c r="R388" s="191">
        <v>0</v>
      </c>
      <c r="S388" s="188">
        <v>2</v>
      </c>
      <c r="T388" s="189"/>
      <c r="U388" s="190"/>
      <c r="V388" s="190"/>
      <c r="W388" s="190"/>
      <c r="X388" s="191"/>
      <c r="Y388" s="189"/>
      <c r="Z388" s="191"/>
      <c r="AA388" s="189"/>
      <c r="AB388" s="191"/>
      <c r="AC388" s="189"/>
      <c r="AD388" s="191"/>
      <c r="AE388" s="189">
        <v>0</v>
      </c>
      <c r="AF388" s="190">
        <v>0</v>
      </c>
      <c r="AG388" s="191">
        <v>0</v>
      </c>
      <c r="AH388" s="136"/>
      <c r="AI388" s="33"/>
      <c r="AJ388" s="33"/>
      <c r="AK388" s="33"/>
      <c r="AL388" s="33"/>
      <c r="AM388" s="33"/>
      <c r="AN388" s="34"/>
      <c r="AO388" s="33"/>
      <c r="AP388" s="33"/>
      <c r="AQ388" s="33"/>
      <c r="AR388" s="33"/>
      <c r="AS388" s="136"/>
      <c r="AT388" s="35"/>
      <c r="AU388" s="30">
        <v>9</v>
      </c>
      <c r="AV388" s="30">
        <v>0</v>
      </c>
      <c r="AW388" s="31">
        <v>0</v>
      </c>
      <c r="AX388" s="136">
        <v>-1</v>
      </c>
      <c r="AY388" s="33">
        <v>-1</v>
      </c>
      <c r="AZ388" s="35"/>
      <c r="BA388" s="29"/>
      <c r="BB388" s="31"/>
      <c r="BC388" s="29"/>
      <c r="BD388" s="31"/>
      <c r="BE388" s="29">
        <v>0</v>
      </c>
      <c r="BF388" s="30">
        <v>0</v>
      </c>
      <c r="BG388" s="33"/>
      <c r="BH388" s="30">
        <v>0</v>
      </c>
      <c r="BI388" s="30">
        <v>0</v>
      </c>
      <c r="BJ388" s="35"/>
    </row>
    <row r="389" spans="1:62" x14ac:dyDescent="0.25">
      <c r="A389" s="29"/>
      <c r="B389" s="30"/>
      <c r="C389" s="30"/>
      <c r="D389" s="30"/>
      <c r="E389" s="31" t="s">
        <v>148</v>
      </c>
      <c r="F389" s="188">
        <v>644</v>
      </c>
      <c r="G389" s="189">
        <v>2</v>
      </c>
      <c r="H389" s="190">
        <v>642</v>
      </c>
      <c r="I389" s="190">
        <v>644</v>
      </c>
      <c r="J389" s="191">
        <v>0</v>
      </c>
      <c r="K389" s="189">
        <v>0</v>
      </c>
      <c r="L389" s="190">
        <v>0</v>
      </c>
      <c r="M389" s="190">
        <v>0</v>
      </c>
      <c r="N389" s="190">
        <v>0</v>
      </c>
      <c r="O389" s="190">
        <v>0</v>
      </c>
      <c r="P389" s="190">
        <v>0</v>
      </c>
      <c r="Q389" s="190">
        <v>0</v>
      </c>
      <c r="R389" s="191">
        <v>0</v>
      </c>
      <c r="S389" s="188">
        <v>53</v>
      </c>
      <c r="T389" s="189"/>
      <c r="U389" s="190"/>
      <c r="V389" s="190"/>
      <c r="W389" s="190"/>
      <c r="X389" s="191"/>
      <c r="Y389" s="189"/>
      <c r="Z389" s="191"/>
      <c r="AA389" s="189"/>
      <c r="AB389" s="191"/>
      <c r="AC389" s="189"/>
      <c r="AD389" s="191"/>
      <c r="AE389" s="189">
        <v>2</v>
      </c>
      <c r="AF389" s="190">
        <v>2</v>
      </c>
      <c r="AG389" s="191">
        <v>0</v>
      </c>
      <c r="AH389" s="136"/>
      <c r="AI389" s="33"/>
      <c r="AJ389" s="33"/>
      <c r="AK389" s="33"/>
      <c r="AL389" s="33"/>
      <c r="AM389" s="33"/>
      <c r="AN389" s="34">
        <v>0</v>
      </c>
      <c r="AO389" s="33">
        <v>0</v>
      </c>
      <c r="AP389" s="33">
        <v>1</v>
      </c>
      <c r="AQ389" s="33">
        <v>0</v>
      </c>
      <c r="AR389" s="33">
        <v>0</v>
      </c>
      <c r="AS389" s="136">
        <v>26.5</v>
      </c>
      <c r="AT389" s="35">
        <v>26.5</v>
      </c>
      <c r="AU389" s="30">
        <v>115</v>
      </c>
      <c r="AV389" s="30">
        <v>12</v>
      </c>
      <c r="AW389" s="31">
        <v>6</v>
      </c>
      <c r="AX389" s="136">
        <v>-0.89565217391304353</v>
      </c>
      <c r="AY389" s="33">
        <v>-0.94782608695652171</v>
      </c>
      <c r="AZ389" s="35">
        <v>-0.5</v>
      </c>
      <c r="BA389" s="29">
        <v>49.5</v>
      </c>
      <c r="BB389" s="31">
        <v>49.5</v>
      </c>
      <c r="BC389" s="29">
        <v>4.5</v>
      </c>
      <c r="BD389" s="31">
        <v>4.5</v>
      </c>
      <c r="BE389" s="29">
        <v>5</v>
      </c>
      <c r="BF389" s="30">
        <v>8</v>
      </c>
      <c r="BG389" s="33">
        <v>0.625</v>
      </c>
      <c r="BH389" s="30">
        <v>3</v>
      </c>
      <c r="BI389" s="30">
        <v>6</v>
      </c>
      <c r="BJ389" s="35">
        <v>0.5</v>
      </c>
    </row>
    <row r="390" spans="1:62" x14ac:dyDescent="0.25">
      <c r="A390" s="29"/>
      <c r="B390" s="30"/>
      <c r="C390" s="30"/>
      <c r="D390" s="30"/>
      <c r="E390" s="31" t="s">
        <v>181</v>
      </c>
      <c r="F390" s="188">
        <v>21</v>
      </c>
      <c r="G390" s="189">
        <v>0</v>
      </c>
      <c r="H390" s="190">
        <v>21</v>
      </c>
      <c r="I390" s="190">
        <v>21</v>
      </c>
      <c r="J390" s="191">
        <v>0</v>
      </c>
      <c r="K390" s="189">
        <v>0</v>
      </c>
      <c r="L390" s="190">
        <v>0</v>
      </c>
      <c r="M390" s="190">
        <v>0</v>
      </c>
      <c r="N390" s="190">
        <v>0</v>
      </c>
      <c r="O390" s="190">
        <v>0</v>
      </c>
      <c r="P390" s="190">
        <v>0</v>
      </c>
      <c r="Q390" s="190">
        <v>0</v>
      </c>
      <c r="R390" s="191">
        <v>0</v>
      </c>
      <c r="S390" s="188">
        <v>0</v>
      </c>
      <c r="T390" s="189"/>
      <c r="U390" s="190"/>
      <c r="V390" s="190"/>
      <c r="W390" s="190"/>
      <c r="X390" s="191"/>
      <c r="Y390" s="189"/>
      <c r="Z390" s="191"/>
      <c r="AA390" s="189"/>
      <c r="AB390" s="191"/>
      <c r="AC390" s="189"/>
      <c r="AD390" s="191"/>
      <c r="AE390" s="189">
        <v>0</v>
      </c>
      <c r="AF390" s="190">
        <v>0</v>
      </c>
      <c r="AG390" s="191">
        <v>0</v>
      </c>
      <c r="AH390" s="136"/>
      <c r="AI390" s="33"/>
      <c r="AJ390" s="33"/>
      <c r="AK390" s="33"/>
      <c r="AL390" s="33"/>
      <c r="AM390" s="33"/>
      <c r="AN390" s="34"/>
      <c r="AO390" s="33"/>
      <c r="AP390" s="33"/>
      <c r="AQ390" s="33"/>
      <c r="AR390" s="33"/>
      <c r="AS390" s="136"/>
      <c r="AT390" s="35"/>
      <c r="AU390" s="30">
        <v>113</v>
      </c>
      <c r="AV390" s="30">
        <v>12</v>
      </c>
      <c r="AW390" s="31">
        <v>6</v>
      </c>
      <c r="AX390" s="136">
        <v>-0.89380530973451322</v>
      </c>
      <c r="AY390" s="33">
        <v>-0.94690265486725667</v>
      </c>
      <c r="AZ390" s="35">
        <v>-0.5</v>
      </c>
      <c r="BA390" s="29">
        <v>49.5</v>
      </c>
      <c r="BB390" s="31">
        <v>49.5</v>
      </c>
      <c r="BC390" s="29">
        <v>4.5</v>
      </c>
      <c r="BD390" s="31">
        <v>4.5</v>
      </c>
      <c r="BE390" s="29">
        <v>5</v>
      </c>
      <c r="BF390" s="30">
        <v>8</v>
      </c>
      <c r="BG390" s="33">
        <v>0.625</v>
      </c>
      <c r="BH390" s="30">
        <v>3</v>
      </c>
      <c r="BI390" s="30">
        <v>6</v>
      </c>
      <c r="BJ390" s="35">
        <v>0.5</v>
      </c>
    </row>
    <row r="391" spans="1:62" x14ac:dyDescent="0.25">
      <c r="A391" s="29"/>
      <c r="B391" s="30"/>
      <c r="C391" s="30"/>
      <c r="D391" s="30"/>
      <c r="E391" s="31" t="s">
        <v>68</v>
      </c>
      <c r="F391" s="188">
        <v>28002</v>
      </c>
      <c r="G391" s="189">
        <v>28</v>
      </c>
      <c r="H391" s="190">
        <v>27865</v>
      </c>
      <c r="I391" s="190">
        <v>8732</v>
      </c>
      <c r="J391" s="191">
        <v>19161</v>
      </c>
      <c r="K391" s="189">
        <v>0</v>
      </c>
      <c r="L391" s="190">
        <v>108</v>
      </c>
      <c r="M391" s="190">
        <v>0</v>
      </c>
      <c r="N391" s="190">
        <v>0</v>
      </c>
      <c r="O391" s="190">
        <v>0</v>
      </c>
      <c r="P391" s="190">
        <v>1</v>
      </c>
      <c r="Q391" s="190">
        <v>0</v>
      </c>
      <c r="R391" s="191">
        <v>0</v>
      </c>
      <c r="S391" s="188">
        <v>671</v>
      </c>
      <c r="T391" s="189"/>
      <c r="U391" s="190"/>
      <c r="V391" s="190"/>
      <c r="W391" s="190"/>
      <c r="X391" s="191"/>
      <c r="Y391" s="189">
        <v>384</v>
      </c>
      <c r="Z391" s="191">
        <v>277</v>
      </c>
      <c r="AA391" s="189">
        <v>0</v>
      </c>
      <c r="AB391" s="191">
        <v>0</v>
      </c>
      <c r="AC391" s="189">
        <v>0</v>
      </c>
      <c r="AD391" s="191">
        <v>0</v>
      </c>
      <c r="AE391" s="189">
        <v>29</v>
      </c>
      <c r="AF391" s="190">
        <v>28</v>
      </c>
      <c r="AG391" s="191">
        <v>0</v>
      </c>
      <c r="AH391" s="136">
        <v>-1</v>
      </c>
      <c r="AI391" s="33">
        <v>-1</v>
      </c>
      <c r="AJ391" s="33"/>
      <c r="AK391" s="33">
        <v>-1</v>
      </c>
      <c r="AL391" s="33">
        <v>-1</v>
      </c>
      <c r="AM391" s="33"/>
      <c r="AN391" s="34">
        <v>0</v>
      </c>
      <c r="AO391" s="33">
        <v>0</v>
      </c>
      <c r="AP391" s="33">
        <v>1</v>
      </c>
      <c r="AQ391" s="33">
        <v>0</v>
      </c>
      <c r="AR391" s="33">
        <v>0</v>
      </c>
      <c r="AS391" s="136">
        <v>23.964285714285715</v>
      </c>
      <c r="AT391" s="35">
        <v>23.964285714285715</v>
      </c>
      <c r="AU391" s="30">
        <v>2</v>
      </c>
      <c r="AV391" s="30">
        <v>0</v>
      </c>
      <c r="AW391" s="31">
        <v>0</v>
      </c>
      <c r="AX391" s="136">
        <v>-1</v>
      </c>
      <c r="AY391" s="33">
        <v>-1</v>
      </c>
      <c r="AZ391" s="35"/>
      <c r="BA391" s="29"/>
      <c r="BB391" s="31"/>
      <c r="BC391" s="29"/>
      <c r="BD391" s="31"/>
      <c r="BE391" s="29">
        <v>0</v>
      </c>
      <c r="BF391" s="30">
        <v>0</v>
      </c>
      <c r="BG391" s="33"/>
      <c r="BH391" s="30">
        <v>0</v>
      </c>
      <c r="BI391" s="30">
        <v>0</v>
      </c>
      <c r="BJ391" s="35"/>
    </row>
    <row r="392" spans="1:62" x14ac:dyDescent="0.25">
      <c r="A392" s="29"/>
      <c r="B392" s="30"/>
      <c r="C392" s="30"/>
      <c r="D392" s="30"/>
      <c r="E392" s="31" t="s">
        <v>148</v>
      </c>
      <c r="F392" s="188">
        <v>31</v>
      </c>
      <c r="G392" s="189">
        <v>1</v>
      </c>
      <c r="H392" s="190">
        <v>30</v>
      </c>
      <c r="I392" s="190">
        <v>4</v>
      </c>
      <c r="J392" s="191">
        <v>27</v>
      </c>
      <c r="K392" s="189">
        <v>0</v>
      </c>
      <c r="L392" s="190">
        <v>0</v>
      </c>
      <c r="M392" s="190">
        <v>0</v>
      </c>
      <c r="N392" s="190">
        <v>0</v>
      </c>
      <c r="O392" s="190">
        <v>0</v>
      </c>
      <c r="P392" s="190">
        <v>0</v>
      </c>
      <c r="Q392" s="190">
        <v>0</v>
      </c>
      <c r="R392" s="191">
        <v>0</v>
      </c>
      <c r="S392" s="188">
        <v>0</v>
      </c>
      <c r="T392" s="189"/>
      <c r="U392" s="190"/>
      <c r="V392" s="190"/>
      <c r="W392" s="190"/>
      <c r="X392" s="191"/>
      <c r="Y392" s="189"/>
      <c r="Z392" s="191"/>
      <c r="AA392" s="189"/>
      <c r="AB392" s="191"/>
      <c r="AC392" s="189"/>
      <c r="AD392" s="191"/>
      <c r="AE392" s="189">
        <v>1</v>
      </c>
      <c r="AF392" s="190">
        <v>1</v>
      </c>
      <c r="AG392" s="191">
        <v>0</v>
      </c>
      <c r="AH392" s="136"/>
      <c r="AI392" s="33"/>
      <c r="AJ392" s="33"/>
      <c r="AK392" s="33"/>
      <c r="AL392" s="33"/>
      <c r="AM392" s="33"/>
      <c r="AN392" s="34">
        <v>0</v>
      </c>
      <c r="AO392" s="33">
        <v>0</v>
      </c>
      <c r="AP392" s="33">
        <v>1</v>
      </c>
      <c r="AQ392" s="33">
        <v>0</v>
      </c>
      <c r="AR392" s="33">
        <v>0</v>
      </c>
      <c r="AS392" s="136">
        <v>0</v>
      </c>
      <c r="AT392" s="35">
        <v>0</v>
      </c>
      <c r="AU392" s="30"/>
      <c r="AV392" s="30"/>
      <c r="AW392" s="31"/>
      <c r="AX392" s="136"/>
      <c r="AY392" s="33"/>
      <c r="AZ392" s="35"/>
      <c r="BA392" s="29"/>
      <c r="BB392" s="31"/>
      <c r="BC392" s="29"/>
      <c r="BD392" s="31"/>
      <c r="BE392" s="29"/>
      <c r="BF392" s="30"/>
      <c r="BG392" s="33"/>
      <c r="BH392" s="30"/>
      <c r="BI392" s="30"/>
      <c r="BJ392" s="35"/>
    </row>
    <row r="393" spans="1:62" x14ac:dyDescent="0.25">
      <c r="A393" s="8"/>
      <c r="B393" s="9" t="s">
        <v>239</v>
      </c>
      <c r="C393" s="9"/>
      <c r="D393" s="9"/>
      <c r="E393" s="10"/>
      <c r="F393" s="176">
        <v>20770</v>
      </c>
      <c r="G393" s="177">
        <v>110</v>
      </c>
      <c r="H393" s="178">
        <v>20624</v>
      </c>
      <c r="I393" s="178">
        <v>79</v>
      </c>
      <c r="J393" s="179">
        <v>20655</v>
      </c>
      <c r="K393" s="177">
        <v>0</v>
      </c>
      <c r="L393" s="178">
        <v>36</v>
      </c>
      <c r="M393" s="178">
        <v>0</v>
      </c>
      <c r="N393" s="178">
        <v>0</v>
      </c>
      <c r="O393" s="178">
        <v>0</v>
      </c>
      <c r="P393" s="178">
        <v>0</v>
      </c>
      <c r="Q393" s="178">
        <v>0</v>
      </c>
      <c r="R393" s="179">
        <v>0</v>
      </c>
      <c r="S393" s="176">
        <v>134</v>
      </c>
      <c r="T393" s="177"/>
      <c r="U393" s="178"/>
      <c r="V393" s="178"/>
      <c r="W393" s="178"/>
      <c r="X393" s="179"/>
      <c r="Y393" s="177">
        <v>220</v>
      </c>
      <c r="Z393" s="179">
        <v>174</v>
      </c>
      <c r="AA393" s="177">
        <v>12</v>
      </c>
      <c r="AB393" s="179">
        <v>7</v>
      </c>
      <c r="AC393" s="177">
        <v>8</v>
      </c>
      <c r="AD393" s="179">
        <v>7</v>
      </c>
      <c r="AE393" s="177">
        <v>104</v>
      </c>
      <c r="AF393" s="178">
        <v>91</v>
      </c>
      <c r="AG393" s="179">
        <v>1</v>
      </c>
      <c r="AH393" s="131">
        <v>-0.94545454545454544</v>
      </c>
      <c r="AI393" s="12">
        <v>-0.96363636363636362</v>
      </c>
      <c r="AJ393" s="12">
        <v>-0.33333333333333331</v>
      </c>
      <c r="AK393" s="12">
        <v>-0.95977011494252873</v>
      </c>
      <c r="AL393" s="12">
        <v>-0.95977011494252873</v>
      </c>
      <c r="AM393" s="12">
        <v>0</v>
      </c>
      <c r="AN393" s="13">
        <v>7.2727272727272724E-2</v>
      </c>
      <c r="AO393" s="12">
        <v>6.363636363636363E-2</v>
      </c>
      <c r="AP393" s="12">
        <v>0.82727272727272727</v>
      </c>
      <c r="AQ393" s="12">
        <v>9.0909090909090905E-3</v>
      </c>
      <c r="AR393" s="12">
        <v>0</v>
      </c>
      <c r="AS393" s="131">
        <v>1.2181818181818183</v>
      </c>
      <c r="AT393" s="14">
        <v>1.2181818181818183</v>
      </c>
      <c r="AU393" s="9"/>
      <c r="AV393" s="9"/>
      <c r="AW393" s="10"/>
      <c r="AX393" s="131"/>
      <c r="AY393" s="12"/>
      <c r="AZ393" s="14"/>
      <c r="BA393" s="8"/>
      <c r="BB393" s="10"/>
      <c r="BC393" s="8"/>
      <c r="BD393" s="10"/>
      <c r="BE393" s="8"/>
      <c r="BF393" s="9"/>
      <c r="BG393" s="12"/>
      <c r="BH393" s="9"/>
      <c r="BI393" s="9"/>
      <c r="BJ393" s="14"/>
    </row>
    <row r="394" spans="1:62" x14ac:dyDescent="0.25">
      <c r="A394" s="15"/>
      <c r="B394" s="16"/>
      <c r="C394" s="16" t="s">
        <v>240</v>
      </c>
      <c r="D394" s="16"/>
      <c r="E394" s="17"/>
      <c r="F394" s="180">
        <v>12088</v>
      </c>
      <c r="G394" s="181">
        <v>4</v>
      </c>
      <c r="H394" s="182">
        <v>12084</v>
      </c>
      <c r="I394" s="182">
        <v>0</v>
      </c>
      <c r="J394" s="183">
        <v>12088</v>
      </c>
      <c r="K394" s="181">
        <v>0</v>
      </c>
      <c r="L394" s="182">
        <v>0</v>
      </c>
      <c r="M394" s="182">
        <v>0</v>
      </c>
      <c r="N394" s="182">
        <v>0</v>
      </c>
      <c r="O394" s="182">
        <v>0</v>
      </c>
      <c r="P394" s="182">
        <v>0</v>
      </c>
      <c r="Q394" s="182">
        <v>0</v>
      </c>
      <c r="R394" s="183">
        <v>0</v>
      </c>
      <c r="S394" s="180">
        <v>0</v>
      </c>
      <c r="T394" s="181"/>
      <c r="U394" s="182"/>
      <c r="V394" s="182"/>
      <c r="W394" s="182"/>
      <c r="X394" s="183"/>
      <c r="Y394" s="181">
        <v>14</v>
      </c>
      <c r="Z394" s="183">
        <v>13</v>
      </c>
      <c r="AA394" s="181">
        <v>0</v>
      </c>
      <c r="AB394" s="183">
        <v>0</v>
      </c>
      <c r="AC394" s="181">
        <v>0</v>
      </c>
      <c r="AD394" s="183">
        <v>0</v>
      </c>
      <c r="AE394" s="181">
        <v>4</v>
      </c>
      <c r="AF394" s="182">
        <v>4</v>
      </c>
      <c r="AG394" s="183">
        <v>0</v>
      </c>
      <c r="AH394" s="133">
        <v>-1</v>
      </c>
      <c r="AI394" s="19">
        <v>-1</v>
      </c>
      <c r="AJ394" s="19"/>
      <c r="AK394" s="19">
        <v>-1</v>
      </c>
      <c r="AL394" s="19">
        <v>-1</v>
      </c>
      <c r="AM394" s="19"/>
      <c r="AN394" s="20">
        <v>0</v>
      </c>
      <c r="AO394" s="19">
        <v>0</v>
      </c>
      <c r="AP394" s="19">
        <v>1</v>
      </c>
      <c r="AQ394" s="19">
        <v>0</v>
      </c>
      <c r="AR394" s="19">
        <v>0</v>
      </c>
      <c r="AS394" s="133">
        <v>0</v>
      </c>
      <c r="AT394" s="21">
        <v>0</v>
      </c>
      <c r="AU394" s="16"/>
      <c r="AV394" s="16"/>
      <c r="AW394" s="17"/>
      <c r="AX394" s="133"/>
      <c r="AY394" s="19"/>
      <c r="AZ394" s="21"/>
      <c r="BA394" s="15"/>
      <c r="BB394" s="17"/>
      <c r="BC394" s="15"/>
      <c r="BD394" s="17"/>
      <c r="BE394" s="15"/>
      <c r="BF394" s="16"/>
      <c r="BG394" s="19"/>
      <c r="BH394" s="16"/>
      <c r="BI394" s="16"/>
      <c r="BJ394" s="21"/>
    </row>
    <row r="395" spans="1:62" x14ac:dyDescent="0.25">
      <c r="A395" s="29"/>
      <c r="B395" s="30"/>
      <c r="C395" s="30"/>
      <c r="D395" s="30"/>
      <c r="E395" s="31" t="s">
        <v>203</v>
      </c>
      <c r="F395" s="188">
        <v>12086</v>
      </c>
      <c r="G395" s="189">
        <v>4</v>
      </c>
      <c r="H395" s="190">
        <v>12082</v>
      </c>
      <c r="I395" s="190">
        <v>0</v>
      </c>
      <c r="J395" s="191">
        <v>12086</v>
      </c>
      <c r="K395" s="189">
        <v>0</v>
      </c>
      <c r="L395" s="190">
        <v>0</v>
      </c>
      <c r="M395" s="190">
        <v>0</v>
      </c>
      <c r="N395" s="190">
        <v>0</v>
      </c>
      <c r="O395" s="190">
        <v>0</v>
      </c>
      <c r="P395" s="190">
        <v>0</v>
      </c>
      <c r="Q395" s="190">
        <v>0</v>
      </c>
      <c r="R395" s="191">
        <v>0</v>
      </c>
      <c r="S395" s="188">
        <v>0</v>
      </c>
      <c r="T395" s="189"/>
      <c r="U395" s="190"/>
      <c r="V395" s="190"/>
      <c r="W395" s="190"/>
      <c r="X395" s="191"/>
      <c r="Y395" s="189">
        <v>11</v>
      </c>
      <c r="Z395" s="191">
        <v>11</v>
      </c>
      <c r="AA395" s="189">
        <v>0</v>
      </c>
      <c r="AB395" s="191">
        <v>0</v>
      </c>
      <c r="AC395" s="189">
        <v>0</v>
      </c>
      <c r="AD395" s="191">
        <v>0</v>
      </c>
      <c r="AE395" s="189">
        <v>4</v>
      </c>
      <c r="AF395" s="190">
        <v>4</v>
      </c>
      <c r="AG395" s="191">
        <v>0</v>
      </c>
      <c r="AH395" s="136">
        <v>-1</v>
      </c>
      <c r="AI395" s="33">
        <v>-1</v>
      </c>
      <c r="AJ395" s="33"/>
      <c r="AK395" s="33">
        <v>-1</v>
      </c>
      <c r="AL395" s="33">
        <v>-1</v>
      </c>
      <c r="AM395" s="33"/>
      <c r="AN395" s="34">
        <v>0</v>
      </c>
      <c r="AO395" s="33">
        <v>0</v>
      </c>
      <c r="AP395" s="33">
        <v>1</v>
      </c>
      <c r="AQ395" s="33">
        <v>0</v>
      </c>
      <c r="AR395" s="33">
        <v>0</v>
      </c>
      <c r="AS395" s="136">
        <v>0</v>
      </c>
      <c r="AT395" s="35">
        <v>0</v>
      </c>
      <c r="AU395" s="30"/>
      <c r="AV395" s="30"/>
      <c r="AW395" s="31"/>
      <c r="AX395" s="136"/>
      <c r="AY395" s="33"/>
      <c r="AZ395" s="35"/>
      <c r="BA395" s="29"/>
      <c r="BB395" s="31"/>
      <c r="BC395" s="29"/>
      <c r="BD395" s="31"/>
      <c r="BE395" s="29"/>
      <c r="BF395" s="30"/>
      <c r="BG395" s="33"/>
      <c r="BH395" s="30"/>
      <c r="BI395" s="30"/>
      <c r="BJ395" s="35"/>
    </row>
    <row r="396" spans="1:62" x14ac:dyDescent="0.25">
      <c r="A396" s="15"/>
      <c r="B396" s="16"/>
      <c r="C396" s="16" t="s">
        <v>241</v>
      </c>
      <c r="D396" s="16"/>
      <c r="E396" s="17"/>
      <c r="F396" s="180">
        <v>8682</v>
      </c>
      <c r="G396" s="181">
        <v>106</v>
      </c>
      <c r="H396" s="182">
        <v>8540</v>
      </c>
      <c r="I396" s="182">
        <v>79</v>
      </c>
      <c r="J396" s="183">
        <v>8567</v>
      </c>
      <c r="K396" s="181">
        <v>0</v>
      </c>
      <c r="L396" s="182">
        <v>36</v>
      </c>
      <c r="M396" s="182">
        <v>0</v>
      </c>
      <c r="N396" s="182">
        <v>0</v>
      </c>
      <c r="O396" s="182">
        <v>0</v>
      </c>
      <c r="P396" s="182">
        <v>0</v>
      </c>
      <c r="Q396" s="182">
        <v>0</v>
      </c>
      <c r="R396" s="183">
        <v>0</v>
      </c>
      <c r="S396" s="180">
        <v>134</v>
      </c>
      <c r="T396" s="181"/>
      <c r="U396" s="182"/>
      <c r="V396" s="182"/>
      <c r="W396" s="182"/>
      <c r="X396" s="183"/>
      <c r="Y396" s="181">
        <v>206</v>
      </c>
      <c r="Z396" s="183">
        <v>161</v>
      </c>
      <c r="AA396" s="181">
        <v>12</v>
      </c>
      <c r="AB396" s="183">
        <v>7</v>
      </c>
      <c r="AC396" s="181">
        <v>8</v>
      </c>
      <c r="AD396" s="183">
        <v>7</v>
      </c>
      <c r="AE396" s="181">
        <v>100</v>
      </c>
      <c r="AF396" s="182">
        <v>87</v>
      </c>
      <c r="AG396" s="183">
        <v>1</v>
      </c>
      <c r="AH396" s="133">
        <v>-0.94174757281553401</v>
      </c>
      <c r="AI396" s="19">
        <v>-0.96116504854368934</v>
      </c>
      <c r="AJ396" s="19">
        <v>-0.33333333333333331</v>
      </c>
      <c r="AK396" s="19">
        <v>-0.95652173913043481</v>
      </c>
      <c r="AL396" s="19">
        <v>-0.95652173913043481</v>
      </c>
      <c r="AM396" s="19">
        <v>0</v>
      </c>
      <c r="AN396" s="20">
        <v>7.5471698113207544E-2</v>
      </c>
      <c r="AO396" s="19">
        <v>6.6037735849056603E-2</v>
      </c>
      <c r="AP396" s="19">
        <v>0.82075471698113212</v>
      </c>
      <c r="AQ396" s="19">
        <v>9.433962264150943E-3</v>
      </c>
      <c r="AR396" s="19">
        <v>0</v>
      </c>
      <c r="AS396" s="133">
        <v>1.2641509433962264</v>
      </c>
      <c r="AT396" s="21">
        <v>1.2641509433962264</v>
      </c>
      <c r="AU396" s="16"/>
      <c r="AV396" s="16"/>
      <c r="AW396" s="17"/>
      <c r="AX396" s="133"/>
      <c r="AY396" s="19"/>
      <c r="AZ396" s="21"/>
      <c r="BA396" s="15"/>
      <c r="BB396" s="17"/>
      <c r="BC396" s="15"/>
      <c r="BD396" s="17"/>
      <c r="BE396" s="15"/>
      <c r="BF396" s="16"/>
      <c r="BG396" s="19"/>
      <c r="BH396" s="16"/>
      <c r="BI396" s="16"/>
      <c r="BJ396" s="21"/>
    </row>
    <row r="397" spans="1:62" x14ac:dyDescent="0.25">
      <c r="A397" s="29"/>
      <c r="B397" s="30"/>
      <c r="C397" s="30"/>
      <c r="D397" s="30"/>
      <c r="E397" s="31" t="s">
        <v>82</v>
      </c>
      <c r="F397" s="188">
        <v>3013</v>
      </c>
      <c r="G397" s="189">
        <v>100</v>
      </c>
      <c r="H397" s="190">
        <v>2877</v>
      </c>
      <c r="I397" s="190">
        <v>67</v>
      </c>
      <c r="J397" s="191">
        <v>2910</v>
      </c>
      <c r="K397" s="189">
        <v>0</v>
      </c>
      <c r="L397" s="190">
        <v>36</v>
      </c>
      <c r="M397" s="190">
        <v>0</v>
      </c>
      <c r="N397" s="190">
        <v>0</v>
      </c>
      <c r="O397" s="190">
        <v>0</v>
      </c>
      <c r="P397" s="190">
        <v>0</v>
      </c>
      <c r="Q397" s="190">
        <v>0</v>
      </c>
      <c r="R397" s="191">
        <v>0</v>
      </c>
      <c r="S397" s="188">
        <v>110</v>
      </c>
      <c r="T397" s="189"/>
      <c r="U397" s="190"/>
      <c r="V397" s="190"/>
      <c r="W397" s="190"/>
      <c r="X397" s="191"/>
      <c r="Y397" s="189">
        <v>202</v>
      </c>
      <c r="Z397" s="191">
        <v>159</v>
      </c>
      <c r="AA397" s="189">
        <v>12</v>
      </c>
      <c r="AB397" s="191">
        <v>7</v>
      </c>
      <c r="AC397" s="189">
        <v>8</v>
      </c>
      <c r="AD397" s="191">
        <v>7</v>
      </c>
      <c r="AE397" s="189">
        <v>94</v>
      </c>
      <c r="AF397" s="190">
        <v>81</v>
      </c>
      <c r="AG397" s="191">
        <v>1</v>
      </c>
      <c r="AH397" s="136">
        <v>-0.94059405940594054</v>
      </c>
      <c r="AI397" s="33">
        <v>-0.96039603960396036</v>
      </c>
      <c r="AJ397" s="33">
        <v>-0.33333333333333331</v>
      </c>
      <c r="AK397" s="33">
        <v>-0.95597484276729561</v>
      </c>
      <c r="AL397" s="33">
        <v>-0.95597484276729561</v>
      </c>
      <c r="AM397" s="33">
        <v>0</v>
      </c>
      <c r="AN397" s="34">
        <v>0.08</v>
      </c>
      <c r="AO397" s="33">
        <v>7.0000000000000007E-2</v>
      </c>
      <c r="AP397" s="33">
        <v>0.81</v>
      </c>
      <c r="AQ397" s="33">
        <v>0.01</v>
      </c>
      <c r="AR397" s="33">
        <v>0</v>
      </c>
      <c r="AS397" s="136">
        <v>1.1000000000000001</v>
      </c>
      <c r="AT397" s="35">
        <v>1.1000000000000001</v>
      </c>
      <c r="AU397" s="30"/>
      <c r="AV397" s="30"/>
      <c r="AW397" s="31"/>
      <c r="AX397" s="136"/>
      <c r="AY397" s="33"/>
      <c r="AZ397" s="35"/>
      <c r="BA397" s="29"/>
      <c r="BB397" s="31"/>
      <c r="BC397" s="29"/>
      <c r="BD397" s="31"/>
      <c r="BE397" s="29"/>
      <c r="BF397" s="30"/>
      <c r="BG397" s="33"/>
      <c r="BH397" s="30"/>
      <c r="BI397" s="30"/>
      <c r="BJ397" s="35"/>
    </row>
    <row r="398" spans="1:62" x14ac:dyDescent="0.25">
      <c r="A398" s="29"/>
      <c r="B398" s="30"/>
      <c r="C398" s="30"/>
      <c r="D398" s="30"/>
      <c r="E398" s="31" t="s">
        <v>219</v>
      </c>
      <c r="F398" s="188">
        <v>200</v>
      </c>
      <c r="G398" s="189">
        <v>0</v>
      </c>
      <c r="H398" s="190">
        <v>200</v>
      </c>
      <c r="I398" s="190">
        <v>0</v>
      </c>
      <c r="J398" s="191">
        <v>200</v>
      </c>
      <c r="K398" s="189">
        <v>0</v>
      </c>
      <c r="L398" s="190">
        <v>0</v>
      </c>
      <c r="M398" s="190">
        <v>0</v>
      </c>
      <c r="N398" s="190">
        <v>0</v>
      </c>
      <c r="O398" s="190">
        <v>0</v>
      </c>
      <c r="P398" s="190">
        <v>0</v>
      </c>
      <c r="Q398" s="190">
        <v>0</v>
      </c>
      <c r="R398" s="191">
        <v>0</v>
      </c>
      <c r="S398" s="188">
        <v>0</v>
      </c>
      <c r="T398" s="189"/>
      <c r="U398" s="190"/>
      <c r="V398" s="190"/>
      <c r="W398" s="190"/>
      <c r="X398" s="191"/>
      <c r="Y398" s="189"/>
      <c r="Z398" s="191"/>
      <c r="AA398" s="189"/>
      <c r="AB398" s="191"/>
      <c r="AC398" s="189"/>
      <c r="AD398" s="191"/>
      <c r="AE398" s="189">
        <v>0</v>
      </c>
      <c r="AF398" s="190">
        <v>0</v>
      </c>
      <c r="AG398" s="191">
        <v>0</v>
      </c>
      <c r="AH398" s="136"/>
      <c r="AI398" s="33"/>
      <c r="AJ398" s="33"/>
      <c r="AK398" s="33"/>
      <c r="AL398" s="33"/>
      <c r="AM398" s="33"/>
      <c r="AN398" s="34"/>
      <c r="AO398" s="33"/>
      <c r="AP398" s="33"/>
      <c r="AQ398" s="33"/>
      <c r="AR398" s="33"/>
      <c r="AS398" s="136"/>
      <c r="AT398" s="35"/>
      <c r="AU398" s="30"/>
      <c r="AV398" s="30"/>
      <c r="AW398" s="31"/>
      <c r="AX398" s="136"/>
      <c r="AY398" s="33"/>
      <c r="AZ398" s="35"/>
      <c r="BA398" s="29"/>
      <c r="BB398" s="31"/>
      <c r="BC398" s="29"/>
      <c r="BD398" s="31"/>
      <c r="BE398" s="29"/>
      <c r="BF398" s="30"/>
      <c r="BG398" s="33"/>
      <c r="BH398" s="30"/>
      <c r="BI398" s="30"/>
      <c r="BJ398" s="35"/>
    </row>
    <row r="399" spans="1:62" x14ac:dyDescent="0.25">
      <c r="A399" s="29"/>
      <c r="B399" s="30"/>
      <c r="C399" s="30"/>
      <c r="D399" s="30"/>
      <c r="E399" s="31" t="s">
        <v>203</v>
      </c>
      <c r="F399" s="188">
        <v>4749</v>
      </c>
      <c r="G399" s="189">
        <v>5</v>
      </c>
      <c r="H399" s="190">
        <v>4744</v>
      </c>
      <c r="I399" s="190">
        <v>11</v>
      </c>
      <c r="J399" s="191">
        <v>4738</v>
      </c>
      <c r="K399" s="189">
        <v>0</v>
      </c>
      <c r="L399" s="190">
        <v>0</v>
      </c>
      <c r="M399" s="190">
        <v>0</v>
      </c>
      <c r="N399" s="190">
        <v>0</v>
      </c>
      <c r="O399" s="190">
        <v>0</v>
      </c>
      <c r="P399" s="190">
        <v>0</v>
      </c>
      <c r="Q399" s="190">
        <v>0</v>
      </c>
      <c r="R399" s="191">
        <v>0</v>
      </c>
      <c r="S399" s="188">
        <v>20</v>
      </c>
      <c r="T399" s="189"/>
      <c r="U399" s="190"/>
      <c r="V399" s="190"/>
      <c r="W399" s="190"/>
      <c r="X399" s="191"/>
      <c r="Y399" s="189">
        <v>4</v>
      </c>
      <c r="Z399" s="191">
        <v>2</v>
      </c>
      <c r="AA399" s="189">
        <v>0</v>
      </c>
      <c r="AB399" s="191">
        <v>0</v>
      </c>
      <c r="AC399" s="189">
        <v>0</v>
      </c>
      <c r="AD399" s="191">
        <v>0</v>
      </c>
      <c r="AE399" s="189">
        <v>5</v>
      </c>
      <c r="AF399" s="190">
        <v>5</v>
      </c>
      <c r="AG399" s="191">
        <v>0</v>
      </c>
      <c r="AH399" s="136">
        <v>-1</v>
      </c>
      <c r="AI399" s="33">
        <v>-1</v>
      </c>
      <c r="AJ399" s="33"/>
      <c r="AK399" s="33">
        <v>-1</v>
      </c>
      <c r="AL399" s="33">
        <v>-1</v>
      </c>
      <c r="AM399" s="33"/>
      <c r="AN399" s="34">
        <v>0</v>
      </c>
      <c r="AO399" s="33">
        <v>0</v>
      </c>
      <c r="AP399" s="33">
        <v>1</v>
      </c>
      <c r="AQ399" s="33">
        <v>0</v>
      </c>
      <c r="AR399" s="33">
        <v>0</v>
      </c>
      <c r="AS399" s="136">
        <v>4</v>
      </c>
      <c r="AT399" s="35">
        <v>4</v>
      </c>
      <c r="AU399" s="30"/>
      <c r="AV399" s="30"/>
      <c r="AW399" s="31"/>
      <c r="AX399" s="136"/>
      <c r="AY399" s="33"/>
      <c r="AZ399" s="35"/>
      <c r="BA399" s="29"/>
      <c r="BB399" s="31"/>
      <c r="BC399" s="29"/>
      <c r="BD399" s="31"/>
      <c r="BE399" s="29"/>
      <c r="BF399" s="30"/>
      <c r="BG399" s="33"/>
      <c r="BH399" s="30"/>
      <c r="BI399" s="30"/>
      <c r="BJ399" s="35"/>
    </row>
    <row r="400" spans="1:62" x14ac:dyDescent="0.25">
      <c r="A400" s="29"/>
      <c r="B400" s="30"/>
      <c r="C400" s="30"/>
      <c r="D400" s="30"/>
      <c r="E400" s="31" t="s">
        <v>220</v>
      </c>
      <c r="F400" s="188">
        <v>706</v>
      </c>
      <c r="G400" s="189">
        <v>0</v>
      </c>
      <c r="H400" s="190">
        <v>706</v>
      </c>
      <c r="I400" s="190">
        <v>0</v>
      </c>
      <c r="J400" s="191">
        <v>706</v>
      </c>
      <c r="K400" s="189">
        <v>0</v>
      </c>
      <c r="L400" s="190">
        <v>0</v>
      </c>
      <c r="M400" s="190">
        <v>0</v>
      </c>
      <c r="N400" s="190">
        <v>0</v>
      </c>
      <c r="O400" s="190">
        <v>0</v>
      </c>
      <c r="P400" s="190">
        <v>0</v>
      </c>
      <c r="Q400" s="190">
        <v>0</v>
      </c>
      <c r="R400" s="191">
        <v>0</v>
      </c>
      <c r="S400" s="188">
        <v>2</v>
      </c>
      <c r="T400" s="189"/>
      <c r="U400" s="190"/>
      <c r="V400" s="190"/>
      <c r="W400" s="190"/>
      <c r="X400" s="191"/>
      <c r="Y400" s="189"/>
      <c r="Z400" s="191"/>
      <c r="AA400" s="189"/>
      <c r="AB400" s="191"/>
      <c r="AC400" s="189"/>
      <c r="AD400" s="191"/>
      <c r="AE400" s="189">
        <v>0</v>
      </c>
      <c r="AF400" s="190">
        <v>0</v>
      </c>
      <c r="AG400" s="191">
        <v>0</v>
      </c>
      <c r="AH400" s="136"/>
      <c r="AI400" s="33"/>
      <c r="AJ400" s="33"/>
      <c r="AK400" s="33"/>
      <c r="AL400" s="33"/>
      <c r="AM400" s="33"/>
      <c r="AN400" s="34"/>
      <c r="AO400" s="33"/>
      <c r="AP400" s="33"/>
      <c r="AQ400" s="33"/>
      <c r="AR400" s="33"/>
      <c r="AS400" s="136"/>
      <c r="AT400" s="35"/>
      <c r="AU400" s="30"/>
      <c r="AV400" s="30"/>
      <c r="AW400" s="31"/>
      <c r="AX400" s="136"/>
      <c r="AY400" s="33"/>
      <c r="AZ400" s="35"/>
      <c r="BA400" s="29"/>
      <c r="BB400" s="31"/>
      <c r="BC400" s="29"/>
      <c r="BD400" s="31"/>
      <c r="BE400" s="29"/>
      <c r="BF400" s="30"/>
      <c r="BG400" s="33"/>
      <c r="BH400" s="30"/>
      <c r="BI400" s="30"/>
      <c r="BJ400" s="35"/>
    </row>
    <row r="401" spans="1:62" x14ac:dyDescent="0.25">
      <c r="A401" s="29"/>
      <c r="B401" s="30"/>
      <c r="C401" s="30"/>
      <c r="D401" s="30"/>
      <c r="E401" s="31" t="s">
        <v>174</v>
      </c>
      <c r="F401" s="188">
        <v>11</v>
      </c>
      <c r="G401" s="189">
        <v>0</v>
      </c>
      <c r="H401" s="190">
        <v>11</v>
      </c>
      <c r="I401" s="190">
        <v>0</v>
      </c>
      <c r="J401" s="191">
        <v>11</v>
      </c>
      <c r="K401" s="189">
        <v>0</v>
      </c>
      <c r="L401" s="190">
        <v>0</v>
      </c>
      <c r="M401" s="190">
        <v>0</v>
      </c>
      <c r="N401" s="190">
        <v>0</v>
      </c>
      <c r="O401" s="190">
        <v>0</v>
      </c>
      <c r="P401" s="190">
        <v>0</v>
      </c>
      <c r="Q401" s="190">
        <v>0</v>
      </c>
      <c r="R401" s="191">
        <v>0</v>
      </c>
      <c r="S401" s="188">
        <v>0</v>
      </c>
      <c r="T401" s="189"/>
      <c r="U401" s="190"/>
      <c r="V401" s="190"/>
      <c r="W401" s="190"/>
      <c r="X401" s="191"/>
      <c r="Y401" s="189">
        <v>0</v>
      </c>
      <c r="Z401" s="191">
        <v>0</v>
      </c>
      <c r="AA401" s="189">
        <v>0</v>
      </c>
      <c r="AB401" s="191">
        <v>0</v>
      </c>
      <c r="AC401" s="189">
        <v>0</v>
      </c>
      <c r="AD401" s="191">
        <v>0</v>
      </c>
      <c r="AE401" s="189">
        <v>0</v>
      </c>
      <c r="AF401" s="190">
        <v>0</v>
      </c>
      <c r="AG401" s="191">
        <v>0</v>
      </c>
      <c r="AH401" s="136"/>
      <c r="AI401" s="33"/>
      <c r="AJ401" s="33"/>
      <c r="AK401" s="33"/>
      <c r="AL401" s="33"/>
      <c r="AM401" s="33"/>
      <c r="AN401" s="34"/>
      <c r="AO401" s="33"/>
      <c r="AP401" s="33"/>
      <c r="AQ401" s="33"/>
      <c r="AR401" s="33"/>
      <c r="AS401" s="136"/>
      <c r="AT401" s="35"/>
      <c r="AU401" s="30"/>
      <c r="AV401" s="30"/>
      <c r="AW401" s="31"/>
      <c r="AX401" s="136"/>
      <c r="AY401" s="33"/>
      <c r="AZ401" s="35"/>
      <c r="BA401" s="29"/>
      <c r="BB401" s="31"/>
      <c r="BC401" s="29"/>
      <c r="BD401" s="31"/>
      <c r="BE401" s="29"/>
      <c r="BF401" s="30"/>
      <c r="BG401" s="33"/>
      <c r="BH401" s="30"/>
      <c r="BI401" s="30"/>
      <c r="BJ401" s="35"/>
    </row>
    <row r="402" spans="1:62" x14ac:dyDescent="0.25">
      <c r="A402" s="8"/>
      <c r="B402" s="9" t="s">
        <v>242</v>
      </c>
      <c r="C402" s="9"/>
      <c r="D402" s="9"/>
      <c r="E402" s="10"/>
      <c r="F402" s="176">
        <v>132</v>
      </c>
      <c r="G402" s="177">
        <v>0</v>
      </c>
      <c r="H402" s="178">
        <v>132</v>
      </c>
      <c r="I402" s="178">
        <v>132</v>
      </c>
      <c r="J402" s="179">
        <v>0</v>
      </c>
      <c r="K402" s="177">
        <v>0</v>
      </c>
      <c r="L402" s="178">
        <v>0</v>
      </c>
      <c r="M402" s="178">
        <v>0</v>
      </c>
      <c r="N402" s="178">
        <v>0</v>
      </c>
      <c r="O402" s="178">
        <v>0</v>
      </c>
      <c r="P402" s="178">
        <v>0</v>
      </c>
      <c r="Q402" s="178">
        <v>0</v>
      </c>
      <c r="R402" s="179">
        <v>0</v>
      </c>
      <c r="S402" s="176">
        <v>4</v>
      </c>
      <c r="T402" s="177"/>
      <c r="U402" s="178"/>
      <c r="V402" s="178"/>
      <c r="W402" s="178"/>
      <c r="X402" s="179"/>
      <c r="Y402" s="177"/>
      <c r="Z402" s="179"/>
      <c r="AA402" s="177"/>
      <c r="AB402" s="179"/>
      <c r="AC402" s="177"/>
      <c r="AD402" s="179"/>
      <c r="AE402" s="177">
        <v>0</v>
      </c>
      <c r="AF402" s="178">
        <v>0</v>
      </c>
      <c r="AG402" s="179">
        <v>0</v>
      </c>
      <c r="AH402" s="131"/>
      <c r="AI402" s="12"/>
      <c r="AJ402" s="12"/>
      <c r="AK402" s="12"/>
      <c r="AL402" s="12"/>
      <c r="AM402" s="12"/>
      <c r="AN402" s="13"/>
      <c r="AO402" s="12"/>
      <c r="AP402" s="12"/>
      <c r="AQ402" s="12"/>
      <c r="AR402" s="12"/>
      <c r="AS402" s="131"/>
      <c r="AT402" s="14"/>
      <c r="AU402" s="9"/>
      <c r="AV402" s="9"/>
      <c r="AW402" s="10"/>
      <c r="AX402" s="131"/>
      <c r="AY402" s="12"/>
      <c r="AZ402" s="14"/>
      <c r="BA402" s="8"/>
      <c r="BB402" s="10"/>
      <c r="BC402" s="8"/>
      <c r="BD402" s="10"/>
      <c r="BE402" s="8"/>
      <c r="BF402" s="9"/>
      <c r="BG402" s="12"/>
      <c r="BH402" s="9"/>
      <c r="BI402" s="9"/>
      <c r="BJ402" s="14"/>
    </row>
    <row r="403" spans="1:62" x14ac:dyDescent="0.25">
      <c r="A403" s="15"/>
      <c r="B403" s="16"/>
      <c r="C403" s="16" t="s">
        <v>242</v>
      </c>
      <c r="D403" s="16"/>
      <c r="E403" s="17"/>
      <c r="F403" s="180">
        <v>132</v>
      </c>
      <c r="G403" s="181">
        <v>0</v>
      </c>
      <c r="H403" s="182">
        <v>132</v>
      </c>
      <c r="I403" s="182">
        <v>132</v>
      </c>
      <c r="J403" s="183">
        <v>0</v>
      </c>
      <c r="K403" s="181">
        <v>0</v>
      </c>
      <c r="L403" s="182">
        <v>0</v>
      </c>
      <c r="M403" s="182">
        <v>0</v>
      </c>
      <c r="N403" s="182">
        <v>0</v>
      </c>
      <c r="O403" s="182">
        <v>0</v>
      </c>
      <c r="P403" s="182">
        <v>0</v>
      </c>
      <c r="Q403" s="182">
        <v>0</v>
      </c>
      <c r="R403" s="183">
        <v>0</v>
      </c>
      <c r="S403" s="180">
        <v>4</v>
      </c>
      <c r="T403" s="181"/>
      <c r="U403" s="182"/>
      <c r="V403" s="182"/>
      <c r="W403" s="182"/>
      <c r="X403" s="183"/>
      <c r="Y403" s="181"/>
      <c r="Z403" s="183"/>
      <c r="AA403" s="181"/>
      <c r="AB403" s="183"/>
      <c r="AC403" s="181"/>
      <c r="AD403" s="183"/>
      <c r="AE403" s="181">
        <v>0</v>
      </c>
      <c r="AF403" s="182">
        <v>0</v>
      </c>
      <c r="AG403" s="183">
        <v>0</v>
      </c>
      <c r="AH403" s="133"/>
      <c r="AI403" s="19"/>
      <c r="AJ403" s="19"/>
      <c r="AK403" s="19"/>
      <c r="AL403" s="19"/>
      <c r="AM403" s="19"/>
      <c r="AN403" s="20"/>
      <c r="AO403" s="19"/>
      <c r="AP403" s="19"/>
      <c r="AQ403" s="19"/>
      <c r="AR403" s="19"/>
      <c r="AS403" s="133"/>
      <c r="AT403" s="21"/>
      <c r="AU403" s="16"/>
      <c r="AV403" s="16"/>
      <c r="AW403" s="17"/>
      <c r="AX403" s="133"/>
      <c r="AY403" s="19"/>
      <c r="AZ403" s="21"/>
      <c r="BA403" s="15"/>
      <c r="BB403" s="17"/>
      <c r="BC403" s="15"/>
      <c r="BD403" s="17"/>
      <c r="BE403" s="15"/>
      <c r="BF403" s="16"/>
      <c r="BG403" s="19"/>
      <c r="BH403" s="16"/>
      <c r="BI403" s="16"/>
      <c r="BJ403" s="21"/>
    </row>
    <row r="404" spans="1:62" x14ac:dyDescent="0.25">
      <c r="A404" s="29"/>
      <c r="B404" s="30"/>
      <c r="C404" s="30"/>
      <c r="D404" s="30"/>
      <c r="E404" s="31" t="s">
        <v>243</v>
      </c>
      <c r="F404" s="188">
        <v>91</v>
      </c>
      <c r="G404" s="189">
        <v>0</v>
      </c>
      <c r="H404" s="190">
        <v>91</v>
      </c>
      <c r="I404" s="190">
        <v>91</v>
      </c>
      <c r="J404" s="191">
        <v>0</v>
      </c>
      <c r="K404" s="189">
        <v>0</v>
      </c>
      <c r="L404" s="190">
        <v>0</v>
      </c>
      <c r="M404" s="190">
        <v>0</v>
      </c>
      <c r="N404" s="190">
        <v>0</v>
      </c>
      <c r="O404" s="190">
        <v>0</v>
      </c>
      <c r="P404" s="190">
        <v>0</v>
      </c>
      <c r="Q404" s="190">
        <v>0</v>
      </c>
      <c r="R404" s="191">
        <v>0</v>
      </c>
      <c r="S404" s="188">
        <v>4</v>
      </c>
      <c r="T404" s="189"/>
      <c r="U404" s="190"/>
      <c r="V404" s="190"/>
      <c r="W404" s="190"/>
      <c r="X404" s="191"/>
      <c r="Y404" s="189"/>
      <c r="Z404" s="191"/>
      <c r="AA404" s="189"/>
      <c r="AB404" s="191"/>
      <c r="AC404" s="189"/>
      <c r="AD404" s="191"/>
      <c r="AE404" s="189">
        <v>0</v>
      </c>
      <c r="AF404" s="190">
        <v>0</v>
      </c>
      <c r="AG404" s="191">
        <v>0</v>
      </c>
      <c r="AH404" s="136"/>
      <c r="AI404" s="33"/>
      <c r="AJ404" s="33"/>
      <c r="AK404" s="33"/>
      <c r="AL404" s="33"/>
      <c r="AM404" s="33"/>
      <c r="AN404" s="34"/>
      <c r="AO404" s="33"/>
      <c r="AP404" s="33"/>
      <c r="AQ404" s="33"/>
      <c r="AR404" s="33"/>
      <c r="AS404" s="136"/>
      <c r="AT404" s="35"/>
      <c r="AU404" s="30"/>
      <c r="AV404" s="30"/>
      <c r="AW404" s="31"/>
      <c r="AX404" s="136"/>
      <c r="AY404" s="33"/>
      <c r="AZ404" s="35"/>
      <c r="BA404" s="29"/>
      <c r="BB404" s="31"/>
      <c r="BC404" s="29"/>
      <c r="BD404" s="31"/>
      <c r="BE404" s="29"/>
      <c r="BF404" s="30"/>
      <c r="BG404" s="33"/>
      <c r="BH404" s="30"/>
      <c r="BI404" s="30"/>
      <c r="BJ404" s="35"/>
    </row>
    <row r="405" spans="1:62" x14ac:dyDescent="0.25">
      <c r="A405" s="29"/>
      <c r="B405" s="30"/>
      <c r="C405" s="30"/>
      <c r="D405" s="30"/>
      <c r="E405" s="31" t="s">
        <v>68</v>
      </c>
      <c r="F405" s="188">
        <v>40</v>
      </c>
      <c r="G405" s="189">
        <v>0</v>
      </c>
      <c r="H405" s="190">
        <v>40</v>
      </c>
      <c r="I405" s="190">
        <v>40</v>
      </c>
      <c r="J405" s="191">
        <v>0</v>
      </c>
      <c r="K405" s="189">
        <v>0</v>
      </c>
      <c r="L405" s="190">
        <v>0</v>
      </c>
      <c r="M405" s="190">
        <v>0</v>
      </c>
      <c r="N405" s="190">
        <v>0</v>
      </c>
      <c r="O405" s="190">
        <v>0</v>
      </c>
      <c r="P405" s="190">
        <v>0</v>
      </c>
      <c r="Q405" s="190">
        <v>0</v>
      </c>
      <c r="R405" s="191">
        <v>0</v>
      </c>
      <c r="S405" s="188">
        <v>0</v>
      </c>
      <c r="T405" s="189"/>
      <c r="U405" s="190"/>
      <c r="V405" s="190"/>
      <c r="W405" s="190"/>
      <c r="X405" s="191"/>
      <c r="Y405" s="189"/>
      <c r="Z405" s="191"/>
      <c r="AA405" s="189"/>
      <c r="AB405" s="191"/>
      <c r="AC405" s="189"/>
      <c r="AD405" s="191"/>
      <c r="AE405" s="189">
        <v>0</v>
      </c>
      <c r="AF405" s="190">
        <v>0</v>
      </c>
      <c r="AG405" s="191">
        <v>0</v>
      </c>
      <c r="AH405" s="136"/>
      <c r="AI405" s="33"/>
      <c r="AJ405" s="33"/>
      <c r="AK405" s="33"/>
      <c r="AL405" s="33"/>
      <c r="AM405" s="33"/>
      <c r="AN405" s="34"/>
      <c r="AO405" s="33"/>
      <c r="AP405" s="33"/>
      <c r="AQ405" s="33"/>
      <c r="AR405" s="33"/>
      <c r="AS405" s="136"/>
      <c r="AT405" s="35"/>
      <c r="AU405" s="30"/>
      <c r="AV405" s="30"/>
      <c r="AW405" s="31"/>
      <c r="AX405" s="136"/>
      <c r="AY405" s="33"/>
      <c r="AZ405" s="35"/>
      <c r="BA405" s="29"/>
      <c r="BB405" s="31"/>
      <c r="BC405" s="29"/>
      <c r="BD405" s="31"/>
      <c r="BE405" s="29"/>
      <c r="BF405" s="30"/>
      <c r="BG405" s="33"/>
      <c r="BH405" s="30"/>
      <c r="BI405" s="30"/>
      <c r="BJ405" s="35"/>
    </row>
    <row r="406" spans="1:62" ht="15.75" thickBot="1" x14ac:dyDescent="0.3">
      <c r="A406" s="200" t="s">
        <v>102</v>
      </c>
      <c r="B406" s="201"/>
      <c r="C406" s="201"/>
      <c r="D406" s="201"/>
      <c r="E406" s="202"/>
      <c r="F406" s="203">
        <v>289458</v>
      </c>
      <c r="G406" s="204">
        <v>211359</v>
      </c>
      <c r="H406" s="205">
        <v>58763</v>
      </c>
      <c r="I406" s="205">
        <v>158043</v>
      </c>
      <c r="J406" s="206">
        <v>112079</v>
      </c>
      <c r="K406" s="204">
        <v>77</v>
      </c>
      <c r="L406" s="205">
        <v>1488</v>
      </c>
      <c r="M406" s="205">
        <v>3754</v>
      </c>
      <c r="N406" s="205">
        <v>988</v>
      </c>
      <c r="O406" s="205">
        <v>1366</v>
      </c>
      <c r="P406" s="205">
        <v>101</v>
      </c>
      <c r="Q406" s="205">
        <v>1376</v>
      </c>
      <c r="R406" s="206">
        <v>9021</v>
      </c>
      <c r="S406" s="203">
        <v>15274</v>
      </c>
      <c r="T406" s="204">
        <v>20249</v>
      </c>
      <c r="U406" s="205">
        <v>152</v>
      </c>
      <c r="V406" s="205">
        <v>1000</v>
      </c>
      <c r="W406" s="205">
        <v>2518</v>
      </c>
      <c r="X406" s="206">
        <v>16579</v>
      </c>
      <c r="Y406" s="204">
        <v>392930</v>
      </c>
      <c r="Z406" s="206">
        <v>121100</v>
      </c>
      <c r="AA406" s="204">
        <v>395689</v>
      </c>
      <c r="AB406" s="206">
        <v>115602</v>
      </c>
      <c r="AC406" s="204">
        <v>387037</v>
      </c>
      <c r="AD406" s="206">
        <v>113707</v>
      </c>
      <c r="AE406" s="204">
        <v>118115</v>
      </c>
      <c r="AF406" s="205">
        <v>70478</v>
      </c>
      <c r="AG406" s="206">
        <v>52422</v>
      </c>
      <c r="AH406" s="207">
        <v>7.0216069019927215E-3</v>
      </c>
      <c r="AI406" s="208">
        <v>-1.4997582266561475E-2</v>
      </c>
      <c r="AJ406" s="208">
        <v>-2.1865657119606561E-2</v>
      </c>
      <c r="AK406" s="208">
        <v>-4.5400495458298926E-2</v>
      </c>
      <c r="AL406" s="208">
        <v>-6.1048720066061109E-2</v>
      </c>
      <c r="AM406" s="208">
        <v>-1.639244995761319E-2</v>
      </c>
      <c r="AN406" s="209">
        <v>1.8311829635832872</v>
      </c>
      <c r="AO406" s="208">
        <v>0.53798040301099082</v>
      </c>
      <c r="AP406" s="208">
        <v>0.33345161549780233</v>
      </c>
      <c r="AQ406" s="208">
        <v>0.24802350503172327</v>
      </c>
      <c r="AR406" s="208">
        <v>4.0933841546419818E-2</v>
      </c>
      <c r="AS406" s="207">
        <v>7.2265671203970497E-2</v>
      </c>
      <c r="AT406" s="210">
        <v>-2.3538150729327825E-2</v>
      </c>
      <c r="AU406" s="201"/>
      <c r="AV406" s="201"/>
      <c r="AW406" s="202"/>
      <c r="AX406" s="207"/>
      <c r="AY406" s="208"/>
      <c r="AZ406" s="210"/>
      <c r="BA406" s="200"/>
      <c r="BB406" s="202"/>
      <c r="BC406" s="200"/>
      <c r="BD406" s="202"/>
      <c r="BE406" s="200"/>
      <c r="BF406" s="201"/>
      <c r="BG406" s="208"/>
      <c r="BH406" s="201"/>
      <c r="BI406" s="201"/>
      <c r="BJ406" s="210"/>
    </row>
  </sheetData>
  <mergeCells count="18">
    <mergeCell ref="BC2:BD2"/>
    <mergeCell ref="BE2:BJ2"/>
    <mergeCell ref="AU1:BJ1"/>
    <mergeCell ref="G2:J2"/>
    <mergeCell ref="K2:R2"/>
    <mergeCell ref="T2:X2"/>
    <mergeCell ref="Y2:Z2"/>
    <mergeCell ref="AA2:AB2"/>
    <mergeCell ref="AC2:AD2"/>
    <mergeCell ref="AH2:AR2"/>
    <mergeCell ref="AX2:AZ2"/>
    <mergeCell ref="BA2:BB2"/>
    <mergeCell ref="AS1:AT1"/>
    <mergeCell ref="A1:E3"/>
    <mergeCell ref="F1:R1"/>
    <mergeCell ref="S1:X1"/>
    <mergeCell ref="Y1:AG1"/>
    <mergeCell ref="AH1:A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406"/>
  <sheetViews>
    <sheetView workbookViewId="0">
      <selection activeCell="F4" sqref="F4"/>
    </sheetView>
  </sheetViews>
  <sheetFormatPr baseColWidth="10" defaultRowHeight="15" x14ac:dyDescent="0.25"/>
  <sheetData>
    <row r="1" spans="1:62" ht="15.75" thickBot="1" x14ac:dyDescent="0.3">
      <c r="A1" s="274" t="s">
        <v>0</v>
      </c>
      <c r="B1" s="274"/>
      <c r="C1" s="274"/>
      <c r="D1" s="274"/>
      <c r="E1" s="274"/>
      <c r="F1" s="273" t="s">
        <v>1</v>
      </c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71"/>
      <c r="R1" s="272"/>
      <c r="S1" s="274"/>
      <c r="T1" s="274"/>
      <c r="U1" s="274"/>
      <c r="V1" s="274"/>
      <c r="W1" s="274"/>
      <c r="X1" s="274"/>
      <c r="Y1" s="274" t="s">
        <v>2</v>
      </c>
      <c r="Z1" s="274"/>
      <c r="AA1" s="274"/>
      <c r="AB1" s="274"/>
      <c r="AC1" s="274"/>
      <c r="AD1" s="274"/>
      <c r="AE1" s="274"/>
      <c r="AF1" s="274"/>
      <c r="AG1" s="274"/>
      <c r="AH1" s="268" t="s">
        <v>3</v>
      </c>
      <c r="AI1" s="269"/>
      <c r="AJ1" s="269"/>
      <c r="AK1" s="269"/>
      <c r="AL1" s="269"/>
      <c r="AM1" s="269"/>
      <c r="AN1" s="269"/>
      <c r="AO1" s="269"/>
      <c r="AP1" s="269"/>
      <c r="AQ1" s="269"/>
      <c r="AR1" s="270"/>
      <c r="AS1" s="273" t="s">
        <v>247</v>
      </c>
      <c r="AT1" s="272"/>
      <c r="AU1" s="268" t="s">
        <v>4</v>
      </c>
      <c r="AV1" s="269"/>
      <c r="AW1" s="269"/>
      <c r="AX1" s="269"/>
      <c r="AY1" s="269"/>
      <c r="AZ1" s="269"/>
      <c r="BA1" s="269"/>
      <c r="BB1" s="269"/>
      <c r="BC1" s="269"/>
      <c r="BD1" s="269"/>
      <c r="BE1" s="269"/>
      <c r="BF1" s="269"/>
      <c r="BG1" s="269"/>
      <c r="BH1" s="269"/>
      <c r="BI1" s="269"/>
      <c r="BJ1" s="270"/>
    </row>
    <row r="2" spans="1:62" ht="15.75" thickBot="1" x14ac:dyDescent="0.3">
      <c r="A2" s="274"/>
      <c r="B2" s="274"/>
      <c r="C2" s="274"/>
      <c r="D2" s="274"/>
      <c r="E2" s="274"/>
      <c r="F2" s="146"/>
      <c r="G2" s="271" t="s">
        <v>5</v>
      </c>
      <c r="H2" s="271"/>
      <c r="I2" s="271"/>
      <c r="J2" s="272"/>
      <c r="K2" s="273" t="s">
        <v>6</v>
      </c>
      <c r="L2" s="271"/>
      <c r="M2" s="271"/>
      <c r="N2" s="271"/>
      <c r="O2" s="271"/>
      <c r="P2" s="271"/>
      <c r="Q2" s="271"/>
      <c r="R2" s="272"/>
      <c r="S2" s="147" t="s">
        <v>7</v>
      </c>
      <c r="T2" s="268" t="s">
        <v>8</v>
      </c>
      <c r="U2" s="269"/>
      <c r="V2" s="269"/>
      <c r="W2" s="269"/>
      <c r="X2" s="270"/>
      <c r="Y2" s="268">
        <v>2016</v>
      </c>
      <c r="Z2" s="270"/>
      <c r="AA2" s="268">
        <v>2017</v>
      </c>
      <c r="AB2" s="270"/>
      <c r="AC2" s="259">
        <v>2018</v>
      </c>
      <c r="AD2" s="261"/>
      <c r="AE2" s="240"/>
      <c r="AF2" s="241"/>
      <c r="AG2" s="242"/>
      <c r="AH2" s="268" t="s">
        <v>145</v>
      </c>
      <c r="AI2" s="269"/>
      <c r="AJ2" s="269"/>
      <c r="AK2" s="269"/>
      <c r="AL2" s="269"/>
      <c r="AM2" s="269"/>
      <c r="AN2" s="269"/>
      <c r="AO2" s="269"/>
      <c r="AP2" s="269"/>
      <c r="AQ2" s="269"/>
      <c r="AR2" s="270"/>
      <c r="AS2" s="257"/>
      <c r="AT2" s="258"/>
      <c r="AU2" s="241"/>
      <c r="AV2" s="241"/>
      <c r="AW2" s="242"/>
      <c r="AX2" s="268" t="s">
        <v>9</v>
      </c>
      <c r="AY2" s="269"/>
      <c r="AZ2" s="270"/>
      <c r="BA2" s="268" t="s">
        <v>10</v>
      </c>
      <c r="BB2" s="270"/>
      <c r="BC2" s="268" t="s">
        <v>11</v>
      </c>
      <c r="BD2" s="270"/>
      <c r="BE2" s="149" t="s">
        <v>12</v>
      </c>
      <c r="BF2" s="150"/>
      <c r="BG2" s="150"/>
      <c r="BH2" s="150"/>
      <c r="BI2" s="150"/>
      <c r="BJ2" s="151"/>
    </row>
    <row r="3" spans="1:62" ht="276.75" customHeight="1" thickBot="1" x14ac:dyDescent="0.3">
      <c r="A3" s="274"/>
      <c r="B3" s="274"/>
      <c r="C3" s="274"/>
      <c r="D3" s="274"/>
      <c r="E3" s="274"/>
      <c r="F3" s="152" t="s">
        <v>13</v>
      </c>
      <c r="G3" s="153" t="s">
        <v>14</v>
      </c>
      <c r="H3" s="153" t="s">
        <v>15</v>
      </c>
      <c r="I3" s="153" t="s">
        <v>16</v>
      </c>
      <c r="J3" s="153" t="s">
        <v>17</v>
      </c>
      <c r="K3" s="154" t="s">
        <v>18</v>
      </c>
      <c r="L3" s="155" t="s">
        <v>19</v>
      </c>
      <c r="M3" s="155" t="s">
        <v>20</v>
      </c>
      <c r="N3" s="155" t="s">
        <v>21</v>
      </c>
      <c r="O3" s="155" t="s">
        <v>22</v>
      </c>
      <c r="P3" s="155" t="s">
        <v>23</v>
      </c>
      <c r="Q3" s="155" t="s">
        <v>24</v>
      </c>
      <c r="R3" s="156" t="s">
        <v>25</v>
      </c>
      <c r="S3" s="157" t="s">
        <v>26</v>
      </c>
      <c r="T3" s="154" t="s">
        <v>27</v>
      </c>
      <c r="U3" s="155" t="s">
        <v>28</v>
      </c>
      <c r="V3" s="155" t="s">
        <v>29</v>
      </c>
      <c r="W3" s="155" t="s">
        <v>30</v>
      </c>
      <c r="X3" s="156" t="s">
        <v>31</v>
      </c>
      <c r="Y3" s="154" t="s">
        <v>32</v>
      </c>
      <c r="Z3" s="156" t="s">
        <v>33</v>
      </c>
      <c r="AA3" s="154" t="s">
        <v>34</v>
      </c>
      <c r="AB3" s="155" t="s">
        <v>35</v>
      </c>
      <c r="AC3" s="154" t="s">
        <v>36</v>
      </c>
      <c r="AD3" s="156" t="s">
        <v>37</v>
      </c>
      <c r="AE3" s="159" t="s">
        <v>38</v>
      </c>
      <c r="AF3" s="159" t="s">
        <v>39</v>
      </c>
      <c r="AG3" s="160" t="s">
        <v>40</v>
      </c>
      <c r="AH3" s="154" t="s">
        <v>41</v>
      </c>
      <c r="AI3" s="155" t="s">
        <v>42</v>
      </c>
      <c r="AJ3" s="155" t="s">
        <v>43</v>
      </c>
      <c r="AK3" s="155" t="s">
        <v>44</v>
      </c>
      <c r="AL3" s="155" t="s">
        <v>45</v>
      </c>
      <c r="AM3" s="155" t="s">
        <v>46</v>
      </c>
      <c r="AN3" s="155" t="s">
        <v>47</v>
      </c>
      <c r="AO3" s="155" t="s">
        <v>48</v>
      </c>
      <c r="AP3" s="155" t="s">
        <v>49</v>
      </c>
      <c r="AQ3" s="155" t="s">
        <v>50</v>
      </c>
      <c r="AR3" s="155" t="s">
        <v>51</v>
      </c>
      <c r="AS3" s="233" t="s">
        <v>248</v>
      </c>
      <c r="AT3" s="234" t="s">
        <v>246</v>
      </c>
      <c r="AU3" s="159" t="s">
        <v>52</v>
      </c>
      <c r="AV3" s="159" t="s">
        <v>53</v>
      </c>
      <c r="AW3" s="160" t="s">
        <v>54</v>
      </c>
      <c r="AX3" s="154" t="s">
        <v>55</v>
      </c>
      <c r="AY3" s="155" t="s">
        <v>56</v>
      </c>
      <c r="AZ3" s="156" t="s">
        <v>57</v>
      </c>
      <c r="BA3" s="154" t="s">
        <v>58</v>
      </c>
      <c r="BB3" s="156" t="s">
        <v>59</v>
      </c>
      <c r="BC3" s="154" t="s">
        <v>60</v>
      </c>
      <c r="BD3" s="156" t="s">
        <v>61</v>
      </c>
      <c r="BE3" s="154" t="s">
        <v>103</v>
      </c>
      <c r="BF3" s="155" t="s">
        <v>104</v>
      </c>
      <c r="BG3" s="155" t="s">
        <v>62</v>
      </c>
      <c r="BH3" s="155" t="s">
        <v>105</v>
      </c>
      <c r="BI3" s="155" t="s">
        <v>106</v>
      </c>
      <c r="BJ3" s="156" t="s">
        <v>63</v>
      </c>
    </row>
    <row r="4" spans="1:62" x14ac:dyDescent="0.25">
      <c r="A4" s="128" t="s">
        <v>112</v>
      </c>
      <c r="B4" s="128"/>
      <c r="C4" s="128"/>
      <c r="D4" s="128"/>
      <c r="E4" s="128"/>
      <c r="F4" s="4">
        <v>157503</v>
      </c>
      <c r="G4" s="1">
        <v>146202</v>
      </c>
      <c r="H4" s="2">
        <v>3152</v>
      </c>
      <c r="I4" s="2">
        <v>111085</v>
      </c>
      <c r="J4" s="3">
        <v>38269</v>
      </c>
      <c r="K4" s="1">
        <v>77</v>
      </c>
      <c r="L4" s="2">
        <v>569</v>
      </c>
      <c r="M4" s="2">
        <v>1466</v>
      </c>
      <c r="N4" s="2">
        <v>190</v>
      </c>
      <c r="O4" s="2">
        <v>967</v>
      </c>
      <c r="P4" s="2">
        <v>99</v>
      </c>
      <c r="Q4" s="2">
        <v>1064</v>
      </c>
      <c r="R4" s="3">
        <v>2944</v>
      </c>
      <c r="S4" s="4">
        <v>8332</v>
      </c>
      <c r="T4" s="1">
        <v>15363</v>
      </c>
      <c r="U4" s="2">
        <v>68</v>
      </c>
      <c r="V4" s="2">
        <v>776</v>
      </c>
      <c r="W4" s="2">
        <v>1052</v>
      </c>
      <c r="X4" s="3">
        <v>13467</v>
      </c>
      <c r="Y4" s="1">
        <v>195785</v>
      </c>
      <c r="Z4" s="3">
        <v>68048</v>
      </c>
      <c r="AA4" s="1">
        <v>192878</v>
      </c>
      <c r="AB4" s="3">
        <v>66196</v>
      </c>
      <c r="AC4" s="138">
        <v>183729</v>
      </c>
      <c r="AD4" s="128">
        <v>63617</v>
      </c>
      <c r="AE4" s="1">
        <v>91895</v>
      </c>
      <c r="AF4" s="2">
        <v>57067</v>
      </c>
      <c r="AG4" s="3">
        <v>15408</v>
      </c>
      <c r="AH4" s="129">
        <v>-1.484791991214853E-2</v>
      </c>
      <c r="AI4" s="5">
        <v>-6.1577751104527928E-2</v>
      </c>
      <c r="AJ4" s="5">
        <v>-4.7434129346011468E-2</v>
      </c>
      <c r="AK4" s="5">
        <v>-2.7216082765106984E-2</v>
      </c>
      <c r="AL4" s="5">
        <v>-6.511580061133318E-2</v>
      </c>
      <c r="AM4" s="5">
        <v>-3.8960058009547403E-2</v>
      </c>
      <c r="AN4" s="6">
        <v>1.2566791151967824</v>
      </c>
      <c r="AO4" s="5">
        <v>0.43513084636325083</v>
      </c>
      <c r="AP4" s="5">
        <v>0.39032981764955338</v>
      </c>
      <c r="AQ4" s="5">
        <v>0.10538843517872533</v>
      </c>
      <c r="AR4" s="7">
        <v>1.9739047644589863E-2</v>
      </c>
      <c r="AS4" s="243">
        <f>S4/G4</f>
        <v>5.6989644464508007E-2</v>
      </c>
      <c r="AT4" s="244">
        <f>(S4-T4)/G4</f>
        <v>-4.8090997387176648E-2</v>
      </c>
      <c r="AU4" s="1">
        <v>7895</v>
      </c>
      <c r="AV4" s="2">
        <v>7901</v>
      </c>
      <c r="AW4" s="3">
        <v>7879</v>
      </c>
      <c r="AX4" s="129">
        <v>7.5997466751108293E-4</v>
      </c>
      <c r="AY4" s="5">
        <v>-2.0265991133628881E-3</v>
      </c>
      <c r="AZ4" s="7">
        <v>-2.7844576635868879E-3</v>
      </c>
      <c r="BA4" s="1">
        <v>49</v>
      </c>
      <c r="BB4" s="3">
        <v>31</v>
      </c>
      <c r="BC4" s="1">
        <v>6</v>
      </c>
      <c r="BD4" s="3">
        <v>2</v>
      </c>
      <c r="BE4" s="1">
        <v>109075</v>
      </c>
      <c r="BF4" s="2">
        <v>183735</v>
      </c>
      <c r="BG4" s="5">
        <v>0.59365390372003157</v>
      </c>
      <c r="BH4" s="2">
        <v>5127</v>
      </c>
      <c r="BI4" s="2">
        <v>7879</v>
      </c>
      <c r="BJ4" s="7">
        <v>0.65071709607818251</v>
      </c>
    </row>
    <row r="5" spans="1:62" x14ac:dyDescent="0.25">
      <c r="A5" s="130"/>
      <c r="B5" s="130" t="s">
        <v>113</v>
      </c>
      <c r="C5" s="130"/>
      <c r="D5" s="130"/>
      <c r="E5" s="130"/>
      <c r="F5" s="11">
        <v>30085</v>
      </c>
      <c r="G5" s="8">
        <v>27329</v>
      </c>
      <c r="H5" s="9">
        <v>123</v>
      </c>
      <c r="I5" s="9">
        <v>26200</v>
      </c>
      <c r="J5" s="10">
        <v>1252</v>
      </c>
      <c r="K5" s="8">
        <v>0</v>
      </c>
      <c r="L5" s="9">
        <v>113</v>
      </c>
      <c r="M5" s="9">
        <v>274</v>
      </c>
      <c r="N5" s="9">
        <v>72</v>
      </c>
      <c r="O5" s="9">
        <v>505</v>
      </c>
      <c r="P5" s="9">
        <v>96</v>
      </c>
      <c r="Q5" s="9">
        <v>317</v>
      </c>
      <c r="R5" s="10">
        <v>1043</v>
      </c>
      <c r="S5" s="11">
        <v>2951</v>
      </c>
      <c r="T5" s="8">
        <v>2527</v>
      </c>
      <c r="U5" s="9">
        <v>23</v>
      </c>
      <c r="V5" s="9">
        <v>127</v>
      </c>
      <c r="W5" s="9">
        <v>92</v>
      </c>
      <c r="X5" s="10">
        <v>2285</v>
      </c>
      <c r="Y5" s="8">
        <v>77511</v>
      </c>
      <c r="Z5" s="10">
        <v>20214</v>
      </c>
      <c r="AA5" s="8">
        <v>78083</v>
      </c>
      <c r="AB5" s="10">
        <v>20494</v>
      </c>
      <c r="AC5" s="8">
        <v>74402</v>
      </c>
      <c r="AD5" s="130">
        <v>20227</v>
      </c>
      <c r="AE5" s="8">
        <v>10440</v>
      </c>
      <c r="AF5" s="9">
        <v>4388</v>
      </c>
      <c r="AG5" s="10">
        <v>5805</v>
      </c>
      <c r="AH5" s="131">
        <v>7.3795977345151014E-3</v>
      </c>
      <c r="AI5" s="12">
        <v>-4.0110435938124911E-2</v>
      </c>
      <c r="AJ5" s="12">
        <v>-4.7142143616408179E-2</v>
      </c>
      <c r="AK5" s="12">
        <v>1.3851785890966656E-2</v>
      </c>
      <c r="AL5" s="12">
        <v>6.4311863065202337E-4</v>
      </c>
      <c r="AM5" s="12">
        <v>-1.3028203376598029E-2</v>
      </c>
      <c r="AN5" s="13">
        <v>2.722455999121812</v>
      </c>
      <c r="AO5" s="12">
        <v>0.74012953273079873</v>
      </c>
      <c r="AP5" s="12">
        <v>0.16056204032346591</v>
      </c>
      <c r="AQ5" s="12">
        <v>0.2124117238098723</v>
      </c>
      <c r="AR5" s="14">
        <v>3.6761595939658817E-2</v>
      </c>
      <c r="AS5" s="245">
        <f t="shared" ref="AS5:AS68" si="0">S5/G5</f>
        <v>0.10798053349921329</v>
      </c>
      <c r="AT5" s="246">
        <f t="shared" ref="AT5:AT68" si="1">(S5-T5)/G5</f>
        <v>1.5514654762340371E-2</v>
      </c>
      <c r="AU5" s="8">
        <v>4707</v>
      </c>
      <c r="AV5" s="9">
        <v>4679</v>
      </c>
      <c r="AW5" s="10">
        <v>4670</v>
      </c>
      <c r="AX5" s="131">
        <v>-5.9485872105374971E-3</v>
      </c>
      <c r="AY5" s="12">
        <v>-7.8606330996388359E-3</v>
      </c>
      <c r="AZ5" s="14">
        <v>-1.9234879247702502E-3</v>
      </c>
      <c r="BA5" s="8">
        <v>46</v>
      </c>
      <c r="BB5" s="10">
        <v>34</v>
      </c>
      <c r="BC5" s="8">
        <v>5</v>
      </c>
      <c r="BD5" s="10">
        <v>3</v>
      </c>
      <c r="BE5" s="8">
        <v>45369</v>
      </c>
      <c r="BF5" s="9">
        <v>74408</v>
      </c>
      <c r="BG5" s="12">
        <v>0.60973282442748089</v>
      </c>
      <c r="BH5" s="9">
        <v>2886</v>
      </c>
      <c r="BI5" s="9">
        <v>4670</v>
      </c>
      <c r="BJ5" s="14">
        <v>0.61798715203426124</v>
      </c>
    </row>
    <row r="6" spans="1:62" x14ac:dyDescent="0.25">
      <c r="A6" s="132"/>
      <c r="B6" s="132"/>
      <c r="C6" s="132" t="s">
        <v>146</v>
      </c>
      <c r="D6" s="132"/>
      <c r="E6" s="132"/>
      <c r="F6" s="18">
        <v>3469</v>
      </c>
      <c r="G6" s="15">
        <v>3321</v>
      </c>
      <c r="H6" s="16">
        <v>19</v>
      </c>
      <c r="I6" s="16">
        <v>3203</v>
      </c>
      <c r="J6" s="17">
        <v>137</v>
      </c>
      <c r="K6" s="15">
        <v>0</v>
      </c>
      <c r="L6" s="16">
        <v>9</v>
      </c>
      <c r="M6" s="16">
        <v>5</v>
      </c>
      <c r="N6" s="16">
        <v>3</v>
      </c>
      <c r="O6" s="16">
        <v>3</v>
      </c>
      <c r="P6" s="16">
        <v>2</v>
      </c>
      <c r="Q6" s="16">
        <v>18</v>
      </c>
      <c r="R6" s="17">
        <v>79</v>
      </c>
      <c r="S6" s="18">
        <v>340</v>
      </c>
      <c r="T6" s="15">
        <v>196</v>
      </c>
      <c r="U6" s="16">
        <v>1</v>
      </c>
      <c r="V6" s="16">
        <v>10</v>
      </c>
      <c r="W6" s="16">
        <v>1</v>
      </c>
      <c r="X6" s="17">
        <v>184</v>
      </c>
      <c r="Y6" s="15">
        <v>4069</v>
      </c>
      <c r="Z6" s="17">
        <v>1636</v>
      </c>
      <c r="AA6" s="15">
        <v>4707</v>
      </c>
      <c r="AB6" s="17">
        <v>1781</v>
      </c>
      <c r="AC6" s="15">
        <v>4471</v>
      </c>
      <c r="AD6" s="132">
        <v>1745</v>
      </c>
      <c r="AE6" s="15">
        <v>1786</v>
      </c>
      <c r="AF6" s="16">
        <v>823</v>
      </c>
      <c r="AG6" s="17">
        <v>463</v>
      </c>
      <c r="AH6" s="133">
        <v>0.15679528139592036</v>
      </c>
      <c r="AI6" s="19">
        <v>9.879577291717867E-2</v>
      </c>
      <c r="AJ6" s="19">
        <v>-5.0138092203101767E-2</v>
      </c>
      <c r="AK6" s="19">
        <v>8.8630806845965776E-2</v>
      </c>
      <c r="AL6" s="19">
        <v>6.662591687041565E-2</v>
      </c>
      <c r="AM6" s="19">
        <v>-2.021336327905671E-2</v>
      </c>
      <c r="AN6" s="20">
        <v>1.3462812405901836</v>
      </c>
      <c r="AO6" s="19">
        <v>0.52544414333032219</v>
      </c>
      <c r="AP6" s="19">
        <v>0.24781692261367058</v>
      </c>
      <c r="AQ6" s="19">
        <v>0.13941583860283047</v>
      </c>
      <c r="AR6" s="21">
        <v>2.3235294117647059E-2</v>
      </c>
      <c r="AS6" s="247">
        <f t="shared" si="0"/>
        <v>0.10237880156579343</v>
      </c>
      <c r="AT6" s="248">
        <f t="shared" si="1"/>
        <v>4.3360433604336043E-2</v>
      </c>
      <c r="AU6" s="15">
        <v>964</v>
      </c>
      <c r="AV6" s="16">
        <v>1020</v>
      </c>
      <c r="AW6" s="17">
        <v>999</v>
      </c>
      <c r="AX6" s="133">
        <v>5.8091286307053944E-2</v>
      </c>
      <c r="AY6" s="19">
        <v>3.6307053941908717E-2</v>
      </c>
      <c r="AZ6" s="21">
        <v>-2.0588235294117647E-2</v>
      </c>
      <c r="BA6" s="15">
        <v>45</v>
      </c>
      <c r="BB6" s="17">
        <v>40</v>
      </c>
      <c r="BC6" s="15">
        <v>5</v>
      </c>
      <c r="BD6" s="17">
        <v>4</v>
      </c>
      <c r="BE6" s="15">
        <v>2557</v>
      </c>
      <c r="BF6" s="16">
        <v>4471</v>
      </c>
      <c r="BG6" s="19">
        <v>0.57190785059270854</v>
      </c>
      <c r="BH6" s="16">
        <v>585</v>
      </c>
      <c r="BI6" s="16">
        <v>999</v>
      </c>
      <c r="BJ6" s="21">
        <v>0.5855855855855856</v>
      </c>
    </row>
    <row r="7" spans="1:62" x14ac:dyDescent="0.25">
      <c r="A7" s="134"/>
      <c r="B7" s="134"/>
      <c r="C7" s="134"/>
      <c r="D7" s="134" t="s">
        <v>147</v>
      </c>
      <c r="E7" s="134"/>
      <c r="F7" s="25">
        <v>2840</v>
      </c>
      <c r="G7" s="22">
        <v>2735</v>
      </c>
      <c r="H7" s="23">
        <v>14</v>
      </c>
      <c r="I7" s="23">
        <v>2612</v>
      </c>
      <c r="J7" s="24">
        <v>137</v>
      </c>
      <c r="K7" s="22">
        <v>0</v>
      </c>
      <c r="L7" s="23">
        <v>9</v>
      </c>
      <c r="M7" s="23">
        <v>3</v>
      </c>
      <c r="N7" s="23">
        <v>3</v>
      </c>
      <c r="O7" s="23">
        <v>3</v>
      </c>
      <c r="P7" s="23">
        <v>2</v>
      </c>
      <c r="Q7" s="23">
        <v>11</v>
      </c>
      <c r="R7" s="24">
        <v>56</v>
      </c>
      <c r="S7" s="25">
        <v>239</v>
      </c>
      <c r="T7" s="22">
        <v>128</v>
      </c>
      <c r="U7" s="23">
        <v>1</v>
      </c>
      <c r="V7" s="23">
        <v>5</v>
      </c>
      <c r="W7" s="23">
        <v>1</v>
      </c>
      <c r="X7" s="24">
        <v>121</v>
      </c>
      <c r="Y7" s="22">
        <v>2729</v>
      </c>
      <c r="Z7" s="24">
        <v>1208</v>
      </c>
      <c r="AA7" s="22">
        <v>3100</v>
      </c>
      <c r="AB7" s="24">
        <v>1348</v>
      </c>
      <c r="AC7" s="22">
        <v>2803</v>
      </c>
      <c r="AD7" s="134">
        <v>1258</v>
      </c>
      <c r="AE7" s="22">
        <v>1601</v>
      </c>
      <c r="AF7" s="23">
        <v>760</v>
      </c>
      <c r="AG7" s="24">
        <v>283</v>
      </c>
      <c r="AH7" s="135">
        <v>0.13594723341883475</v>
      </c>
      <c r="AI7" s="26">
        <v>2.7116159765481863E-2</v>
      </c>
      <c r="AJ7" s="26">
        <v>-9.5806451612903229E-2</v>
      </c>
      <c r="AK7" s="26">
        <v>0.11589403973509933</v>
      </c>
      <c r="AL7" s="26">
        <v>4.1390728476821195E-2</v>
      </c>
      <c r="AM7" s="26">
        <v>-6.6765578635014838E-2</v>
      </c>
      <c r="AN7" s="27">
        <v>1.0248628884826325</v>
      </c>
      <c r="AO7" s="26">
        <v>0.45996343692870201</v>
      </c>
      <c r="AP7" s="26">
        <v>0.27787934186471663</v>
      </c>
      <c r="AQ7" s="26">
        <v>0.10347349177330896</v>
      </c>
      <c r="AR7" s="28">
        <v>2.0064493013256898E-2</v>
      </c>
      <c r="AS7" s="249">
        <f t="shared" si="0"/>
        <v>8.7385740402193782E-2</v>
      </c>
      <c r="AT7" s="250">
        <f t="shared" si="1"/>
        <v>4.0585009140767826E-2</v>
      </c>
      <c r="AU7" s="22">
        <v>740</v>
      </c>
      <c r="AV7" s="23">
        <v>773</v>
      </c>
      <c r="AW7" s="24">
        <v>756</v>
      </c>
      <c r="AX7" s="135">
        <v>4.4594594594594597E-2</v>
      </c>
      <c r="AY7" s="26">
        <v>2.1621621621621623E-2</v>
      </c>
      <c r="AZ7" s="28">
        <v>-2.1992238033635189E-2</v>
      </c>
      <c r="BA7" s="22">
        <v>45</v>
      </c>
      <c r="BB7" s="24">
        <v>40</v>
      </c>
      <c r="BC7" s="22">
        <v>5</v>
      </c>
      <c r="BD7" s="24">
        <v>4</v>
      </c>
      <c r="BE7" s="22">
        <v>1688</v>
      </c>
      <c r="BF7" s="23">
        <v>2803</v>
      </c>
      <c r="BG7" s="26">
        <v>0.60221191580449518</v>
      </c>
      <c r="BH7" s="23">
        <v>443</v>
      </c>
      <c r="BI7" s="23">
        <v>756</v>
      </c>
      <c r="BJ7" s="28">
        <v>0.58597883597883593</v>
      </c>
    </row>
    <row r="8" spans="1:62" x14ac:dyDescent="0.25">
      <c r="E8" t="s">
        <v>68</v>
      </c>
      <c r="F8" s="32">
        <v>2351</v>
      </c>
      <c r="G8" s="29">
        <v>2279</v>
      </c>
      <c r="H8" s="30">
        <v>0</v>
      </c>
      <c r="I8" s="30">
        <v>2142</v>
      </c>
      <c r="J8" s="31">
        <v>137</v>
      </c>
      <c r="K8" s="29">
        <v>0</v>
      </c>
      <c r="L8" s="30">
        <v>8</v>
      </c>
      <c r="M8" s="30">
        <v>2</v>
      </c>
      <c r="N8" s="30">
        <v>3</v>
      </c>
      <c r="O8" s="30">
        <v>2</v>
      </c>
      <c r="P8" s="30">
        <v>2</v>
      </c>
      <c r="Q8" s="30">
        <v>11</v>
      </c>
      <c r="R8" s="31">
        <v>42</v>
      </c>
      <c r="S8" s="32">
        <v>107</v>
      </c>
      <c r="T8" s="29">
        <v>16</v>
      </c>
      <c r="U8" s="30">
        <v>1</v>
      </c>
      <c r="V8" s="30">
        <v>5</v>
      </c>
      <c r="W8" s="30">
        <v>0</v>
      </c>
      <c r="X8" s="31">
        <v>10</v>
      </c>
      <c r="Y8" s="29">
        <v>1460</v>
      </c>
      <c r="Z8" s="31">
        <v>862</v>
      </c>
      <c r="AA8" s="29">
        <v>1886</v>
      </c>
      <c r="AB8" s="31">
        <v>981</v>
      </c>
      <c r="AC8" s="29">
        <v>1589</v>
      </c>
      <c r="AD8">
        <v>884</v>
      </c>
      <c r="AE8" s="29">
        <v>1449</v>
      </c>
      <c r="AF8" s="30">
        <v>708</v>
      </c>
      <c r="AG8" s="31">
        <v>174</v>
      </c>
      <c r="AH8" s="136">
        <v>0.29178082191780824</v>
      </c>
      <c r="AI8" s="33">
        <v>8.8356164383561642E-2</v>
      </c>
      <c r="AJ8" s="33">
        <v>-0.15747613997879109</v>
      </c>
      <c r="AK8" s="33">
        <v>0.13805104408352667</v>
      </c>
      <c r="AL8" s="33">
        <v>2.5522041763341066E-2</v>
      </c>
      <c r="AM8" s="33">
        <v>-9.8878695208970441E-2</v>
      </c>
      <c r="AN8" s="34">
        <v>0.69723562966213248</v>
      </c>
      <c r="AO8" s="33">
        <v>0.38788942518648528</v>
      </c>
      <c r="AP8" s="33">
        <v>0.31066257130320318</v>
      </c>
      <c r="AQ8" s="33">
        <v>7.6349275998244842E-2</v>
      </c>
      <c r="AR8" s="35">
        <v>1.8095648427401981E-2</v>
      </c>
      <c r="AS8" s="251">
        <f t="shared" si="0"/>
        <v>4.6950416849495392E-2</v>
      </c>
      <c r="AT8" s="252">
        <f t="shared" si="1"/>
        <v>3.9929793769197017E-2</v>
      </c>
      <c r="AU8" s="29">
        <v>559</v>
      </c>
      <c r="AV8" s="30">
        <v>627</v>
      </c>
      <c r="AW8" s="31">
        <v>590</v>
      </c>
      <c r="AX8" s="136">
        <v>0.12164579606440072</v>
      </c>
      <c r="AY8" s="33">
        <v>5.5456171735241505E-2</v>
      </c>
      <c r="AZ8" s="35">
        <v>-5.9011164274322167E-2</v>
      </c>
      <c r="BA8" s="29">
        <v>40</v>
      </c>
      <c r="BB8" s="31">
        <v>39</v>
      </c>
      <c r="BC8" s="29">
        <v>3</v>
      </c>
      <c r="BD8" s="31">
        <v>4</v>
      </c>
      <c r="BE8" s="29">
        <v>943</v>
      </c>
      <c r="BF8" s="30">
        <v>1589</v>
      </c>
      <c r="BG8" s="33">
        <v>0.59345500314663313</v>
      </c>
      <c r="BH8" s="30">
        <v>355</v>
      </c>
      <c r="BI8" s="30">
        <v>590</v>
      </c>
      <c r="BJ8" s="35">
        <v>0.60169491525423724</v>
      </c>
    </row>
    <row r="9" spans="1:62" x14ac:dyDescent="0.25">
      <c r="E9" t="s">
        <v>148</v>
      </c>
      <c r="F9" s="32">
        <v>248</v>
      </c>
      <c r="G9" s="29">
        <v>222</v>
      </c>
      <c r="H9" s="30">
        <v>14</v>
      </c>
      <c r="I9" s="30">
        <v>236</v>
      </c>
      <c r="J9" s="31">
        <v>0</v>
      </c>
      <c r="K9" s="29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1">
        <v>12</v>
      </c>
      <c r="S9" s="32">
        <v>120</v>
      </c>
      <c r="T9" s="29">
        <v>111</v>
      </c>
      <c r="U9" s="30">
        <v>0</v>
      </c>
      <c r="V9" s="30">
        <v>0</v>
      </c>
      <c r="W9" s="30">
        <v>0</v>
      </c>
      <c r="X9" s="31">
        <v>111</v>
      </c>
      <c r="Y9" s="29">
        <v>1009</v>
      </c>
      <c r="Z9" s="31">
        <v>230</v>
      </c>
      <c r="AA9" s="29">
        <v>993</v>
      </c>
      <c r="AB9" s="31">
        <v>241</v>
      </c>
      <c r="AC9" s="29">
        <v>991</v>
      </c>
      <c r="AD9">
        <v>257</v>
      </c>
      <c r="AE9" s="29">
        <v>32</v>
      </c>
      <c r="AF9" s="30">
        <v>19</v>
      </c>
      <c r="AG9" s="31">
        <v>89</v>
      </c>
      <c r="AH9" s="136">
        <v>-1.5857284440039643E-2</v>
      </c>
      <c r="AI9" s="33">
        <v>-1.7839444995044598E-2</v>
      </c>
      <c r="AJ9" s="33">
        <v>-2.014098690835851E-3</v>
      </c>
      <c r="AK9" s="33">
        <v>4.7826086956521741E-2</v>
      </c>
      <c r="AL9" s="33">
        <v>0.11739130434782609</v>
      </c>
      <c r="AM9" s="33">
        <v>6.6390041493775934E-2</v>
      </c>
      <c r="AN9" s="34">
        <v>4.4639639639639643</v>
      </c>
      <c r="AO9" s="33">
        <v>1.1576576576576576</v>
      </c>
      <c r="AP9" s="33">
        <v>8.5585585585585586E-2</v>
      </c>
      <c r="AQ9" s="33">
        <v>0.40090090090090091</v>
      </c>
      <c r="AR9" s="35">
        <v>5.128205128205128E-2</v>
      </c>
      <c r="AS9" s="251">
        <f t="shared" si="0"/>
        <v>0.54054054054054057</v>
      </c>
      <c r="AT9" s="252">
        <f t="shared" si="1"/>
        <v>4.0540540540540543E-2</v>
      </c>
      <c r="AU9" s="29">
        <v>248</v>
      </c>
      <c r="AV9" s="30">
        <v>222</v>
      </c>
      <c r="AW9" s="31">
        <v>234</v>
      </c>
      <c r="AX9" s="136">
        <v>-0.10483870967741936</v>
      </c>
      <c r="AY9" s="33">
        <v>-5.6451612903225805E-2</v>
      </c>
      <c r="AZ9" s="35">
        <v>5.4054054054054057E-2</v>
      </c>
      <c r="BA9" s="29">
        <v>53</v>
      </c>
      <c r="BB9" s="31">
        <v>44</v>
      </c>
      <c r="BC9" s="29">
        <v>9</v>
      </c>
      <c r="BD9" s="31">
        <v>7</v>
      </c>
      <c r="BE9" s="29">
        <v>613</v>
      </c>
      <c r="BF9" s="30">
        <v>991</v>
      </c>
      <c r="BG9" s="33">
        <v>0.6185671039354188</v>
      </c>
      <c r="BH9" s="30">
        <v>132</v>
      </c>
      <c r="BI9" s="30">
        <v>234</v>
      </c>
      <c r="BJ9" s="35">
        <v>0.5641025641025641</v>
      </c>
    </row>
    <row r="10" spans="1:62" x14ac:dyDescent="0.25">
      <c r="E10" t="s">
        <v>97</v>
      </c>
      <c r="F10" s="32">
        <v>240</v>
      </c>
      <c r="G10" s="29">
        <v>233</v>
      </c>
      <c r="H10" s="30">
        <v>0</v>
      </c>
      <c r="I10" s="30">
        <v>233</v>
      </c>
      <c r="J10" s="31">
        <v>0</v>
      </c>
      <c r="K10" s="29">
        <v>0</v>
      </c>
      <c r="L10" s="30">
        <v>1</v>
      </c>
      <c r="M10" s="30">
        <v>1</v>
      </c>
      <c r="N10" s="30">
        <v>0</v>
      </c>
      <c r="O10" s="30">
        <v>1</v>
      </c>
      <c r="P10" s="30">
        <v>0</v>
      </c>
      <c r="Q10" s="30">
        <v>0</v>
      </c>
      <c r="R10" s="31">
        <v>2</v>
      </c>
      <c r="S10" s="32">
        <v>11</v>
      </c>
      <c r="T10" s="29">
        <v>1</v>
      </c>
      <c r="U10" s="30">
        <v>0</v>
      </c>
      <c r="V10" s="30">
        <v>0</v>
      </c>
      <c r="W10" s="30">
        <v>1</v>
      </c>
      <c r="X10" s="31">
        <v>0</v>
      </c>
      <c r="Y10" s="29">
        <v>260</v>
      </c>
      <c r="Z10" s="31">
        <v>116</v>
      </c>
      <c r="AA10" s="29">
        <v>221</v>
      </c>
      <c r="AB10" s="31">
        <v>126</v>
      </c>
      <c r="AC10" s="29">
        <v>221</v>
      </c>
      <c r="AD10">
        <v>116</v>
      </c>
      <c r="AE10" s="29">
        <v>120</v>
      </c>
      <c r="AF10" s="30">
        <v>33</v>
      </c>
      <c r="AG10" s="31">
        <v>19</v>
      </c>
      <c r="AH10" s="136">
        <v>-0.15</v>
      </c>
      <c r="AI10" s="33">
        <v>-0.15</v>
      </c>
      <c r="AJ10" s="33">
        <v>0</v>
      </c>
      <c r="AK10" s="33">
        <v>8.6206896551724144E-2</v>
      </c>
      <c r="AL10" s="33">
        <v>0</v>
      </c>
      <c r="AM10" s="33">
        <v>-7.9365079365079361E-2</v>
      </c>
      <c r="AN10" s="34">
        <v>0.94849785407725318</v>
      </c>
      <c r="AO10" s="33">
        <v>0.4978540772532189</v>
      </c>
      <c r="AP10" s="33">
        <v>0.14163090128755365</v>
      </c>
      <c r="AQ10" s="33">
        <v>8.15450643776824E-2</v>
      </c>
      <c r="AR10" s="35">
        <v>8.5106382978723406E-3</v>
      </c>
      <c r="AS10" s="251">
        <f t="shared" si="0"/>
        <v>4.7210300429184553E-2</v>
      </c>
      <c r="AT10" s="252">
        <f t="shared" si="1"/>
        <v>4.2918454935622317E-2</v>
      </c>
      <c r="AU10" s="29">
        <v>105</v>
      </c>
      <c r="AV10" s="30">
        <v>83</v>
      </c>
      <c r="AW10" s="31">
        <v>122</v>
      </c>
      <c r="AX10" s="136">
        <v>-0.20952380952380953</v>
      </c>
      <c r="AY10" s="33">
        <v>0.16190476190476191</v>
      </c>
      <c r="AZ10" s="35">
        <v>0.46987951807228917</v>
      </c>
      <c r="BA10" s="29">
        <v>52</v>
      </c>
      <c r="BB10" s="31">
        <v>49</v>
      </c>
      <c r="BC10" s="29">
        <v>5</v>
      </c>
      <c r="BD10" s="31">
        <v>5</v>
      </c>
      <c r="BE10" s="29">
        <v>131</v>
      </c>
      <c r="BF10" s="30">
        <v>221</v>
      </c>
      <c r="BG10" s="33">
        <v>0.59276018099547512</v>
      </c>
      <c r="BH10" s="30">
        <v>75</v>
      </c>
      <c r="BI10" s="30">
        <v>122</v>
      </c>
      <c r="BJ10" s="35">
        <v>0.61475409836065575</v>
      </c>
    </row>
    <row r="11" spans="1:62" x14ac:dyDescent="0.25">
      <c r="A11" s="134"/>
      <c r="B11" s="134"/>
      <c r="C11" s="134"/>
      <c r="D11" s="134" t="s">
        <v>149</v>
      </c>
      <c r="E11" s="134"/>
      <c r="F11" s="25">
        <v>629</v>
      </c>
      <c r="G11" s="22">
        <v>586</v>
      </c>
      <c r="H11" s="23">
        <v>5</v>
      </c>
      <c r="I11" s="23">
        <v>591</v>
      </c>
      <c r="J11" s="24">
        <v>0</v>
      </c>
      <c r="K11" s="22">
        <v>0</v>
      </c>
      <c r="L11" s="23">
        <v>0</v>
      </c>
      <c r="M11" s="23">
        <v>2</v>
      </c>
      <c r="N11" s="23">
        <v>0</v>
      </c>
      <c r="O11" s="23">
        <v>0</v>
      </c>
      <c r="P11" s="23">
        <v>0</v>
      </c>
      <c r="Q11" s="23">
        <v>7</v>
      </c>
      <c r="R11" s="24">
        <v>23</v>
      </c>
      <c r="S11" s="25">
        <v>101</v>
      </c>
      <c r="T11" s="22">
        <v>68</v>
      </c>
      <c r="U11" s="23">
        <v>0</v>
      </c>
      <c r="V11" s="23">
        <v>5</v>
      </c>
      <c r="W11" s="23">
        <v>0</v>
      </c>
      <c r="X11" s="24">
        <v>63</v>
      </c>
      <c r="Y11" s="22">
        <v>1340</v>
      </c>
      <c r="Z11" s="24">
        <v>428</v>
      </c>
      <c r="AA11" s="22">
        <v>1607</v>
      </c>
      <c r="AB11" s="24">
        <v>433</v>
      </c>
      <c r="AC11" s="22">
        <v>1668</v>
      </c>
      <c r="AD11" s="134">
        <v>487</v>
      </c>
      <c r="AE11" s="22">
        <v>185</v>
      </c>
      <c r="AF11" s="23">
        <v>63</v>
      </c>
      <c r="AG11" s="24">
        <v>180</v>
      </c>
      <c r="AH11" s="135">
        <v>0.19925373134328359</v>
      </c>
      <c r="AI11" s="26">
        <v>0.24477611940298508</v>
      </c>
      <c r="AJ11" s="26">
        <v>3.7958929682638455E-2</v>
      </c>
      <c r="AK11" s="26">
        <v>1.1682242990654205E-2</v>
      </c>
      <c r="AL11" s="26">
        <v>0.13785046728971961</v>
      </c>
      <c r="AM11" s="26">
        <v>0.12471131639722864</v>
      </c>
      <c r="AN11" s="27">
        <v>2.8464163822525599</v>
      </c>
      <c r="AO11" s="26">
        <v>0.83105802047781574</v>
      </c>
      <c r="AP11" s="26">
        <v>0.10750853242320819</v>
      </c>
      <c r="AQ11" s="26">
        <v>0.30716723549488056</v>
      </c>
      <c r="AR11" s="28">
        <v>3.7766830870279149E-2</v>
      </c>
      <c r="AS11" s="249">
        <f t="shared" si="0"/>
        <v>0.17235494880546076</v>
      </c>
      <c r="AT11" s="250">
        <f t="shared" si="1"/>
        <v>5.6313993174061432E-2</v>
      </c>
      <c r="AU11" s="22">
        <v>377</v>
      </c>
      <c r="AV11" s="23">
        <v>406</v>
      </c>
      <c r="AW11" s="24">
        <v>411</v>
      </c>
      <c r="AX11" s="135">
        <v>7.6923076923076927E-2</v>
      </c>
      <c r="AY11" s="26">
        <v>9.0185676392572939E-2</v>
      </c>
      <c r="AZ11" s="28">
        <v>1.2315270935960592E-2</v>
      </c>
      <c r="BA11" s="22">
        <v>47</v>
      </c>
      <c r="BB11" s="24">
        <v>38</v>
      </c>
      <c r="BC11" s="22">
        <v>6</v>
      </c>
      <c r="BD11" s="24">
        <v>4</v>
      </c>
      <c r="BE11" s="22">
        <v>869</v>
      </c>
      <c r="BF11" s="23">
        <v>1668</v>
      </c>
      <c r="BG11" s="26">
        <v>0.52098321342925658</v>
      </c>
      <c r="BH11" s="23">
        <v>232</v>
      </c>
      <c r="BI11" s="23">
        <v>411</v>
      </c>
      <c r="BJ11" s="28">
        <v>0.56447688564476883</v>
      </c>
    </row>
    <row r="12" spans="1:62" x14ac:dyDescent="0.25">
      <c r="E12" t="s">
        <v>68</v>
      </c>
      <c r="F12" s="32">
        <v>512</v>
      </c>
      <c r="G12" s="29">
        <v>492</v>
      </c>
      <c r="H12" s="30">
        <v>2</v>
      </c>
      <c r="I12" s="30">
        <v>494</v>
      </c>
      <c r="J12" s="31">
        <v>0</v>
      </c>
      <c r="K12" s="29">
        <v>0</v>
      </c>
      <c r="L12" s="30">
        <v>0</v>
      </c>
      <c r="M12" s="30">
        <v>1</v>
      </c>
      <c r="N12" s="30">
        <v>0</v>
      </c>
      <c r="O12" s="30">
        <v>0</v>
      </c>
      <c r="P12" s="30">
        <v>0</v>
      </c>
      <c r="Q12" s="30">
        <v>7</v>
      </c>
      <c r="R12" s="31">
        <v>9</v>
      </c>
      <c r="S12" s="32">
        <v>45</v>
      </c>
      <c r="T12" s="29">
        <v>5</v>
      </c>
      <c r="U12" s="30">
        <v>0</v>
      </c>
      <c r="V12" s="30">
        <v>5</v>
      </c>
      <c r="W12" s="30">
        <v>0</v>
      </c>
      <c r="X12" s="31">
        <v>0</v>
      </c>
      <c r="Y12" s="29">
        <v>908</v>
      </c>
      <c r="Z12" s="31">
        <v>329</v>
      </c>
      <c r="AA12" s="29">
        <v>1004</v>
      </c>
      <c r="AB12" s="31">
        <v>328</v>
      </c>
      <c r="AC12" s="29">
        <v>1070</v>
      </c>
      <c r="AD12">
        <v>350</v>
      </c>
      <c r="AE12" s="29">
        <v>156</v>
      </c>
      <c r="AF12" s="30">
        <v>45</v>
      </c>
      <c r="AG12" s="31">
        <v>120</v>
      </c>
      <c r="AH12" s="136">
        <v>0.10572687224669604</v>
      </c>
      <c r="AI12" s="33">
        <v>0.17841409691629956</v>
      </c>
      <c r="AJ12" s="33">
        <v>6.5737051792828682E-2</v>
      </c>
      <c r="AK12" s="33">
        <v>-3.0395136778115501E-3</v>
      </c>
      <c r="AL12" s="33">
        <v>6.3829787234042548E-2</v>
      </c>
      <c r="AM12" s="33">
        <v>6.7073170731707321E-2</v>
      </c>
      <c r="AN12" s="34">
        <v>2.1747967479674797</v>
      </c>
      <c r="AO12" s="33">
        <v>0.71138211382113825</v>
      </c>
      <c r="AP12" s="33">
        <v>9.1463414634146339E-2</v>
      </c>
      <c r="AQ12" s="33">
        <v>0.24390243902439024</v>
      </c>
      <c r="AR12" s="35">
        <v>1.7964071856287425E-2</v>
      </c>
      <c r="AS12" s="251">
        <f t="shared" si="0"/>
        <v>9.1463414634146339E-2</v>
      </c>
      <c r="AT12" s="252">
        <f t="shared" si="1"/>
        <v>8.1300813008130079E-2</v>
      </c>
      <c r="AU12" s="29">
        <v>325</v>
      </c>
      <c r="AV12" s="30">
        <v>349</v>
      </c>
      <c r="AW12" s="31">
        <v>348</v>
      </c>
      <c r="AX12" s="136">
        <v>7.3846153846153853E-2</v>
      </c>
      <c r="AY12" s="33">
        <v>7.0769230769230765E-2</v>
      </c>
      <c r="AZ12" s="35">
        <v>-2.8653295128939827E-3</v>
      </c>
      <c r="BA12" s="29">
        <v>43</v>
      </c>
      <c r="BB12" s="31">
        <v>37</v>
      </c>
      <c r="BC12" s="29">
        <v>5</v>
      </c>
      <c r="BD12" s="31">
        <v>3</v>
      </c>
      <c r="BE12" s="29">
        <v>615</v>
      </c>
      <c r="BF12" s="30">
        <v>1070</v>
      </c>
      <c r="BG12" s="33">
        <v>0.57476635514018692</v>
      </c>
      <c r="BH12" s="30">
        <v>201</v>
      </c>
      <c r="BI12" s="30">
        <v>348</v>
      </c>
      <c r="BJ12" s="35">
        <v>0.57758620689655171</v>
      </c>
    </row>
    <row r="13" spans="1:62" x14ac:dyDescent="0.25">
      <c r="E13" t="s">
        <v>148</v>
      </c>
      <c r="F13" s="32">
        <v>116</v>
      </c>
      <c r="G13" s="29">
        <v>93</v>
      </c>
      <c r="H13" s="30">
        <v>3</v>
      </c>
      <c r="I13" s="30">
        <v>96</v>
      </c>
      <c r="J13" s="31">
        <v>0</v>
      </c>
      <c r="K13" s="29">
        <v>0</v>
      </c>
      <c r="L13" s="30">
        <v>0</v>
      </c>
      <c r="M13" s="30">
        <v>1</v>
      </c>
      <c r="N13" s="30">
        <v>0</v>
      </c>
      <c r="O13" s="30">
        <v>0</v>
      </c>
      <c r="P13" s="30">
        <v>0</v>
      </c>
      <c r="Q13" s="30">
        <v>0</v>
      </c>
      <c r="R13" s="31">
        <v>14</v>
      </c>
      <c r="S13" s="32">
        <v>56</v>
      </c>
      <c r="T13" s="29">
        <v>63</v>
      </c>
      <c r="U13" s="30">
        <v>0</v>
      </c>
      <c r="V13" s="30">
        <v>0</v>
      </c>
      <c r="W13" s="30">
        <v>0</v>
      </c>
      <c r="X13" s="31">
        <v>63</v>
      </c>
      <c r="Y13" s="29">
        <v>430</v>
      </c>
      <c r="Z13" s="31">
        <v>97</v>
      </c>
      <c r="AA13" s="29">
        <v>592</v>
      </c>
      <c r="AB13" s="31">
        <v>95</v>
      </c>
      <c r="AC13" s="29">
        <v>576</v>
      </c>
      <c r="AD13">
        <v>124</v>
      </c>
      <c r="AE13" s="29">
        <v>28</v>
      </c>
      <c r="AF13" s="30">
        <v>18</v>
      </c>
      <c r="AG13" s="31">
        <v>60</v>
      </c>
      <c r="AH13" s="136">
        <v>0.37674418604651161</v>
      </c>
      <c r="AI13" s="33">
        <v>0.33953488372093021</v>
      </c>
      <c r="AJ13" s="33">
        <v>-2.7027027027027029E-2</v>
      </c>
      <c r="AK13" s="33">
        <v>-2.0618556701030927E-2</v>
      </c>
      <c r="AL13" s="33">
        <v>0.27835051546391754</v>
      </c>
      <c r="AM13" s="33">
        <v>0.30526315789473685</v>
      </c>
      <c r="AN13" s="34">
        <v>6.193548387096774</v>
      </c>
      <c r="AO13" s="33">
        <v>1.3333333333333333</v>
      </c>
      <c r="AP13" s="33">
        <v>0.19354838709677419</v>
      </c>
      <c r="AQ13" s="33">
        <v>0.64516129032258063</v>
      </c>
      <c r="AR13" s="35">
        <v>0.13084112149532709</v>
      </c>
      <c r="AS13" s="251">
        <f t="shared" si="0"/>
        <v>0.60215053763440862</v>
      </c>
      <c r="AT13" s="252">
        <f t="shared" si="1"/>
        <v>-7.5268817204301078E-2</v>
      </c>
      <c r="AU13" s="29">
        <v>102</v>
      </c>
      <c r="AV13" s="30">
        <v>118</v>
      </c>
      <c r="AW13" s="31">
        <v>126</v>
      </c>
      <c r="AX13" s="136">
        <v>0.15686274509803921</v>
      </c>
      <c r="AY13" s="33">
        <v>0.23529411764705882</v>
      </c>
      <c r="AZ13" s="35">
        <v>6.7796610169491525E-2</v>
      </c>
      <c r="BA13" s="29">
        <v>55</v>
      </c>
      <c r="BB13" s="31">
        <v>49</v>
      </c>
      <c r="BC13" s="29">
        <v>10</v>
      </c>
      <c r="BD13" s="31">
        <v>6.5</v>
      </c>
      <c r="BE13" s="29">
        <v>240</v>
      </c>
      <c r="BF13" s="30">
        <v>576</v>
      </c>
      <c r="BG13" s="33">
        <v>0.41666666666666669</v>
      </c>
      <c r="BH13" s="30">
        <v>62</v>
      </c>
      <c r="BI13" s="30">
        <v>126</v>
      </c>
      <c r="BJ13" s="35">
        <v>0.49206349206349204</v>
      </c>
    </row>
    <row r="14" spans="1:62" x14ac:dyDescent="0.25">
      <c r="A14" s="132"/>
      <c r="B14" s="132"/>
      <c r="C14" s="132" t="s">
        <v>150</v>
      </c>
      <c r="D14" s="132"/>
      <c r="E14" s="132"/>
      <c r="F14" s="18">
        <v>9169</v>
      </c>
      <c r="G14" s="15">
        <v>8607</v>
      </c>
      <c r="H14" s="16">
        <v>9</v>
      </c>
      <c r="I14" s="16">
        <v>7986</v>
      </c>
      <c r="J14" s="17">
        <v>630</v>
      </c>
      <c r="K14" s="15">
        <v>0</v>
      </c>
      <c r="L14" s="16">
        <v>38</v>
      </c>
      <c r="M14" s="16">
        <v>55</v>
      </c>
      <c r="N14" s="16">
        <v>46</v>
      </c>
      <c r="O14" s="16">
        <v>86</v>
      </c>
      <c r="P14" s="16">
        <v>1</v>
      </c>
      <c r="Q14" s="16">
        <v>40</v>
      </c>
      <c r="R14" s="17">
        <v>281</v>
      </c>
      <c r="S14" s="18">
        <v>871</v>
      </c>
      <c r="T14" s="15">
        <v>588</v>
      </c>
      <c r="U14" s="16">
        <v>3</v>
      </c>
      <c r="V14" s="16">
        <v>25</v>
      </c>
      <c r="W14" s="16">
        <v>23</v>
      </c>
      <c r="X14" s="17">
        <v>537</v>
      </c>
      <c r="Y14" s="15">
        <v>21937</v>
      </c>
      <c r="Z14" s="17">
        <v>6394</v>
      </c>
      <c r="AA14" s="15">
        <v>21960</v>
      </c>
      <c r="AB14" s="17">
        <v>6452</v>
      </c>
      <c r="AC14" s="15">
        <v>22437</v>
      </c>
      <c r="AD14" s="132">
        <v>6493</v>
      </c>
      <c r="AE14" s="15">
        <v>2695</v>
      </c>
      <c r="AF14" s="16">
        <v>896</v>
      </c>
      <c r="AG14" s="17">
        <v>1609</v>
      </c>
      <c r="AH14" s="133">
        <v>1.0484569448876327E-3</v>
      </c>
      <c r="AI14" s="19">
        <v>2.2792542280165931E-2</v>
      </c>
      <c r="AJ14" s="19">
        <v>2.1721311475409837E-2</v>
      </c>
      <c r="AK14" s="19">
        <v>9.0710040663121681E-3</v>
      </c>
      <c r="AL14" s="19">
        <v>1.5483265561463873E-2</v>
      </c>
      <c r="AM14" s="19">
        <v>6.3546187228766277E-3</v>
      </c>
      <c r="AN14" s="20">
        <v>2.6068316486580692</v>
      </c>
      <c r="AO14" s="19">
        <v>0.75438596491228072</v>
      </c>
      <c r="AP14" s="19">
        <v>0.10410131288486116</v>
      </c>
      <c r="AQ14" s="19">
        <v>0.18694086208899732</v>
      </c>
      <c r="AR14" s="21">
        <v>3.1615661566156618E-2</v>
      </c>
      <c r="AS14" s="247">
        <f t="shared" si="0"/>
        <v>0.10119670036017195</v>
      </c>
      <c r="AT14" s="248">
        <f t="shared" si="1"/>
        <v>3.2880213779481818E-2</v>
      </c>
      <c r="AU14" s="15">
        <v>1536</v>
      </c>
      <c r="AV14" s="16">
        <v>1517</v>
      </c>
      <c r="AW14" s="17">
        <v>1592</v>
      </c>
      <c r="AX14" s="133">
        <v>-1.2369791666666666E-2</v>
      </c>
      <c r="AY14" s="19">
        <v>3.6458333333333336E-2</v>
      </c>
      <c r="AZ14" s="21">
        <v>4.9439683586025046E-2</v>
      </c>
      <c r="BA14" s="15">
        <v>37</v>
      </c>
      <c r="BB14" s="17">
        <v>29</v>
      </c>
      <c r="BC14" s="15">
        <v>4</v>
      </c>
      <c r="BD14" s="17">
        <v>3</v>
      </c>
      <c r="BE14" s="15">
        <v>12503</v>
      </c>
      <c r="BF14" s="16">
        <v>22440</v>
      </c>
      <c r="BG14" s="19">
        <v>0.55717468805704096</v>
      </c>
      <c r="BH14" s="16">
        <v>924</v>
      </c>
      <c r="BI14" s="16">
        <v>1592</v>
      </c>
      <c r="BJ14" s="21">
        <v>0.58040201005025127</v>
      </c>
    </row>
    <row r="15" spans="1:62" x14ac:dyDescent="0.25">
      <c r="A15" s="134"/>
      <c r="B15" s="134"/>
      <c r="C15" s="134"/>
      <c r="D15" s="134" t="s">
        <v>151</v>
      </c>
      <c r="E15" s="134"/>
      <c r="F15" s="25">
        <v>3437</v>
      </c>
      <c r="G15" s="22">
        <v>3221</v>
      </c>
      <c r="H15" s="23">
        <v>9</v>
      </c>
      <c r="I15" s="23">
        <v>3113</v>
      </c>
      <c r="J15" s="24">
        <v>117</v>
      </c>
      <c r="K15" s="22">
        <v>0</v>
      </c>
      <c r="L15" s="23">
        <v>13</v>
      </c>
      <c r="M15" s="23">
        <v>18</v>
      </c>
      <c r="N15" s="23">
        <v>29</v>
      </c>
      <c r="O15" s="23">
        <v>63</v>
      </c>
      <c r="P15" s="23">
        <v>0</v>
      </c>
      <c r="Q15" s="23">
        <v>17</v>
      </c>
      <c r="R15" s="24">
        <v>66</v>
      </c>
      <c r="S15" s="25">
        <v>358</v>
      </c>
      <c r="T15" s="22">
        <v>393</v>
      </c>
      <c r="U15" s="23">
        <v>1</v>
      </c>
      <c r="V15" s="23">
        <v>12</v>
      </c>
      <c r="W15" s="23">
        <v>11</v>
      </c>
      <c r="X15" s="24">
        <v>369</v>
      </c>
      <c r="Y15" s="22">
        <v>7353</v>
      </c>
      <c r="Z15" s="24">
        <v>2442</v>
      </c>
      <c r="AA15" s="22">
        <v>6703</v>
      </c>
      <c r="AB15" s="24">
        <v>2311</v>
      </c>
      <c r="AC15" s="22">
        <v>6559</v>
      </c>
      <c r="AD15" s="134">
        <v>2284</v>
      </c>
      <c r="AE15" s="22">
        <v>1201</v>
      </c>
      <c r="AF15" s="23">
        <v>267</v>
      </c>
      <c r="AG15" s="24">
        <v>550</v>
      </c>
      <c r="AH15" s="135">
        <v>-8.8399292805657559E-2</v>
      </c>
      <c r="AI15" s="26">
        <v>-0.10798313613491092</v>
      </c>
      <c r="AJ15" s="26">
        <v>-2.1482918096374759E-2</v>
      </c>
      <c r="AK15" s="26">
        <v>-5.3644553644553644E-2</v>
      </c>
      <c r="AL15" s="26">
        <v>-6.4701064701064695E-2</v>
      </c>
      <c r="AM15" s="26">
        <v>-1.1683254002596278E-2</v>
      </c>
      <c r="AN15" s="27">
        <v>2.0363241229431854</v>
      </c>
      <c r="AO15" s="26">
        <v>0.70909655386525927</v>
      </c>
      <c r="AP15" s="26">
        <v>8.2893511331884509E-2</v>
      </c>
      <c r="AQ15" s="26">
        <v>0.17075442409189692</v>
      </c>
      <c r="AR15" s="28">
        <v>2.0079099482811075E-2</v>
      </c>
      <c r="AS15" s="249">
        <f t="shared" si="0"/>
        <v>0.111145606954362</v>
      </c>
      <c r="AT15" s="250">
        <f t="shared" si="1"/>
        <v>-1.0866190624029805E-2</v>
      </c>
      <c r="AU15" s="22">
        <v>925</v>
      </c>
      <c r="AV15" s="23">
        <v>870</v>
      </c>
      <c r="AW15" s="24">
        <v>837</v>
      </c>
      <c r="AX15" s="135">
        <v>-5.9459459459459463E-2</v>
      </c>
      <c r="AY15" s="26">
        <v>-9.5135135135135135E-2</v>
      </c>
      <c r="AZ15" s="28">
        <v>-3.793103448275862E-2</v>
      </c>
      <c r="BA15" s="22">
        <v>42</v>
      </c>
      <c r="BB15" s="24">
        <v>37</v>
      </c>
      <c r="BC15" s="22">
        <v>6</v>
      </c>
      <c r="BD15" s="24">
        <v>3</v>
      </c>
      <c r="BE15" s="22">
        <v>3524</v>
      </c>
      <c r="BF15" s="23">
        <v>6562</v>
      </c>
      <c r="BG15" s="26">
        <v>0.53703139286802803</v>
      </c>
      <c r="BH15" s="23">
        <v>444</v>
      </c>
      <c r="BI15" s="23">
        <v>837</v>
      </c>
      <c r="BJ15" s="28">
        <v>0.53046594982078854</v>
      </c>
    </row>
    <row r="16" spans="1:62" x14ac:dyDescent="0.25">
      <c r="E16" t="s">
        <v>68</v>
      </c>
      <c r="F16" s="32">
        <v>3355</v>
      </c>
      <c r="G16" s="29">
        <v>3154</v>
      </c>
      <c r="H16" s="30">
        <v>0</v>
      </c>
      <c r="I16" s="30">
        <v>3037</v>
      </c>
      <c r="J16" s="31">
        <v>117</v>
      </c>
      <c r="K16" s="29">
        <v>0</v>
      </c>
      <c r="L16" s="30">
        <v>13</v>
      </c>
      <c r="M16" s="30">
        <v>12</v>
      </c>
      <c r="N16" s="30">
        <v>29</v>
      </c>
      <c r="O16" s="30">
        <v>63</v>
      </c>
      <c r="P16" s="30">
        <v>0</v>
      </c>
      <c r="Q16" s="30">
        <v>17</v>
      </c>
      <c r="R16" s="31">
        <v>66</v>
      </c>
      <c r="S16" s="32">
        <v>293</v>
      </c>
      <c r="T16" s="29">
        <v>318</v>
      </c>
      <c r="U16" s="30">
        <v>1</v>
      </c>
      <c r="V16" s="30">
        <v>12</v>
      </c>
      <c r="W16" s="30">
        <v>5</v>
      </c>
      <c r="X16" s="31">
        <v>300</v>
      </c>
      <c r="Y16" s="29">
        <v>7121</v>
      </c>
      <c r="Z16" s="31">
        <v>2360</v>
      </c>
      <c r="AA16" s="29">
        <v>6475</v>
      </c>
      <c r="AB16" s="31">
        <v>2225</v>
      </c>
      <c r="AC16" s="29">
        <v>6299</v>
      </c>
      <c r="AD16">
        <v>2192</v>
      </c>
      <c r="AE16" s="29">
        <v>1180</v>
      </c>
      <c r="AF16" s="30">
        <v>251</v>
      </c>
      <c r="AG16" s="31">
        <v>530</v>
      </c>
      <c r="AH16" s="136">
        <v>-9.0717595843280444E-2</v>
      </c>
      <c r="AI16" s="33">
        <v>-0.11543322567055189</v>
      </c>
      <c r="AJ16" s="33">
        <v>-2.7181467181467182E-2</v>
      </c>
      <c r="AK16" s="33">
        <v>-5.7203389830508475E-2</v>
      </c>
      <c r="AL16" s="33">
        <v>-7.1186440677966104E-2</v>
      </c>
      <c r="AM16" s="33">
        <v>-1.4831460674157304E-2</v>
      </c>
      <c r="AN16" s="34">
        <v>1.9971464806594801</v>
      </c>
      <c r="AO16" s="33">
        <v>0.69499048826886489</v>
      </c>
      <c r="AP16" s="33">
        <v>7.9581483830057073E-2</v>
      </c>
      <c r="AQ16" s="33">
        <v>0.16804058338617628</v>
      </c>
      <c r="AR16" s="35">
        <v>2.0496894409937887E-2</v>
      </c>
      <c r="AS16" s="251">
        <f t="shared" si="0"/>
        <v>9.2897907419150286E-2</v>
      </c>
      <c r="AT16" s="252">
        <f t="shared" si="1"/>
        <v>-7.9264426125554843E-3</v>
      </c>
      <c r="AU16" s="29">
        <v>906</v>
      </c>
      <c r="AV16" s="30">
        <v>851</v>
      </c>
      <c r="AW16" s="31">
        <v>814</v>
      </c>
      <c r="AX16" s="136">
        <v>-6.0706401766004413E-2</v>
      </c>
      <c r="AY16" s="33">
        <v>-0.10154525386313466</v>
      </c>
      <c r="AZ16" s="35">
        <v>-4.3478260869565216E-2</v>
      </c>
      <c r="BA16" s="29">
        <v>42</v>
      </c>
      <c r="BB16" s="31">
        <v>37</v>
      </c>
      <c r="BC16" s="29">
        <v>5</v>
      </c>
      <c r="BD16" s="31">
        <v>3.5</v>
      </c>
      <c r="BE16" s="29">
        <v>3379</v>
      </c>
      <c r="BF16" s="30">
        <v>6299</v>
      </c>
      <c r="BG16" s="33">
        <v>0.53643435465946976</v>
      </c>
      <c r="BH16" s="30">
        <v>429</v>
      </c>
      <c r="BI16" s="30">
        <v>814</v>
      </c>
      <c r="BJ16" s="35">
        <v>0.52702702702702697</v>
      </c>
    </row>
    <row r="17" spans="1:62" x14ac:dyDescent="0.25">
      <c r="E17" t="s">
        <v>148</v>
      </c>
      <c r="F17" s="32">
        <v>82</v>
      </c>
      <c r="G17" s="29">
        <v>67</v>
      </c>
      <c r="H17" s="30">
        <v>9</v>
      </c>
      <c r="I17" s="30">
        <v>76</v>
      </c>
      <c r="J17" s="31">
        <v>0</v>
      </c>
      <c r="K17" s="29">
        <v>0</v>
      </c>
      <c r="L17" s="30">
        <v>0</v>
      </c>
      <c r="M17" s="30">
        <v>6</v>
      </c>
      <c r="N17" s="30">
        <v>0</v>
      </c>
      <c r="O17" s="30">
        <v>0</v>
      </c>
      <c r="P17" s="30">
        <v>0</v>
      </c>
      <c r="Q17" s="30">
        <v>0</v>
      </c>
      <c r="R17" s="31">
        <v>0</v>
      </c>
      <c r="S17" s="32">
        <v>65</v>
      </c>
      <c r="T17" s="29">
        <v>75</v>
      </c>
      <c r="U17" s="30">
        <v>0</v>
      </c>
      <c r="V17" s="30">
        <v>0</v>
      </c>
      <c r="W17" s="30">
        <v>6</v>
      </c>
      <c r="X17" s="31">
        <v>69</v>
      </c>
      <c r="Y17" s="29">
        <v>232</v>
      </c>
      <c r="Z17" s="31">
        <v>82</v>
      </c>
      <c r="AA17" s="29">
        <v>228</v>
      </c>
      <c r="AB17" s="31">
        <v>86</v>
      </c>
      <c r="AC17" s="29">
        <v>260</v>
      </c>
      <c r="AD17">
        <v>92</v>
      </c>
      <c r="AE17" s="29">
        <v>21</v>
      </c>
      <c r="AF17" s="30">
        <v>16</v>
      </c>
      <c r="AG17" s="31">
        <v>20</v>
      </c>
      <c r="AH17" s="136">
        <v>-1.7241379310344827E-2</v>
      </c>
      <c r="AI17" s="33">
        <v>0.1206896551724138</v>
      </c>
      <c r="AJ17" s="33">
        <v>0.14035087719298245</v>
      </c>
      <c r="AK17" s="33">
        <v>4.878048780487805E-2</v>
      </c>
      <c r="AL17" s="33">
        <v>0.12195121951219512</v>
      </c>
      <c r="AM17" s="33">
        <v>6.9767441860465115E-2</v>
      </c>
      <c r="AN17" s="34">
        <v>3.8805970149253732</v>
      </c>
      <c r="AO17" s="33">
        <v>1.3731343283582089</v>
      </c>
      <c r="AP17" s="33">
        <v>0.23880597014925373</v>
      </c>
      <c r="AQ17" s="33">
        <v>0.29850746268656714</v>
      </c>
      <c r="AR17" s="35">
        <v>0</v>
      </c>
      <c r="AS17" s="251">
        <f t="shared" si="0"/>
        <v>0.97014925373134331</v>
      </c>
      <c r="AT17" s="252">
        <f t="shared" si="1"/>
        <v>-0.14925373134328357</v>
      </c>
      <c r="AU17" s="29">
        <v>76</v>
      </c>
      <c r="AV17" s="30">
        <v>71</v>
      </c>
      <c r="AW17" s="31">
        <v>75</v>
      </c>
      <c r="AX17" s="136">
        <v>-6.5789473684210523E-2</v>
      </c>
      <c r="AY17" s="33">
        <v>-1.3157894736842105E-2</v>
      </c>
      <c r="AZ17" s="35">
        <v>5.6338028169014086E-2</v>
      </c>
      <c r="BA17" s="29">
        <v>46</v>
      </c>
      <c r="BB17" s="31">
        <v>40</v>
      </c>
      <c r="BC17" s="29">
        <v>9</v>
      </c>
      <c r="BD17" s="31">
        <v>6</v>
      </c>
      <c r="BE17" s="29">
        <v>144</v>
      </c>
      <c r="BF17" s="30">
        <v>260</v>
      </c>
      <c r="BG17" s="33">
        <v>0.55384615384615388</v>
      </c>
      <c r="BH17" s="30">
        <v>43</v>
      </c>
      <c r="BI17" s="30">
        <v>75</v>
      </c>
      <c r="BJ17" s="35">
        <v>0.57333333333333336</v>
      </c>
    </row>
    <row r="18" spans="1:62" x14ac:dyDescent="0.25">
      <c r="A18" s="134"/>
      <c r="B18" s="134"/>
      <c r="C18" s="134"/>
      <c r="D18" s="134" t="s">
        <v>152</v>
      </c>
      <c r="E18" s="134"/>
      <c r="F18" s="25">
        <v>186</v>
      </c>
      <c r="G18" s="22">
        <v>180</v>
      </c>
      <c r="H18" s="23">
        <v>0</v>
      </c>
      <c r="I18" s="23">
        <v>180</v>
      </c>
      <c r="J18" s="24">
        <v>0</v>
      </c>
      <c r="K18" s="22">
        <v>0</v>
      </c>
      <c r="L18" s="23">
        <v>0</v>
      </c>
      <c r="M18" s="23">
        <v>0</v>
      </c>
      <c r="N18" s="23">
        <v>1</v>
      </c>
      <c r="O18" s="23">
        <v>3</v>
      </c>
      <c r="P18" s="23">
        <v>0</v>
      </c>
      <c r="Q18" s="23">
        <v>1</v>
      </c>
      <c r="R18" s="24">
        <v>1</v>
      </c>
      <c r="S18" s="25">
        <v>4</v>
      </c>
      <c r="T18" s="22">
        <v>1</v>
      </c>
      <c r="U18" s="23">
        <v>0</v>
      </c>
      <c r="V18" s="23">
        <v>1</v>
      </c>
      <c r="W18" s="23">
        <v>0</v>
      </c>
      <c r="X18" s="24">
        <v>0</v>
      </c>
      <c r="Y18" s="22">
        <v>125</v>
      </c>
      <c r="Z18" s="24">
        <v>77</v>
      </c>
      <c r="AA18" s="22">
        <v>140</v>
      </c>
      <c r="AB18" s="24">
        <v>78</v>
      </c>
      <c r="AC18" s="22">
        <v>124</v>
      </c>
      <c r="AD18" s="134">
        <v>63</v>
      </c>
      <c r="AE18" s="22">
        <v>121</v>
      </c>
      <c r="AF18" s="23">
        <v>54</v>
      </c>
      <c r="AG18" s="24">
        <v>5</v>
      </c>
      <c r="AH18" s="135">
        <v>0.12</v>
      </c>
      <c r="AI18" s="26">
        <v>-8.0000000000000002E-3</v>
      </c>
      <c r="AJ18" s="26">
        <v>-0.11428571428571428</v>
      </c>
      <c r="AK18" s="26">
        <v>1.2987012987012988E-2</v>
      </c>
      <c r="AL18" s="26">
        <v>-0.18181818181818182</v>
      </c>
      <c r="AM18" s="26">
        <v>-0.19230769230769232</v>
      </c>
      <c r="AN18" s="27">
        <v>0.68888888888888888</v>
      </c>
      <c r="AO18" s="26">
        <v>0.35</v>
      </c>
      <c r="AP18" s="26">
        <v>0.3</v>
      </c>
      <c r="AQ18" s="26">
        <v>2.7777777777777776E-2</v>
      </c>
      <c r="AR18" s="28">
        <v>5.5248618784530384E-3</v>
      </c>
      <c r="AS18" s="249">
        <f t="shared" si="0"/>
        <v>2.2222222222222223E-2</v>
      </c>
      <c r="AT18" s="250">
        <f t="shared" si="1"/>
        <v>1.6666666666666666E-2</v>
      </c>
      <c r="AU18" s="22">
        <v>76</v>
      </c>
      <c r="AV18" s="23">
        <v>83</v>
      </c>
      <c r="AW18" s="24">
        <v>69</v>
      </c>
      <c r="AX18" s="135">
        <v>9.2105263157894732E-2</v>
      </c>
      <c r="AY18" s="26">
        <v>-9.2105263157894732E-2</v>
      </c>
      <c r="AZ18" s="28">
        <v>-0.16867469879518071</v>
      </c>
      <c r="BA18" s="22">
        <v>43</v>
      </c>
      <c r="BB18" s="24">
        <v>38</v>
      </c>
      <c r="BC18" s="22">
        <v>5</v>
      </c>
      <c r="BD18" s="24">
        <v>4</v>
      </c>
      <c r="BE18" s="22">
        <v>77</v>
      </c>
      <c r="BF18" s="23">
        <v>124</v>
      </c>
      <c r="BG18" s="26">
        <v>0.62096774193548387</v>
      </c>
      <c r="BH18" s="23">
        <v>39</v>
      </c>
      <c r="BI18" s="23">
        <v>69</v>
      </c>
      <c r="BJ18" s="28">
        <v>0.56521739130434778</v>
      </c>
    </row>
    <row r="19" spans="1:62" x14ac:dyDescent="0.25">
      <c r="E19" t="s">
        <v>68</v>
      </c>
      <c r="F19" s="32">
        <v>140</v>
      </c>
      <c r="G19" s="29">
        <v>134</v>
      </c>
      <c r="H19" s="30">
        <v>0</v>
      </c>
      <c r="I19" s="30">
        <v>134</v>
      </c>
      <c r="J19" s="31">
        <v>0</v>
      </c>
      <c r="K19" s="29">
        <v>0</v>
      </c>
      <c r="L19" s="30">
        <v>0</v>
      </c>
      <c r="M19" s="30">
        <v>0</v>
      </c>
      <c r="N19" s="30">
        <v>1</v>
      </c>
      <c r="O19" s="30">
        <v>3</v>
      </c>
      <c r="P19" s="30">
        <v>0</v>
      </c>
      <c r="Q19" s="30">
        <v>1</v>
      </c>
      <c r="R19" s="31">
        <v>1</v>
      </c>
      <c r="S19" s="32">
        <v>2</v>
      </c>
      <c r="T19" s="29">
        <v>1</v>
      </c>
      <c r="U19" s="30">
        <v>0</v>
      </c>
      <c r="V19" s="30">
        <v>1</v>
      </c>
      <c r="W19" s="30">
        <v>0</v>
      </c>
      <c r="X19" s="31">
        <v>0</v>
      </c>
      <c r="Y19" s="29">
        <v>107</v>
      </c>
      <c r="Z19" s="31">
        <v>63</v>
      </c>
      <c r="AA19" s="29">
        <v>117</v>
      </c>
      <c r="AB19" s="31">
        <v>61</v>
      </c>
      <c r="AC19" s="29">
        <v>112</v>
      </c>
      <c r="AD19">
        <v>54</v>
      </c>
      <c r="AE19" s="29">
        <v>84</v>
      </c>
      <c r="AF19" s="30">
        <v>36</v>
      </c>
      <c r="AG19" s="31">
        <v>5</v>
      </c>
      <c r="AH19" s="136">
        <v>9.3457943925233641E-2</v>
      </c>
      <c r="AI19" s="33">
        <v>4.6728971962616821E-2</v>
      </c>
      <c r="AJ19" s="33">
        <v>-4.2735042735042736E-2</v>
      </c>
      <c r="AK19" s="33">
        <v>-3.1746031746031744E-2</v>
      </c>
      <c r="AL19" s="33">
        <v>-0.14285714285714285</v>
      </c>
      <c r="AM19" s="33">
        <v>-0.11475409836065574</v>
      </c>
      <c r="AN19" s="34">
        <v>0.83582089552238803</v>
      </c>
      <c r="AO19" s="33">
        <v>0.40298507462686567</v>
      </c>
      <c r="AP19" s="33">
        <v>0.26865671641791045</v>
      </c>
      <c r="AQ19" s="33">
        <v>3.7313432835820892E-2</v>
      </c>
      <c r="AR19" s="35">
        <v>7.4074074074074077E-3</v>
      </c>
      <c r="AS19" s="251">
        <f t="shared" si="0"/>
        <v>1.4925373134328358E-2</v>
      </c>
      <c r="AT19" s="252">
        <f t="shared" si="1"/>
        <v>7.462686567164179E-3</v>
      </c>
      <c r="AU19" s="29">
        <v>68</v>
      </c>
      <c r="AV19" s="30">
        <v>77</v>
      </c>
      <c r="AW19" s="31">
        <v>64</v>
      </c>
      <c r="AX19" s="136">
        <v>0.13235294117647059</v>
      </c>
      <c r="AY19" s="33">
        <v>-5.8823529411764705E-2</v>
      </c>
      <c r="AZ19" s="35">
        <v>-0.16883116883116883</v>
      </c>
      <c r="BA19" s="29">
        <v>43</v>
      </c>
      <c r="BB19" s="31">
        <v>37</v>
      </c>
      <c r="BC19" s="29">
        <v>5</v>
      </c>
      <c r="BD19" s="31">
        <v>3.5</v>
      </c>
      <c r="BE19" s="29">
        <v>68</v>
      </c>
      <c r="BF19" s="30">
        <v>112</v>
      </c>
      <c r="BG19" s="33">
        <v>0.6071428571428571</v>
      </c>
      <c r="BH19" s="30">
        <v>36</v>
      </c>
      <c r="BI19" s="30">
        <v>64</v>
      </c>
      <c r="BJ19" s="35">
        <v>0.5625</v>
      </c>
    </row>
    <row r="20" spans="1:62" x14ac:dyDescent="0.25">
      <c r="E20" t="s">
        <v>97</v>
      </c>
      <c r="F20" s="32">
        <v>46</v>
      </c>
      <c r="G20" s="29">
        <v>46</v>
      </c>
      <c r="H20" s="30">
        <v>0</v>
      </c>
      <c r="I20" s="30">
        <v>46</v>
      </c>
      <c r="J20" s="31">
        <v>0</v>
      </c>
      <c r="K20" s="29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1">
        <v>0</v>
      </c>
      <c r="S20" s="32">
        <v>2</v>
      </c>
      <c r="T20" s="29"/>
      <c r="U20" s="30"/>
      <c r="V20" s="30"/>
      <c r="W20" s="30"/>
      <c r="X20" s="31"/>
      <c r="Y20" s="29">
        <v>18</v>
      </c>
      <c r="Z20" s="31">
        <v>14</v>
      </c>
      <c r="AA20" s="29">
        <v>23</v>
      </c>
      <c r="AB20" s="31">
        <v>17</v>
      </c>
      <c r="AC20" s="29">
        <v>12</v>
      </c>
      <c r="AD20">
        <v>9</v>
      </c>
      <c r="AE20" s="29">
        <v>37</v>
      </c>
      <c r="AF20" s="30">
        <v>18</v>
      </c>
      <c r="AG20" s="31">
        <v>0</v>
      </c>
      <c r="AH20" s="136">
        <v>0.27777777777777779</v>
      </c>
      <c r="AI20" s="33">
        <v>-0.33333333333333331</v>
      </c>
      <c r="AJ20" s="33">
        <v>-0.47826086956521741</v>
      </c>
      <c r="AK20" s="33">
        <v>0.21428571428571427</v>
      </c>
      <c r="AL20" s="33">
        <v>-0.35714285714285715</v>
      </c>
      <c r="AM20" s="33">
        <v>-0.47058823529411764</v>
      </c>
      <c r="AN20" s="34">
        <v>0.2608695652173913</v>
      </c>
      <c r="AO20" s="33">
        <v>0.19565217391304349</v>
      </c>
      <c r="AP20" s="33">
        <v>0.39130434782608697</v>
      </c>
      <c r="AQ20" s="33">
        <v>0</v>
      </c>
      <c r="AR20" s="35">
        <v>0</v>
      </c>
      <c r="AS20" s="251">
        <f t="shared" si="0"/>
        <v>4.3478260869565216E-2</v>
      </c>
      <c r="AT20" s="252">
        <f t="shared" si="1"/>
        <v>4.3478260869565216E-2</v>
      </c>
      <c r="AU20" s="29">
        <v>8</v>
      </c>
      <c r="AV20" s="30">
        <v>11</v>
      </c>
      <c r="AW20" s="31">
        <v>7</v>
      </c>
      <c r="AX20" s="136">
        <v>0.375</v>
      </c>
      <c r="AY20" s="33">
        <v>-0.125</v>
      </c>
      <c r="AZ20" s="35">
        <v>-0.36363636363636365</v>
      </c>
      <c r="BA20" s="29">
        <v>43</v>
      </c>
      <c r="BB20" s="31">
        <v>41</v>
      </c>
      <c r="BC20" s="29">
        <v>6</v>
      </c>
      <c r="BD20" s="31">
        <v>6</v>
      </c>
      <c r="BE20" s="29">
        <v>9</v>
      </c>
      <c r="BF20" s="30">
        <v>12</v>
      </c>
      <c r="BG20" s="33">
        <v>0.75</v>
      </c>
      <c r="BH20" s="30">
        <v>4</v>
      </c>
      <c r="BI20" s="30">
        <v>7</v>
      </c>
      <c r="BJ20" s="35">
        <v>0.5714285714285714</v>
      </c>
    </row>
    <row r="21" spans="1:62" x14ac:dyDescent="0.25">
      <c r="A21" s="134"/>
      <c r="B21" s="134"/>
      <c r="C21" s="134"/>
      <c r="D21" s="134" t="s">
        <v>153</v>
      </c>
      <c r="E21" s="134"/>
      <c r="F21" s="25">
        <v>1087</v>
      </c>
      <c r="G21" s="22">
        <v>983</v>
      </c>
      <c r="H21" s="23">
        <v>0</v>
      </c>
      <c r="I21" s="23">
        <v>983</v>
      </c>
      <c r="J21" s="24">
        <v>0</v>
      </c>
      <c r="K21" s="22">
        <v>0</v>
      </c>
      <c r="L21" s="23">
        <v>1</v>
      </c>
      <c r="M21" s="23">
        <v>15</v>
      </c>
      <c r="N21" s="23">
        <v>4</v>
      </c>
      <c r="O21" s="23">
        <v>3</v>
      </c>
      <c r="P21" s="23">
        <v>0</v>
      </c>
      <c r="Q21" s="23">
        <v>13</v>
      </c>
      <c r="R21" s="24">
        <v>67</v>
      </c>
      <c r="S21" s="25">
        <v>187</v>
      </c>
      <c r="T21" s="22">
        <v>152</v>
      </c>
      <c r="U21" s="23">
        <v>0</v>
      </c>
      <c r="V21" s="23">
        <v>10</v>
      </c>
      <c r="W21" s="23">
        <v>4</v>
      </c>
      <c r="X21" s="24">
        <v>138</v>
      </c>
      <c r="Y21" s="22">
        <v>3046</v>
      </c>
      <c r="Z21" s="24">
        <v>801</v>
      </c>
      <c r="AA21" s="22">
        <v>3414</v>
      </c>
      <c r="AB21" s="24">
        <v>875</v>
      </c>
      <c r="AC21" s="22">
        <v>3427</v>
      </c>
      <c r="AD21" s="134">
        <v>855</v>
      </c>
      <c r="AE21" s="22">
        <v>231</v>
      </c>
      <c r="AF21" s="23">
        <v>63</v>
      </c>
      <c r="AG21" s="24">
        <v>274</v>
      </c>
      <c r="AH21" s="135">
        <v>0.12081418253447143</v>
      </c>
      <c r="AI21" s="26">
        <v>0.12508207485226527</v>
      </c>
      <c r="AJ21" s="26">
        <v>3.8078500292911539E-3</v>
      </c>
      <c r="AK21" s="26">
        <v>9.2384519350811489E-2</v>
      </c>
      <c r="AL21" s="26">
        <v>6.741573033707865E-2</v>
      </c>
      <c r="AM21" s="26">
        <v>-2.2857142857142857E-2</v>
      </c>
      <c r="AN21" s="27">
        <v>3.486266531027467</v>
      </c>
      <c r="AO21" s="26">
        <v>0.86978636826042721</v>
      </c>
      <c r="AP21" s="26">
        <v>6.4089521871820959E-2</v>
      </c>
      <c r="AQ21" s="26">
        <v>0.27873855544252291</v>
      </c>
      <c r="AR21" s="28">
        <v>6.3809523809523816E-2</v>
      </c>
      <c r="AS21" s="249">
        <f t="shared" si="0"/>
        <v>0.19023397761953204</v>
      </c>
      <c r="AT21" s="250">
        <f t="shared" si="1"/>
        <v>3.5605289928789419E-2</v>
      </c>
      <c r="AU21" s="22">
        <v>469</v>
      </c>
      <c r="AV21" s="23">
        <v>459</v>
      </c>
      <c r="AW21" s="24">
        <v>499</v>
      </c>
      <c r="AX21" s="135">
        <v>-2.1321961620469083E-2</v>
      </c>
      <c r="AY21" s="26">
        <v>6.3965884861407252E-2</v>
      </c>
      <c r="AZ21" s="28">
        <v>8.714596949891068E-2</v>
      </c>
      <c r="BA21" s="22">
        <v>32</v>
      </c>
      <c r="BB21" s="24">
        <v>28</v>
      </c>
      <c r="BC21" s="22">
        <v>4</v>
      </c>
      <c r="BD21" s="24">
        <v>3</v>
      </c>
      <c r="BE21" s="22">
        <v>1906</v>
      </c>
      <c r="BF21" s="23">
        <v>3427</v>
      </c>
      <c r="BG21" s="26">
        <v>0.55617157864021005</v>
      </c>
      <c r="BH21" s="23">
        <v>306</v>
      </c>
      <c r="BI21" s="23">
        <v>499</v>
      </c>
      <c r="BJ21" s="28">
        <v>0.61322645290581157</v>
      </c>
    </row>
    <row r="22" spans="1:62" x14ac:dyDescent="0.25">
      <c r="E22" t="s">
        <v>68</v>
      </c>
      <c r="F22" s="32">
        <v>1087</v>
      </c>
      <c r="G22" s="29">
        <v>983</v>
      </c>
      <c r="H22" s="30">
        <v>0</v>
      </c>
      <c r="I22" s="30">
        <v>983</v>
      </c>
      <c r="J22" s="31">
        <v>0</v>
      </c>
      <c r="K22" s="29">
        <v>0</v>
      </c>
      <c r="L22" s="30">
        <v>1</v>
      </c>
      <c r="M22" s="30">
        <v>15</v>
      </c>
      <c r="N22" s="30">
        <v>4</v>
      </c>
      <c r="O22" s="30">
        <v>3</v>
      </c>
      <c r="P22" s="30">
        <v>0</v>
      </c>
      <c r="Q22" s="30">
        <v>13</v>
      </c>
      <c r="R22" s="31">
        <v>67</v>
      </c>
      <c r="S22" s="32">
        <v>187</v>
      </c>
      <c r="T22" s="29">
        <v>152</v>
      </c>
      <c r="U22" s="30">
        <v>0</v>
      </c>
      <c r="V22" s="30">
        <v>10</v>
      </c>
      <c r="W22" s="30">
        <v>4</v>
      </c>
      <c r="X22" s="31">
        <v>138</v>
      </c>
      <c r="Y22" s="29">
        <v>3046</v>
      </c>
      <c r="Z22" s="31">
        <v>801</v>
      </c>
      <c r="AA22" s="29">
        <v>3414</v>
      </c>
      <c r="AB22" s="31">
        <v>875</v>
      </c>
      <c r="AC22" s="29">
        <v>3427</v>
      </c>
      <c r="AD22">
        <v>855</v>
      </c>
      <c r="AE22" s="29">
        <v>231</v>
      </c>
      <c r="AF22" s="30">
        <v>63</v>
      </c>
      <c r="AG22" s="31">
        <v>274</v>
      </c>
      <c r="AH22" s="136">
        <v>0.12081418253447143</v>
      </c>
      <c r="AI22" s="33">
        <v>0.12508207485226527</v>
      </c>
      <c r="AJ22" s="33">
        <v>3.8078500292911539E-3</v>
      </c>
      <c r="AK22" s="33">
        <v>9.2384519350811489E-2</v>
      </c>
      <c r="AL22" s="33">
        <v>6.741573033707865E-2</v>
      </c>
      <c r="AM22" s="33">
        <v>-2.2857142857142857E-2</v>
      </c>
      <c r="AN22" s="34">
        <v>3.486266531027467</v>
      </c>
      <c r="AO22" s="33">
        <v>0.86978636826042721</v>
      </c>
      <c r="AP22" s="33">
        <v>6.4089521871820959E-2</v>
      </c>
      <c r="AQ22" s="33">
        <v>0.27873855544252291</v>
      </c>
      <c r="AR22" s="35">
        <v>6.3809523809523816E-2</v>
      </c>
      <c r="AS22" s="251">
        <f t="shared" si="0"/>
        <v>0.19023397761953204</v>
      </c>
      <c r="AT22" s="252">
        <f t="shared" si="1"/>
        <v>3.5605289928789419E-2</v>
      </c>
      <c r="AU22" s="29">
        <v>469</v>
      </c>
      <c r="AV22" s="30">
        <v>459</v>
      </c>
      <c r="AW22" s="31">
        <v>499</v>
      </c>
      <c r="AX22" s="136">
        <v>-2.1321961620469083E-2</v>
      </c>
      <c r="AY22" s="33">
        <v>6.3965884861407252E-2</v>
      </c>
      <c r="AZ22" s="35">
        <v>8.714596949891068E-2</v>
      </c>
      <c r="BA22" s="29">
        <v>32</v>
      </c>
      <c r="BB22" s="31">
        <v>28</v>
      </c>
      <c r="BC22" s="29">
        <v>4</v>
      </c>
      <c r="BD22" s="31">
        <v>3</v>
      </c>
      <c r="BE22" s="29">
        <v>1906</v>
      </c>
      <c r="BF22" s="30">
        <v>3427</v>
      </c>
      <c r="BG22" s="33">
        <v>0.55617157864021005</v>
      </c>
      <c r="BH22" s="30">
        <v>305</v>
      </c>
      <c r="BI22" s="30">
        <v>499</v>
      </c>
      <c r="BJ22" s="35">
        <v>0.6112224448897795</v>
      </c>
    </row>
    <row r="23" spans="1:62" x14ac:dyDescent="0.25">
      <c r="A23" s="134"/>
      <c r="B23" s="134"/>
      <c r="C23" s="134"/>
      <c r="D23" s="134" t="s">
        <v>154</v>
      </c>
      <c r="E23" s="134"/>
      <c r="F23" s="25">
        <v>1268</v>
      </c>
      <c r="G23" s="22">
        <v>1157</v>
      </c>
      <c r="H23" s="23">
        <v>0</v>
      </c>
      <c r="I23" s="23">
        <v>1112</v>
      </c>
      <c r="J23" s="24">
        <v>45</v>
      </c>
      <c r="K23" s="22">
        <v>0</v>
      </c>
      <c r="L23" s="23">
        <v>0</v>
      </c>
      <c r="M23" s="23">
        <v>11</v>
      </c>
      <c r="N23" s="23">
        <v>3</v>
      </c>
      <c r="O23" s="23">
        <v>7</v>
      </c>
      <c r="P23" s="23">
        <v>0</v>
      </c>
      <c r="Q23" s="23">
        <v>8</v>
      </c>
      <c r="R23" s="24">
        <v>81</v>
      </c>
      <c r="S23" s="25">
        <v>176</v>
      </c>
      <c r="T23" s="22">
        <v>10</v>
      </c>
      <c r="U23" s="23">
        <v>1</v>
      </c>
      <c r="V23" s="23">
        <v>2</v>
      </c>
      <c r="W23" s="23">
        <v>5</v>
      </c>
      <c r="X23" s="24">
        <v>2</v>
      </c>
      <c r="Y23" s="22">
        <v>3704</v>
      </c>
      <c r="Z23" s="24">
        <v>855</v>
      </c>
      <c r="AA23" s="22">
        <v>3766</v>
      </c>
      <c r="AB23" s="24">
        <v>877</v>
      </c>
      <c r="AC23" s="22">
        <v>4856</v>
      </c>
      <c r="AD23" s="134">
        <v>1046</v>
      </c>
      <c r="AE23" s="22">
        <v>219</v>
      </c>
      <c r="AF23" s="23">
        <v>77</v>
      </c>
      <c r="AG23" s="24">
        <v>337</v>
      </c>
      <c r="AH23" s="135">
        <v>1.6738660907127431E-2</v>
      </c>
      <c r="AI23" s="26">
        <v>0.31101511879049676</v>
      </c>
      <c r="AJ23" s="26">
        <v>0.28943175783324482</v>
      </c>
      <c r="AK23" s="26">
        <v>2.5730994152046785E-2</v>
      </c>
      <c r="AL23" s="26">
        <v>0.22339181286549709</v>
      </c>
      <c r="AM23" s="26">
        <v>0.19270239452679588</v>
      </c>
      <c r="AN23" s="27">
        <v>4.1970613656006917</v>
      </c>
      <c r="AO23" s="26">
        <v>0.90406222990492657</v>
      </c>
      <c r="AP23" s="26">
        <v>6.6551426101987901E-2</v>
      </c>
      <c r="AQ23" s="26">
        <v>0.29127052722558339</v>
      </c>
      <c r="AR23" s="28">
        <v>6.5428109854604205E-2</v>
      </c>
      <c r="AS23" s="249">
        <f t="shared" si="0"/>
        <v>0.15211754537597233</v>
      </c>
      <c r="AT23" s="250">
        <f t="shared" si="1"/>
        <v>0.14347450302506481</v>
      </c>
      <c r="AU23" s="22">
        <v>442</v>
      </c>
      <c r="AV23" s="23">
        <v>431</v>
      </c>
      <c r="AW23" s="24">
        <v>520</v>
      </c>
      <c r="AX23" s="135">
        <v>-2.4886877828054297E-2</v>
      </c>
      <c r="AY23" s="26">
        <v>0.17647058823529413</v>
      </c>
      <c r="AZ23" s="28">
        <v>0.20649651972157773</v>
      </c>
      <c r="BA23" s="22">
        <v>20</v>
      </c>
      <c r="BB23" s="24">
        <v>20.5</v>
      </c>
      <c r="BC23" s="22">
        <v>3</v>
      </c>
      <c r="BD23" s="24">
        <v>3</v>
      </c>
      <c r="BE23" s="22">
        <v>3366</v>
      </c>
      <c r="BF23" s="23">
        <v>4856</v>
      </c>
      <c r="BG23" s="26">
        <v>0.69316309719934099</v>
      </c>
      <c r="BH23" s="23">
        <v>343</v>
      </c>
      <c r="BI23" s="23">
        <v>520</v>
      </c>
      <c r="BJ23" s="28">
        <v>0.6596153846153846</v>
      </c>
    </row>
    <row r="24" spans="1:62" x14ac:dyDescent="0.25">
      <c r="E24" t="s">
        <v>68</v>
      </c>
      <c r="F24" s="32">
        <v>1268</v>
      </c>
      <c r="G24" s="29">
        <v>1157</v>
      </c>
      <c r="H24" s="30">
        <v>0</v>
      </c>
      <c r="I24" s="30">
        <v>1112</v>
      </c>
      <c r="J24" s="31">
        <v>45</v>
      </c>
      <c r="K24" s="29">
        <v>0</v>
      </c>
      <c r="L24" s="30">
        <v>0</v>
      </c>
      <c r="M24" s="30">
        <v>11</v>
      </c>
      <c r="N24" s="30">
        <v>3</v>
      </c>
      <c r="O24" s="30">
        <v>7</v>
      </c>
      <c r="P24" s="30">
        <v>0</v>
      </c>
      <c r="Q24" s="30">
        <v>8</v>
      </c>
      <c r="R24" s="31">
        <v>81</v>
      </c>
      <c r="S24" s="32">
        <v>176</v>
      </c>
      <c r="T24" s="29">
        <v>10</v>
      </c>
      <c r="U24" s="30">
        <v>1</v>
      </c>
      <c r="V24" s="30">
        <v>2</v>
      </c>
      <c r="W24" s="30">
        <v>5</v>
      </c>
      <c r="X24" s="31">
        <v>2</v>
      </c>
      <c r="Y24" s="29">
        <v>3704</v>
      </c>
      <c r="Z24" s="31">
        <v>855</v>
      </c>
      <c r="AA24" s="29">
        <v>3766</v>
      </c>
      <c r="AB24" s="31">
        <v>877</v>
      </c>
      <c r="AC24" s="29">
        <v>4856</v>
      </c>
      <c r="AD24">
        <v>1046</v>
      </c>
      <c r="AE24" s="29">
        <v>219</v>
      </c>
      <c r="AF24" s="30">
        <v>77</v>
      </c>
      <c r="AG24" s="31">
        <v>337</v>
      </c>
      <c r="AH24" s="136">
        <v>1.6738660907127431E-2</v>
      </c>
      <c r="AI24" s="33">
        <v>0.31101511879049676</v>
      </c>
      <c r="AJ24" s="33">
        <v>0.28943175783324482</v>
      </c>
      <c r="AK24" s="33">
        <v>2.5730994152046785E-2</v>
      </c>
      <c r="AL24" s="33">
        <v>0.22339181286549709</v>
      </c>
      <c r="AM24" s="33">
        <v>0.19270239452679588</v>
      </c>
      <c r="AN24" s="34">
        <v>4.1970613656006917</v>
      </c>
      <c r="AO24" s="33">
        <v>0.90406222990492657</v>
      </c>
      <c r="AP24" s="33">
        <v>6.6551426101987901E-2</v>
      </c>
      <c r="AQ24" s="33">
        <v>0.29127052722558339</v>
      </c>
      <c r="AR24" s="35">
        <v>6.5428109854604205E-2</v>
      </c>
      <c r="AS24" s="251">
        <f t="shared" si="0"/>
        <v>0.15211754537597233</v>
      </c>
      <c r="AT24" s="252">
        <f t="shared" si="1"/>
        <v>0.14347450302506481</v>
      </c>
      <c r="AU24" s="29">
        <v>442</v>
      </c>
      <c r="AV24" s="30">
        <v>431</v>
      </c>
      <c r="AW24" s="31">
        <v>520</v>
      </c>
      <c r="AX24" s="136">
        <v>-2.4886877828054297E-2</v>
      </c>
      <c r="AY24" s="33">
        <v>0.17647058823529413</v>
      </c>
      <c r="AZ24" s="35">
        <v>0.20649651972157773</v>
      </c>
      <c r="BA24" s="29">
        <v>20</v>
      </c>
      <c r="BB24" s="31">
        <v>20.5</v>
      </c>
      <c r="BC24" s="29">
        <v>3</v>
      </c>
      <c r="BD24" s="31">
        <v>3</v>
      </c>
      <c r="BE24" s="29">
        <v>3366</v>
      </c>
      <c r="BF24" s="30">
        <v>4856</v>
      </c>
      <c r="BG24" s="33">
        <v>0.69316309719934099</v>
      </c>
      <c r="BH24" s="30">
        <v>342</v>
      </c>
      <c r="BI24" s="30">
        <v>520</v>
      </c>
      <c r="BJ24" s="35">
        <v>0.65769230769230769</v>
      </c>
    </row>
    <row r="25" spans="1:62" x14ac:dyDescent="0.25">
      <c r="A25" s="134"/>
      <c r="B25" s="134"/>
      <c r="C25" s="134"/>
      <c r="D25" s="134" t="s">
        <v>155</v>
      </c>
      <c r="E25" s="134"/>
      <c r="F25" s="25">
        <v>3045</v>
      </c>
      <c r="G25" s="22">
        <v>2943</v>
      </c>
      <c r="H25" s="23">
        <v>0</v>
      </c>
      <c r="I25" s="23">
        <v>2477</v>
      </c>
      <c r="J25" s="24">
        <v>466</v>
      </c>
      <c r="K25" s="22">
        <v>0</v>
      </c>
      <c r="L25" s="23">
        <v>24</v>
      </c>
      <c r="M25" s="23">
        <v>9</v>
      </c>
      <c r="N25" s="23">
        <v>6</v>
      </c>
      <c r="O25" s="23">
        <v>5</v>
      </c>
      <c r="P25" s="23">
        <v>1</v>
      </c>
      <c r="Q25" s="23">
        <v>1</v>
      </c>
      <c r="R25" s="24">
        <v>53</v>
      </c>
      <c r="S25" s="25">
        <v>139</v>
      </c>
      <c r="T25" s="22">
        <v>32</v>
      </c>
      <c r="U25" s="23">
        <v>1</v>
      </c>
      <c r="V25" s="23">
        <v>0</v>
      </c>
      <c r="W25" s="23">
        <v>3</v>
      </c>
      <c r="X25" s="24">
        <v>28</v>
      </c>
      <c r="Y25" s="22">
        <v>7186</v>
      </c>
      <c r="Z25" s="24">
        <v>2106</v>
      </c>
      <c r="AA25" s="22">
        <v>7452</v>
      </c>
      <c r="AB25" s="24">
        <v>2204</v>
      </c>
      <c r="AC25" s="22">
        <v>7117</v>
      </c>
      <c r="AD25" s="134">
        <v>2136</v>
      </c>
      <c r="AE25" s="22">
        <v>886</v>
      </c>
      <c r="AF25" s="23">
        <v>416</v>
      </c>
      <c r="AG25" s="24">
        <v>410</v>
      </c>
      <c r="AH25" s="135">
        <v>3.7016420818257727E-2</v>
      </c>
      <c r="AI25" s="26">
        <v>-9.6020038964653495E-3</v>
      </c>
      <c r="AJ25" s="26">
        <v>-4.495437466451959E-2</v>
      </c>
      <c r="AK25" s="26">
        <v>4.653371320037987E-2</v>
      </c>
      <c r="AL25" s="26">
        <v>1.4245014245014245E-2</v>
      </c>
      <c r="AM25" s="26">
        <v>-3.0852994555353903E-2</v>
      </c>
      <c r="AN25" s="27">
        <v>2.4182806659870879</v>
      </c>
      <c r="AO25" s="26">
        <v>0.72579001019367995</v>
      </c>
      <c r="AP25" s="26">
        <v>0.14135236153584776</v>
      </c>
      <c r="AQ25" s="26">
        <v>0.13931362555215765</v>
      </c>
      <c r="AR25" s="28">
        <v>1.7690253671562083E-2</v>
      </c>
      <c r="AS25" s="249">
        <f t="shared" si="0"/>
        <v>4.7230716955487598E-2</v>
      </c>
      <c r="AT25" s="250">
        <f t="shared" si="1"/>
        <v>3.6357458375806999E-2</v>
      </c>
      <c r="AU25" s="22">
        <v>713</v>
      </c>
      <c r="AV25" s="23">
        <v>773</v>
      </c>
      <c r="AW25" s="24">
        <v>738</v>
      </c>
      <c r="AX25" s="135">
        <v>8.4151472650771386E-2</v>
      </c>
      <c r="AY25" s="26">
        <v>3.5063113604488078E-2</v>
      </c>
      <c r="AZ25" s="28">
        <v>-4.5278137128072445E-2</v>
      </c>
      <c r="BA25" s="22">
        <v>43</v>
      </c>
      <c r="BB25" s="24">
        <v>38</v>
      </c>
      <c r="BC25" s="22">
        <v>5</v>
      </c>
      <c r="BD25" s="24">
        <v>4</v>
      </c>
      <c r="BE25" s="22">
        <v>3464</v>
      </c>
      <c r="BF25" s="23">
        <v>7117</v>
      </c>
      <c r="BG25" s="26">
        <v>0.48672193339890402</v>
      </c>
      <c r="BH25" s="23">
        <v>373</v>
      </c>
      <c r="BI25" s="23">
        <v>738</v>
      </c>
      <c r="BJ25" s="28">
        <v>0.50542005420054203</v>
      </c>
    </row>
    <row r="26" spans="1:62" x14ac:dyDescent="0.25">
      <c r="E26" t="s">
        <v>68</v>
      </c>
      <c r="F26" s="32">
        <v>3045</v>
      </c>
      <c r="G26" s="29">
        <v>2943</v>
      </c>
      <c r="H26" s="30">
        <v>0</v>
      </c>
      <c r="I26" s="30">
        <v>2477</v>
      </c>
      <c r="J26" s="31">
        <v>466</v>
      </c>
      <c r="K26" s="29">
        <v>0</v>
      </c>
      <c r="L26" s="30">
        <v>24</v>
      </c>
      <c r="M26" s="30">
        <v>9</v>
      </c>
      <c r="N26" s="30">
        <v>6</v>
      </c>
      <c r="O26" s="30">
        <v>5</v>
      </c>
      <c r="P26" s="30">
        <v>1</v>
      </c>
      <c r="Q26" s="30">
        <v>1</v>
      </c>
      <c r="R26" s="31">
        <v>53</v>
      </c>
      <c r="S26" s="32">
        <v>139</v>
      </c>
      <c r="T26" s="29">
        <v>32</v>
      </c>
      <c r="U26" s="30">
        <v>1</v>
      </c>
      <c r="V26" s="30">
        <v>0</v>
      </c>
      <c r="W26" s="30">
        <v>3</v>
      </c>
      <c r="X26" s="31">
        <v>28</v>
      </c>
      <c r="Y26" s="29">
        <v>7186</v>
      </c>
      <c r="Z26" s="31">
        <v>2106</v>
      </c>
      <c r="AA26" s="29">
        <v>7452</v>
      </c>
      <c r="AB26" s="31">
        <v>2204</v>
      </c>
      <c r="AC26" s="29">
        <v>7117</v>
      </c>
      <c r="AD26">
        <v>2136</v>
      </c>
      <c r="AE26" s="29">
        <v>886</v>
      </c>
      <c r="AF26" s="30">
        <v>416</v>
      </c>
      <c r="AG26" s="31">
        <v>410</v>
      </c>
      <c r="AH26" s="136">
        <v>3.7016420818257727E-2</v>
      </c>
      <c r="AI26" s="33">
        <v>-9.6020038964653495E-3</v>
      </c>
      <c r="AJ26" s="33">
        <v>-4.495437466451959E-2</v>
      </c>
      <c r="AK26" s="33">
        <v>4.653371320037987E-2</v>
      </c>
      <c r="AL26" s="33">
        <v>1.4245014245014245E-2</v>
      </c>
      <c r="AM26" s="33">
        <v>-3.0852994555353903E-2</v>
      </c>
      <c r="AN26" s="34">
        <v>2.4182806659870879</v>
      </c>
      <c r="AO26" s="33">
        <v>0.72579001019367995</v>
      </c>
      <c r="AP26" s="33">
        <v>0.14135236153584776</v>
      </c>
      <c r="AQ26" s="33">
        <v>0.13931362555215765</v>
      </c>
      <c r="AR26" s="35">
        <v>1.7690253671562083E-2</v>
      </c>
      <c r="AS26" s="251">
        <f t="shared" si="0"/>
        <v>4.7230716955487598E-2</v>
      </c>
      <c r="AT26" s="252">
        <f t="shared" si="1"/>
        <v>3.6357458375806999E-2</v>
      </c>
      <c r="AU26" s="29">
        <v>713</v>
      </c>
      <c r="AV26" s="30">
        <v>773</v>
      </c>
      <c r="AW26" s="31">
        <v>738</v>
      </c>
      <c r="AX26" s="136">
        <v>8.4151472650771386E-2</v>
      </c>
      <c r="AY26" s="33">
        <v>3.5063113604488078E-2</v>
      </c>
      <c r="AZ26" s="35">
        <v>-4.5278137128072445E-2</v>
      </c>
      <c r="BA26" s="29">
        <v>43</v>
      </c>
      <c r="BB26" s="31">
        <v>38</v>
      </c>
      <c r="BC26" s="29">
        <v>5</v>
      </c>
      <c r="BD26" s="31">
        <v>4</v>
      </c>
      <c r="BE26" s="29">
        <v>3464</v>
      </c>
      <c r="BF26" s="30">
        <v>7117</v>
      </c>
      <c r="BG26" s="33">
        <v>0.48672193339890402</v>
      </c>
      <c r="BH26" s="30">
        <v>373</v>
      </c>
      <c r="BI26" s="30">
        <v>738</v>
      </c>
      <c r="BJ26" s="35">
        <v>0.50542005420054203</v>
      </c>
    </row>
    <row r="27" spans="1:62" x14ac:dyDescent="0.25">
      <c r="A27" s="134"/>
      <c r="B27" s="134"/>
      <c r="C27" s="134"/>
      <c r="D27" s="134" t="s">
        <v>156</v>
      </c>
      <c r="E27" s="134"/>
      <c r="F27" s="25">
        <v>146</v>
      </c>
      <c r="G27" s="22">
        <v>123</v>
      </c>
      <c r="H27" s="23">
        <v>0</v>
      </c>
      <c r="I27" s="23">
        <v>121</v>
      </c>
      <c r="J27" s="24">
        <v>2</v>
      </c>
      <c r="K27" s="22">
        <v>0</v>
      </c>
      <c r="L27" s="23">
        <v>0</v>
      </c>
      <c r="M27" s="23">
        <v>2</v>
      </c>
      <c r="N27" s="23">
        <v>3</v>
      </c>
      <c r="O27" s="23">
        <v>5</v>
      </c>
      <c r="P27" s="23">
        <v>0</v>
      </c>
      <c r="Q27" s="23">
        <v>0</v>
      </c>
      <c r="R27" s="24">
        <v>13</v>
      </c>
      <c r="S27" s="25">
        <v>7</v>
      </c>
      <c r="T27" s="22"/>
      <c r="U27" s="23"/>
      <c r="V27" s="23"/>
      <c r="W27" s="23"/>
      <c r="X27" s="24"/>
      <c r="Y27" s="22">
        <v>523</v>
      </c>
      <c r="Z27" s="24">
        <v>113</v>
      </c>
      <c r="AA27" s="22">
        <v>485</v>
      </c>
      <c r="AB27" s="24">
        <v>107</v>
      </c>
      <c r="AC27" s="22">
        <v>354</v>
      </c>
      <c r="AD27" s="134">
        <v>109</v>
      </c>
      <c r="AE27" s="22">
        <v>37</v>
      </c>
      <c r="AF27" s="23">
        <v>19</v>
      </c>
      <c r="AG27" s="24">
        <v>33</v>
      </c>
      <c r="AH27" s="135">
        <v>-7.2657743785850867E-2</v>
      </c>
      <c r="AI27" s="26">
        <v>-0.32313575525812621</v>
      </c>
      <c r="AJ27" s="26">
        <v>-0.27010309278350514</v>
      </c>
      <c r="AK27" s="26">
        <v>-5.3097345132743362E-2</v>
      </c>
      <c r="AL27" s="26">
        <v>-3.5398230088495575E-2</v>
      </c>
      <c r="AM27" s="26">
        <v>1.8691588785046728E-2</v>
      </c>
      <c r="AN27" s="27">
        <v>2.8780487804878048</v>
      </c>
      <c r="AO27" s="26">
        <v>0.88617886178861793</v>
      </c>
      <c r="AP27" s="26">
        <v>0.15447154471544716</v>
      </c>
      <c r="AQ27" s="26">
        <v>0.26829268292682928</v>
      </c>
      <c r="AR27" s="28">
        <v>9.5588235294117641E-2</v>
      </c>
      <c r="AS27" s="249">
        <f t="shared" si="0"/>
        <v>5.6910569105691054E-2</v>
      </c>
      <c r="AT27" s="250">
        <f t="shared" si="1"/>
        <v>5.6910569105691054E-2</v>
      </c>
      <c r="AU27" s="22">
        <v>122</v>
      </c>
      <c r="AV27" s="23">
        <v>109</v>
      </c>
      <c r="AW27" s="24">
        <v>110</v>
      </c>
      <c r="AX27" s="135">
        <v>-0.10655737704918032</v>
      </c>
      <c r="AY27" s="26">
        <v>-9.8360655737704916E-2</v>
      </c>
      <c r="AZ27" s="28">
        <v>9.1743119266055051E-3</v>
      </c>
      <c r="BA27" s="22">
        <v>48</v>
      </c>
      <c r="BB27" s="24">
        <v>44.5</v>
      </c>
      <c r="BC27" s="22">
        <v>5</v>
      </c>
      <c r="BD27" s="24">
        <v>4</v>
      </c>
      <c r="BE27" s="22">
        <v>166</v>
      </c>
      <c r="BF27" s="23">
        <v>354</v>
      </c>
      <c r="BG27" s="26">
        <v>0.46892655367231639</v>
      </c>
      <c r="BH27" s="23">
        <v>60</v>
      </c>
      <c r="BI27" s="23">
        <v>110</v>
      </c>
      <c r="BJ27" s="28">
        <v>0.54545454545454541</v>
      </c>
    </row>
    <row r="28" spans="1:62" x14ac:dyDescent="0.25">
      <c r="E28" t="s">
        <v>68</v>
      </c>
      <c r="F28" s="32">
        <v>146</v>
      </c>
      <c r="G28" s="29">
        <v>123</v>
      </c>
      <c r="H28" s="30">
        <v>0</v>
      </c>
      <c r="I28" s="30">
        <v>121</v>
      </c>
      <c r="J28" s="31">
        <v>2</v>
      </c>
      <c r="K28" s="29">
        <v>0</v>
      </c>
      <c r="L28" s="30">
        <v>0</v>
      </c>
      <c r="M28" s="30">
        <v>2</v>
      </c>
      <c r="N28" s="30">
        <v>3</v>
      </c>
      <c r="O28" s="30">
        <v>5</v>
      </c>
      <c r="P28" s="30">
        <v>0</v>
      </c>
      <c r="Q28" s="30">
        <v>0</v>
      </c>
      <c r="R28" s="31">
        <v>13</v>
      </c>
      <c r="S28" s="32">
        <v>7</v>
      </c>
      <c r="T28" s="29"/>
      <c r="U28" s="30"/>
      <c r="V28" s="30"/>
      <c r="W28" s="30"/>
      <c r="X28" s="31"/>
      <c r="Y28" s="29">
        <v>523</v>
      </c>
      <c r="Z28" s="31">
        <v>113</v>
      </c>
      <c r="AA28" s="29">
        <v>485</v>
      </c>
      <c r="AB28" s="31">
        <v>107</v>
      </c>
      <c r="AC28" s="29">
        <v>354</v>
      </c>
      <c r="AD28">
        <v>109</v>
      </c>
      <c r="AE28" s="29">
        <v>37</v>
      </c>
      <c r="AF28" s="30">
        <v>19</v>
      </c>
      <c r="AG28" s="31">
        <v>33</v>
      </c>
      <c r="AH28" s="136">
        <v>-7.2657743785850867E-2</v>
      </c>
      <c r="AI28" s="33">
        <v>-0.32313575525812621</v>
      </c>
      <c r="AJ28" s="33">
        <v>-0.27010309278350514</v>
      </c>
      <c r="AK28" s="33">
        <v>-5.3097345132743362E-2</v>
      </c>
      <c r="AL28" s="33">
        <v>-3.5398230088495575E-2</v>
      </c>
      <c r="AM28" s="33">
        <v>1.8691588785046728E-2</v>
      </c>
      <c r="AN28" s="34">
        <v>2.8780487804878048</v>
      </c>
      <c r="AO28" s="33">
        <v>0.88617886178861793</v>
      </c>
      <c r="AP28" s="33">
        <v>0.15447154471544716</v>
      </c>
      <c r="AQ28" s="33">
        <v>0.26829268292682928</v>
      </c>
      <c r="AR28" s="35">
        <v>9.5588235294117641E-2</v>
      </c>
      <c r="AS28" s="251">
        <f t="shared" si="0"/>
        <v>5.6910569105691054E-2</v>
      </c>
      <c r="AT28" s="252">
        <f t="shared" si="1"/>
        <v>5.6910569105691054E-2</v>
      </c>
      <c r="AU28" s="29">
        <v>122</v>
      </c>
      <c r="AV28" s="30">
        <v>109</v>
      </c>
      <c r="AW28" s="31">
        <v>110</v>
      </c>
      <c r="AX28" s="136">
        <v>-0.10655737704918032</v>
      </c>
      <c r="AY28" s="33">
        <v>-9.8360655737704916E-2</v>
      </c>
      <c r="AZ28" s="35">
        <v>9.1743119266055051E-3</v>
      </c>
      <c r="BA28" s="29">
        <v>48</v>
      </c>
      <c r="BB28" s="31">
        <v>44.5</v>
      </c>
      <c r="BC28" s="29">
        <v>5</v>
      </c>
      <c r="BD28" s="31">
        <v>4</v>
      </c>
      <c r="BE28" s="29">
        <v>166</v>
      </c>
      <c r="BF28" s="30">
        <v>354</v>
      </c>
      <c r="BG28" s="33">
        <v>0.46892655367231639</v>
      </c>
      <c r="BH28" s="30">
        <v>60</v>
      </c>
      <c r="BI28" s="30">
        <v>110</v>
      </c>
      <c r="BJ28" s="35">
        <v>0.54545454545454541</v>
      </c>
    </row>
    <row r="29" spans="1:62" x14ac:dyDescent="0.25">
      <c r="A29" s="132"/>
      <c r="B29" s="132"/>
      <c r="C29" s="132" t="s">
        <v>157</v>
      </c>
      <c r="D29" s="132"/>
      <c r="E29" s="132"/>
      <c r="F29" s="18">
        <v>7647</v>
      </c>
      <c r="G29" s="15">
        <v>6989</v>
      </c>
      <c r="H29" s="16">
        <v>9</v>
      </c>
      <c r="I29" s="16">
        <v>6998</v>
      </c>
      <c r="J29" s="17">
        <v>0</v>
      </c>
      <c r="K29" s="15">
        <v>0</v>
      </c>
      <c r="L29" s="16">
        <v>36</v>
      </c>
      <c r="M29" s="16">
        <v>147</v>
      </c>
      <c r="N29" s="16">
        <v>10</v>
      </c>
      <c r="O29" s="16">
        <v>75</v>
      </c>
      <c r="P29" s="16">
        <v>0</v>
      </c>
      <c r="Q29" s="16">
        <v>67</v>
      </c>
      <c r="R29" s="17">
        <v>298</v>
      </c>
      <c r="S29" s="18">
        <v>522</v>
      </c>
      <c r="T29" s="15">
        <v>385</v>
      </c>
      <c r="U29" s="16">
        <v>5</v>
      </c>
      <c r="V29" s="16">
        <v>49</v>
      </c>
      <c r="W29" s="16">
        <v>25</v>
      </c>
      <c r="X29" s="17">
        <v>306</v>
      </c>
      <c r="Y29" s="15">
        <v>32415</v>
      </c>
      <c r="Z29" s="17">
        <v>6402</v>
      </c>
      <c r="AA29" s="15">
        <v>30859</v>
      </c>
      <c r="AB29" s="17">
        <v>6178</v>
      </c>
      <c r="AC29" s="15">
        <v>27101</v>
      </c>
      <c r="AD29" s="132">
        <v>5993</v>
      </c>
      <c r="AE29" s="15">
        <v>1739</v>
      </c>
      <c r="AF29" s="16">
        <v>430</v>
      </c>
      <c r="AG29" s="17">
        <v>1886</v>
      </c>
      <c r="AH29" s="133">
        <v>-4.8002467993213019E-2</v>
      </c>
      <c r="AI29" s="19">
        <v>-0.16393644917476477</v>
      </c>
      <c r="AJ29" s="19">
        <v>-0.12177970770277714</v>
      </c>
      <c r="AK29" s="19">
        <v>-3.4989065916900972E-2</v>
      </c>
      <c r="AL29" s="19">
        <v>-6.3886285535770068E-2</v>
      </c>
      <c r="AM29" s="19">
        <v>-2.9944966008416965E-2</v>
      </c>
      <c r="AN29" s="20">
        <v>3.8776649019888394</v>
      </c>
      <c r="AO29" s="19">
        <v>0.85749034196594653</v>
      </c>
      <c r="AP29" s="19">
        <v>6.1525253970525114E-2</v>
      </c>
      <c r="AQ29" s="19">
        <v>0.26985262555444267</v>
      </c>
      <c r="AR29" s="21">
        <v>4.0894744064772885E-2</v>
      </c>
      <c r="AS29" s="247">
        <f t="shared" si="0"/>
        <v>7.4688796680497924E-2</v>
      </c>
      <c r="AT29" s="248">
        <f t="shared" si="1"/>
        <v>1.9602232078981256E-2</v>
      </c>
      <c r="AU29" s="15">
        <v>1323</v>
      </c>
      <c r="AV29" s="16">
        <v>1229</v>
      </c>
      <c r="AW29" s="17">
        <v>1115</v>
      </c>
      <c r="AX29" s="133">
        <v>-7.1050642479213902E-2</v>
      </c>
      <c r="AY29" s="19">
        <v>-0.15721844293272866</v>
      </c>
      <c r="AZ29" s="21">
        <v>-9.2758340113913748E-2</v>
      </c>
      <c r="BA29" s="15">
        <v>52</v>
      </c>
      <c r="BB29" s="17">
        <v>40</v>
      </c>
      <c r="BC29" s="15">
        <v>5</v>
      </c>
      <c r="BD29" s="17">
        <v>4</v>
      </c>
      <c r="BE29" s="15">
        <v>18451</v>
      </c>
      <c r="BF29" s="16">
        <v>27104</v>
      </c>
      <c r="BG29" s="19">
        <v>0.68074822904368359</v>
      </c>
      <c r="BH29" s="16">
        <v>723</v>
      </c>
      <c r="BI29" s="16">
        <v>1115</v>
      </c>
      <c r="BJ29" s="21">
        <v>0.64843049327354263</v>
      </c>
    </row>
    <row r="30" spans="1:62" x14ac:dyDescent="0.25">
      <c r="A30" s="134"/>
      <c r="B30" s="134"/>
      <c r="C30" s="134"/>
      <c r="D30" s="134" t="s">
        <v>158</v>
      </c>
      <c r="E30" s="134"/>
      <c r="F30" s="25">
        <v>807</v>
      </c>
      <c r="G30" s="22">
        <v>732</v>
      </c>
      <c r="H30" s="23">
        <v>9</v>
      </c>
      <c r="I30" s="23">
        <v>741</v>
      </c>
      <c r="J30" s="24">
        <v>0</v>
      </c>
      <c r="K30" s="22">
        <v>0</v>
      </c>
      <c r="L30" s="23">
        <v>0</v>
      </c>
      <c r="M30" s="23">
        <v>2</v>
      </c>
      <c r="N30" s="23">
        <v>0</v>
      </c>
      <c r="O30" s="23">
        <v>15</v>
      </c>
      <c r="P30" s="23">
        <v>0</v>
      </c>
      <c r="Q30" s="23">
        <v>18</v>
      </c>
      <c r="R30" s="24">
        <v>27</v>
      </c>
      <c r="S30" s="25">
        <v>133</v>
      </c>
      <c r="T30" s="22">
        <v>293</v>
      </c>
      <c r="U30" s="23">
        <v>0</v>
      </c>
      <c r="V30" s="23">
        <v>18</v>
      </c>
      <c r="W30" s="23">
        <v>0</v>
      </c>
      <c r="X30" s="24">
        <v>275</v>
      </c>
      <c r="Y30" s="22">
        <v>974</v>
      </c>
      <c r="Z30" s="24">
        <v>488</v>
      </c>
      <c r="AA30" s="22">
        <v>1029</v>
      </c>
      <c r="AB30" s="24">
        <v>488</v>
      </c>
      <c r="AC30" s="22">
        <v>907</v>
      </c>
      <c r="AD30" s="134">
        <v>435</v>
      </c>
      <c r="AE30" s="22">
        <v>447</v>
      </c>
      <c r="AF30" s="23">
        <v>180</v>
      </c>
      <c r="AG30" s="24">
        <v>84</v>
      </c>
      <c r="AH30" s="135">
        <v>5.6468172484599587E-2</v>
      </c>
      <c r="AI30" s="26">
        <v>-6.8788501026694052E-2</v>
      </c>
      <c r="AJ30" s="26">
        <v>-0.1185617103984451</v>
      </c>
      <c r="AK30" s="26">
        <v>0</v>
      </c>
      <c r="AL30" s="26">
        <v>-0.10860655737704918</v>
      </c>
      <c r="AM30" s="26">
        <v>-0.10860655737704918</v>
      </c>
      <c r="AN30" s="27">
        <v>1.2390710382513661</v>
      </c>
      <c r="AO30" s="26">
        <v>0.59426229508196726</v>
      </c>
      <c r="AP30" s="26">
        <v>0.24590163934426229</v>
      </c>
      <c r="AQ30" s="26">
        <v>0.11475409836065574</v>
      </c>
      <c r="AR30" s="28">
        <v>3.5573122529644272E-2</v>
      </c>
      <c r="AS30" s="249">
        <f t="shared" si="0"/>
        <v>0.18169398907103826</v>
      </c>
      <c r="AT30" s="250">
        <f t="shared" si="1"/>
        <v>-0.21857923497267759</v>
      </c>
      <c r="AU30" s="22">
        <v>334</v>
      </c>
      <c r="AV30" s="23">
        <v>338</v>
      </c>
      <c r="AW30" s="24">
        <v>306</v>
      </c>
      <c r="AX30" s="135">
        <v>1.1976047904191617E-2</v>
      </c>
      <c r="AY30" s="26">
        <v>-8.3832335329341312E-2</v>
      </c>
      <c r="AZ30" s="28">
        <v>-9.4674556213017749E-2</v>
      </c>
      <c r="BA30" s="22">
        <v>45</v>
      </c>
      <c r="BB30" s="24">
        <v>44</v>
      </c>
      <c r="BC30" s="22">
        <v>6</v>
      </c>
      <c r="BD30" s="24">
        <v>5</v>
      </c>
      <c r="BE30" s="22">
        <v>556</v>
      </c>
      <c r="BF30" s="23">
        <v>907</v>
      </c>
      <c r="BG30" s="26">
        <v>0.61300992282249178</v>
      </c>
      <c r="BH30" s="23">
        <v>174</v>
      </c>
      <c r="BI30" s="23">
        <v>306</v>
      </c>
      <c r="BJ30" s="28">
        <v>0.56862745098039214</v>
      </c>
    </row>
    <row r="31" spans="1:62" x14ac:dyDescent="0.25">
      <c r="E31" t="s">
        <v>68</v>
      </c>
      <c r="F31" s="32">
        <v>560</v>
      </c>
      <c r="G31" s="29">
        <v>509</v>
      </c>
      <c r="H31" s="30">
        <v>0</v>
      </c>
      <c r="I31" s="30">
        <v>509</v>
      </c>
      <c r="J31" s="31">
        <v>0</v>
      </c>
      <c r="K31" s="29">
        <v>0</v>
      </c>
      <c r="L31" s="30">
        <v>0</v>
      </c>
      <c r="M31" s="30">
        <v>1</v>
      </c>
      <c r="N31" s="30">
        <v>0</v>
      </c>
      <c r="O31" s="30">
        <v>14</v>
      </c>
      <c r="P31" s="30">
        <v>0</v>
      </c>
      <c r="Q31" s="30">
        <v>12</v>
      </c>
      <c r="R31" s="31">
        <v>24</v>
      </c>
      <c r="S31" s="32">
        <v>28</v>
      </c>
      <c r="T31" s="29">
        <v>155</v>
      </c>
      <c r="U31" s="30">
        <v>0</v>
      </c>
      <c r="V31" s="30">
        <v>12</v>
      </c>
      <c r="W31" s="30">
        <v>0</v>
      </c>
      <c r="X31" s="31">
        <v>143</v>
      </c>
      <c r="Y31" s="29">
        <v>567</v>
      </c>
      <c r="Z31" s="31">
        <v>311</v>
      </c>
      <c r="AA31" s="29">
        <v>566</v>
      </c>
      <c r="AB31" s="31">
        <v>293</v>
      </c>
      <c r="AC31" s="29">
        <v>460</v>
      </c>
      <c r="AD31">
        <v>260</v>
      </c>
      <c r="AE31" s="29">
        <v>343</v>
      </c>
      <c r="AF31" s="30">
        <v>146</v>
      </c>
      <c r="AG31" s="31">
        <v>50</v>
      </c>
      <c r="AH31" s="136">
        <v>-1.7636684303350969E-3</v>
      </c>
      <c r="AI31" s="33">
        <v>-0.18871252204585537</v>
      </c>
      <c r="AJ31" s="33">
        <v>-0.1872791519434629</v>
      </c>
      <c r="AK31" s="33">
        <v>-5.7877813504823149E-2</v>
      </c>
      <c r="AL31" s="33">
        <v>-0.16398713826366559</v>
      </c>
      <c r="AM31" s="33">
        <v>-0.11262798634812286</v>
      </c>
      <c r="AN31" s="34">
        <v>0.90373280943025536</v>
      </c>
      <c r="AO31" s="33">
        <v>0.51080550098231825</v>
      </c>
      <c r="AP31" s="33">
        <v>0.2868369351669941</v>
      </c>
      <c r="AQ31" s="33">
        <v>9.8231827111984277E-2</v>
      </c>
      <c r="AR31" s="35">
        <v>4.5028142589118199E-2</v>
      </c>
      <c r="AS31" s="251">
        <f t="shared" si="0"/>
        <v>5.50098231827112E-2</v>
      </c>
      <c r="AT31" s="252">
        <f t="shared" si="1"/>
        <v>-0.24950884086444008</v>
      </c>
      <c r="AU31" s="29">
        <v>252</v>
      </c>
      <c r="AV31" s="30">
        <v>272</v>
      </c>
      <c r="AW31" s="31">
        <v>225</v>
      </c>
      <c r="AX31" s="136">
        <v>7.9365079365079361E-2</v>
      </c>
      <c r="AY31" s="33">
        <v>-0.10714285714285714</v>
      </c>
      <c r="AZ31" s="35">
        <v>-0.17279411764705882</v>
      </c>
      <c r="BA31" s="29">
        <v>44</v>
      </c>
      <c r="BB31" s="31">
        <v>43</v>
      </c>
      <c r="BC31" s="29">
        <v>5</v>
      </c>
      <c r="BD31" s="31">
        <v>4</v>
      </c>
      <c r="BE31" s="29">
        <v>239</v>
      </c>
      <c r="BF31" s="30">
        <v>460</v>
      </c>
      <c r="BG31" s="33">
        <v>0.51956521739130435</v>
      </c>
      <c r="BH31" s="30">
        <v>129</v>
      </c>
      <c r="BI31" s="30">
        <v>225</v>
      </c>
      <c r="BJ31" s="35">
        <v>0.57333333333333336</v>
      </c>
    </row>
    <row r="32" spans="1:62" x14ac:dyDescent="0.25">
      <c r="E32" t="s">
        <v>148</v>
      </c>
      <c r="F32" s="32">
        <v>148</v>
      </c>
      <c r="G32" s="29">
        <v>134</v>
      </c>
      <c r="H32" s="30">
        <v>9</v>
      </c>
      <c r="I32" s="30">
        <v>143</v>
      </c>
      <c r="J32" s="31">
        <v>0</v>
      </c>
      <c r="K32" s="29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1">
        <v>1</v>
      </c>
      <c r="S32" s="32">
        <v>105</v>
      </c>
      <c r="T32" s="29">
        <v>121</v>
      </c>
      <c r="U32" s="30">
        <v>0</v>
      </c>
      <c r="V32" s="30">
        <v>0</v>
      </c>
      <c r="W32" s="30">
        <v>0</v>
      </c>
      <c r="X32" s="31">
        <v>121</v>
      </c>
      <c r="Y32" s="29">
        <v>320</v>
      </c>
      <c r="Z32" s="31">
        <v>133</v>
      </c>
      <c r="AA32" s="29">
        <v>359</v>
      </c>
      <c r="AB32" s="31">
        <v>135</v>
      </c>
      <c r="AC32" s="29">
        <v>383</v>
      </c>
      <c r="AD32">
        <v>146</v>
      </c>
      <c r="AE32" s="29">
        <v>33</v>
      </c>
      <c r="AF32" s="30">
        <v>12</v>
      </c>
      <c r="AG32" s="31">
        <v>26</v>
      </c>
      <c r="AH32" s="136">
        <v>0.121875</v>
      </c>
      <c r="AI32" s="33">
        <v>0.19687499999999999</v>
      </c>
      <c r="AJ32" s="33">
        <v>6.6852367688022288E-2</v>
      </c>
      <c r="AK32" s="33">
        <v>1.5037593984962405E-2</v>
      </c>
      <c r="AL32" s="33">
        <v>9.7744360902255634E-2</v>
      </c>
      <c r="AM32" s="33">
        <v>8.1481481481481488E-2</v>
      </c>
      <c r="AN32" s="34">
        <v>2.8582089552238807</v>
      </c>
      <c r="AO32" s="33">
        <v>1.0895522388059702</v>
      </c>
      <c r="AP32" s="33">
        <v>8.9552238805970144E-2</v>
      </c>
      <c r="AQ32" s="33">
        <v>0.19402985074626866</v>
      </c>
      <c r="AR32" s="35">
        <v>7.4074074074074077E-3</v>
      </c>
      <c r="AS32" s="251">
        <f t="shared" si="0"/>
        <v>0.78358208955223885</v>
      </c>
      <c r="AT32" s="252">
        <f t="shared" si="1"/>
        <v>-0.11940298507462686</v>
      </c>
      <c r="AU32" s="29">
        <v>65</v>
      </c>
      <c r="AV32" s="30">
        <v>61</v>
      </c>
      <c r="AW32" s="31">
        <v>66</v>
      </c>
      <c r="AX32" s="136">
        <v>-6.1538461538461542E-2</v>
      </c>
      <c r="AY32" s="33">
        <v>1.5384615384615385E-2</v>
      </c>
      <c r="AZ32" s="35">
        <v>8.1967213114754092E-2</v>
      </c>
      <c r="BA32" s="29">
        <v>45</v>
      </c>
      <c r="BB32" s="31">
        <v>45</v>
      </c>
      <c r="BC32" s="29">
        <v>11</v>
      </c>
      <c r="BD32" s="31">
        <v>7.5</v>
      </c>
      <c r="BE32" s="29">
        <v>286</v>
      </c>
      <c r="BF32" s="30">
        <v>383</v>
      </c>
      <c r="BG32" s="33">
        <v>0.74673629242819839</v>
      </c>
      <c r="BH32" s="30">
        <v>37</v>
      </c>
      <c r="BI32" s="30">
        <v>66</v>
      </c>
      <c r="BJ32" s="35">
        <v>0.56060606060606055</v>
      </c>
    </row>
    <row r="33" spans="1:62" x14ac:dyDescent="0.25">
      <c r="E33" t="s">
        <v>97</v>
      </c>
      <c r="F33" s="32">
        <v>99</v>
      </c>
      <c r="G33" s="29">
        <v>89</v>
      </c>
      <c r="H33" s="30">
        <v>0</v>
      </c>
      <c r="I33" s="30">
        <v>89</v>
      </c>
      <c r="J33" s="31">
        <v>0</v>
      </c>
      <c r="K33" s="29">
        <v>0</v>
      </c>
      <c r="L33" s="30">
        <v>0</v>
      </c>
      <c r="M33" s="30">
        <v>1</v>
      </c>
      <c r="N33" s="30">
        <v>0</v>
      </c>
      <c r="O33" s="30">
        <v>1</v>
      </c>
      <c r="P33" s="30">
        <v>0</v>
      </c>
      <c r="Q33" s="30">
        <v>6</v>
      </c>
      <c r="R33" s="31">
        <v>2</v>
      </c>
      <c r="S33" s="32">
        <v>0</v>
      </c>
      <c r="T33" s="29">
        <v>17</v>
      </c>
      <c r="U33" s="30">
        <v>0</v>
      </c>
      <c r="V33" s="30">
        <v>6</v>
      </c>
      <c r="W33" s="30">
        <v>0</v>
      </c>
      <c r="X33" s="31">
        <v>11</v>
      </c>
      <c r="Y33" s="29">
        <v>87</v>
      </c>
      <c r="Z33" s="31">
        <v>44</v>
      </c>
      <c r="AA33" s="29">
        <v>104</v>
      </c>
      <c r="AB33" s="31">
        <v>60</v>
      </c>
      <c r="AC33" s="29">
        <v>64</v>
      </c>
      <c r="AD33">
        <v>29</v>
      </c>
      <c r="AE33" s="29">
        <v>71</v>
      </c>
      <c r="AF33" s="30">
        <v>22</v>
      </c>
      <c r="AG33" s="31">
        <v>8</v>
      </c>
      <c r="AH33" s="136">
        <v>0.19540229885057472</v>
      </c>
      <c r="AI33" s="33">
        <v>-0.26436781609195403</v>
      </c>
      <c r="AJ33" s="33">
        <v>-0.38461538461538464</v>
      </c>
      <c r="AK33" s="33">
        <v>0.36363636363636365</v>
      </c>
      <c r="AL33" s="33">
        <v>-0.34090909090909088</v>
      </c>
      <c r="AM33" s="33">
        <v>-0.51666666666666672</v>
      </c>
      <c r="AN33" s="34">
        <v>0.7191011235955056</v>
      </c>
      <c r="AO33" s="33">
        <v>0.3258426966292135</v>
      </c>
      <c r="AP33" s="33">
        <v>0.24719101123595505</v>
      </c>
      <c r="AQ33" s="33">
        <v>8.98876404494382E-2</v>
      </c>
      <c r="AR33" s="35">
        <v>2.197802197802198E-2</v>
      </c>
      <c r="AS33" s="251">
        <f t="shared" si="0"/>
        <v>0</v>
      </c>
      <c r="AT33" s="252">
        <f t="shared" si="1"/>
        <v>-0.19101123595505617</v>
      </c>
      <c r="AU33" s="29">
        <v>56</v>
      </c>
      <c r="AV33" s="30">
        <v>51</v>
      </c>
      <c r="AW33" s="31">
        <v>45</v>
      </c>
      <c r="AX33" s="136">
        <v>-8.9285714285714288E-2</v>
      </c>
      <c r="AY33" s="33">
        <v>-0.19642857142857142</v>
      </c>
      <c r="AZ33" s="35">
        <v>-0.11764705882352941</v>
      </c>
      <c r="BA33" s="29">
        <v>51.5</v>
      </c>
      <c r="BB33" s="31">
        <v>49</v>
      </c>
      <c r="BC33" s="29">
        <v>9</v>
      </c>
      <c r="BD33" s="31">
        <v>6</v>
      </c>
      <c r="BE33" s="29">
        <v>31</v>
      </c>
      <c r="BF33" s="30">
        <v>64</v>
      </c>
      <c r="BG33" s="33">
        <v>0.484375</v>
      </c>
      <c r="BH33" s="30">
        <v>26</v>
      </c>
      <c r="BI33" s="30">
        <v>45</v>
      </c>
      <c r="BJ33" s="35">
        <v>0.57777777777777772</v>
      </c>
    </row>
    <row r="34" spans="1:62" x14ac:dyDescent="0.25">
      <c r="A34" s="134"/>
      <c r="B34" s="134"/>
      <c r="C34" s="134"/>
      <c r="D34" s="134" t="s">
        <v>141</v>
      </c>
      <c r="E34" s="134"/>
      <c r="F34" s="25">
        <v>5871</v>
      </c>
      <c r="G34" s="22">
        <v>5378</v>
      </c>
      <c r="H34" s="23">
        <v>0</v>
      </c>
      <c r="I34" s="23">
        <v>5378</v>
      </c>
      <c r="J34" s="24">
        <v>0</v>
      </c>
      <c r="K34" s="22">
        <v>0</v>
      </c>
      <c r="L34" s="23">
        <v>13</v>
      </c>
      <c r="M34" s="23">
        <v>133</v>
      </c>
      <c r="N34" s="23">
        <v>8</v>
      </c>
      <c r="O34" s="23">
        <v>58</v>
      </c>
      <c r="P34" s="23">
        <v>0</v>
      </c>
      <c r="Q34" s="23">
        <v>41</v>
      </c>
      <c r="R34" s="24">
        <v>228</v>
      </c>
      <c r="S34" s="25">
        <v>302</v>
      </c>
      <c r="T34" s="22">
        <v>80</v>
      </c>
      <c r="U34" s="23">
        <v>5</v>
      </c>
      <c r="V34" s="23">
        <v>24</v>
      </c>
      <c r="W34" s="23">
        <v>24</v>
      </c>
      <c r="X34" s="24">
        <v>27</v>
      </c>
      <c r="Y34" s="22">
        <v>28941</v>
      </c>
      <c r="Z34" s="24">
        <v>5254</v>
      </c>
      <c r="AA34" s="22">
        <v>27483</v>
      </c>
      <c r="AB34" s="24">
        <v>5044</v>
      </c>
      <c r="AC34" s="22">
        <v>23906</v>
      </c>
      <c r="AD34" s="134">
        <v>4885</v>
      </c>
      <c r="AE34" s="22">
        <v>1018</v>
      </c>
      <c r="AF34" s="23">
        <v>176</v>
      </c>
      <c r="AG34" s="24">
        <v>1628</v>
      </c>
      <c r="AH34" s="135">
        <v>-5.0378355965585153E-2</v>
      </c>
      <c r="AI34" s="26">
        <v>-0.17397463805673613</v>
      </c>
      <c r="AJ34" s="26">
        <v>-0.13015318560564712</v>
      </c>
      <c r="AK34" s="26">
        <v>-3.9969547011800534E-2</v>
      </c>
      <c r="AL34" s="26">
        <v>-7.0232204035020937E-2</v>
      </c>
      <c r="AM34" s="26">
        <v>-3.1522601110229975E-2</v>
      </c>
      <c r="AN34" s="27">
        <v>4.445146894756415</v>
      </c>
      <c r="AO34" s="26">
        <v>0.90833023428783932</v>
      </c>
      <c r="AP34" s="26">
        <v>3.2725920416511713E-2</v>
      </c>
      <c r="AQ34" s="26">
        <v>0.30271476385273338</v>
      </c>
      <c r="AR34" s="28">
        <v>4.0670709953621119E-2</v>
      </c>
      <c r="AS34" s="249">
        <f t="shared" si="0"/>
        <v>5.6154704351059875E-2</v>
      </c>
      <c r="AT34" s="250">
        <f t="shared" si="1"/>
        <v>4.1279285979918187E-2</v>
      </c>
      <c r="AU34" s="22">
        <v>1105</v>
      </c>
      <c r="AV34" s="23">
        <v>1009</v>
      </c>
      <c r="AW34" s="24">
        <v>908</v>
      </c>
      <c r="AX34" s="135">
        <v>-8.6877828054298639E-2</v>
      </c>
      <c r="AY34" s="26">
        <v>-0.17828054298642534</v>
      </c>
      <c r="AZ34" s="28">
        <v>-0.10009910802775025</v>
      </c>
      <c r="BA34" s="22">
        <v>52</v>
      </c>
      <c r="BB34" s="24">
        <v>40</v>
      </c>
      <c r="BC34" s="22">
        <v>5</v>
      </c>
      <c r="BD34" s="24">
        <v>4</v>
      </c>
      <c r="BE34" s="22">
        <v>16482</v>
      </c>
      <c r="BF34" s="23">
        <v>23909</v>
      </c>
      <c r="BG34" s="26">
        <v>0.68936383788531519</v>
      </c>
      <c r="BH34" s="23">
        <v>613</v>
      </c>
      <c r="BI34" s="23">
        <v>908</v>
      </c>
      <c r="BJ34" s="28">
        <v>0.67511013215859028</v>
      </c>
    </row>
    <row r="35" spans="1:62" x14ac:dyDescent="0.25">
      <c r="E35" t="s">
        <v>97</v>
      </c>
      <c r="F35" s="32">
        <v>5871</v>
      </c>
      <c r="G35" s="29">
        <v>5378</v>
      </c>
      <c r="H35" s="30">
        <v>0</v>
      </c>
      <c r="I35" s="30">
        <v>5378</v>
      </c>
      <c r="J35" s="31">
        <v>0</v>
      </c>
      <c r="K35" s="29">
        <v>0</v>
      </c>
      <c r="L35" s="30">
        <v>13</v>
      </c>
      <c r="M35" s="30">
        <v>133</v>
      </c>
      <c r="N35" s="30">
        <v>8</v>
      </c>
      <c r="O35" s="30">
        <v>58</v>
      </c>
      <c r="P35" s="30">
        <v>0</v>
      </c>
      <c r="Q35" s="30">
        <v>41</v>
      </c>
      <c r="R35" s="31">
        <v>228</v>
      </c>
      <c r="S35" s="32">
        <v>302</v>
      </c>
      <c r="T35" s="29">
        <v>80</v>
      </c>
      <c r="U35" s="30">
        <v>5</v>
      </c>
      <c r="V35" s="30">
        <v>24</v>
      </c>
      <c r="W35" s="30">
        <v>24</v>
      </c>
      <c r="X35" s="31">
        <v>27</v>
      </c>
      <c r="Y35" s="29">
        <v>28941</v>
      </c>
      <c r="Z35" s="31">
        <v>5254</v>
      </c>
      <c r="AA35" s="29">
        <v>27483</v>
      </c>
      <c r="AB35" s="31">
        <v>5044</v>
      </c>
      <c r="AC35" s="29">
        <v>23906</v>
      </c>
      <c r="AD35">
        <v>4885</v>
      </c>
      <c r="AE35" s="29">
        <v>1018</v>
      </c>
      <c r="AF35" s="30">
        <v>176</v>
      </c>
      <c r="AG35" s="31">
        <v>1628</v>
      </c>
      <c r="AH35" s="136">
        <v>-5.0378355965585153E-2</v>
      </c>
      <c r="AI35" s="33">
        <v>-0.17397463805673613</v>
      </c>
      <c r="AJ35" s="33">
        <v>-0.13015318560564712</v>
      </c>
      <c r="AK35" s="33">
        <v>-3.9969547011800534E-2</v>
      </c>
      <c r="AL35" s="33">
        <v>-7.0232204035020937E-2</v>
      </c>
      <c r="AM35" s="33">
        <v>-3.1522601110229975E-2</v>
      </c>
      <c r="AN35" s="34">
        <v>4.445146894756415</v>
      </c>
      <c r="AO35" s="33">
        <v>0.90833023428783932</v>
      </c>
      <c r="AP35" s="33">
        <v>3.2725920416511713E-2</v>
      </c>
      <c r="AQ35" s="33">
        <v>0.30271476385273338</v>
      </c>
      <c r="AR35" s="35">
        <v>4.0670709953621119E-2</v>
      </c>
      <c r="AS35" s="251">
        <f t="shared" si="0"/>
        <v>5.6154704351059875E-2</v>
      </c>
      <c r="AT35" s="252">
        <f t="shared" si="1"/>
        <v>4.1279285979918187E-2</v>
      </c>
      <c r="AU35" s="29">
        <v>1098</v>
      </c>
      <c r="AV35" s="30">
        <v>1003</v>
      </c>
      <c r="AW35" s="31">
        <v>907</v>
      </c>
      <c r="AX35" s="136">
        <v>-8.6520947176684876E-2</v>
      </c>
      <c r="AY35" s="33">
        <v>-0.17395264116575593</v>
      </c>
      <c r="AZ35" s="35">
        <v>-9.5712861415752748E-2</v>
      </c>
      <c r="BA35" s="29">
        <v>52</v>
      </c>
      <c r="BB35" s="31">
        <v>40</v>
      </c>
      <c r="BC35" s="29">
        <v>5</v>
      </c>
      <c r="BD35" s="31">
        <v>4</v>
      </c>
      <c r="BE35" s="29">
        <v>16481</v>
      </c>
      <c r="BF35" s="30">
        <v>23906</v>
      </c>
      <c r="BG35" s="33">
        <v>0.68940851669037062</v>
      </c>
      <c r="BH35" s="30">
        <v>612</v>
      </c>
      <c r="BI35" s="30">
        <v>907</v>
      </c>
      <c r="BJ35" s="35">
        <v>0.67475192943770668</v>
      </c>
    </row>
    <row r="36" spans="1:62" x14ac:dyDescent="0.25">
      <c r="A36" s="134"/>
      <c r="B36" s="134"/>
      <c r="C36" s="134"/>
      <c r="D36" s="134" t="s">
        <v>159</v>
      </c>
      <c r="E36" s="134"/>
      <c r="F36" s="25">
        <v>969</v>
      </c>
      <c r="G36" s="22">
        <v>879</v>
      </c>
      <c r="H36" s="23">
        <v>0</v>
      </c>
      <c r="I36" s="23">
        <v>879</v>
      </c>
      <c r="J36" s="24">
        <v>0</v>
      </c>
      <c r="K36" s="22">
        <v>0</v>
      </c>
      <c r="L36" s="23">
        <v>23</v>
      </c>
      <c r="M36" s="23">
        <v>12</v>
      </c>
      <c r="N36" s="23">
        <v>2</v>
      </c>
      <c r="O36" s="23">
        <v>2</v>
      </c>
      <c r="P36" s="23">
        <v>0</v>
      </c>
      <c r="Q36" s="23">
        <v>8</v>
      </c>
      <c r="R36" s="24">
        <v>43</v>
      </c>
      <c r="S36" s="25">
        <v>87</v>
      </c>
      <c r="T36" s="22">
        <v>12</v>
      </c>
      <c r="U36" s="23">
        <v>0</v>
      </c>
      <c r="V36" s="23">
        <v>7</v>
      </c>
      <c r="W36" s="23">
        <v>1</v>
      </c>
      <c r="X36" s="24">
        <v>4</v>
      </c>
      <c r="Y36" s="22">
        <v>2500</v>
      </c>
      <c r="Z36" s="24">
        <v>660</v>
      </c>
      <c r="AA36" s="22">
        <v>2347</v>
      </c>
      <c r="AB36" s="24">
        <v>646</v>
      </c>
      <c r="AC36" s="22">
        <v>2288</v>
      </c>
      <c r="AD36" s="134">
        <v>673</v>
      </c>
      <c r="AE36" s="22">
        <v>274</v>
      </c>
      <c r="AF36" s="23">
        <v>74</v>
      </c>
      <c r="AG36" s="24">
        <v>174</v>
      </c>
      <c r="AH36" s="135">
        <v>-6.1199999999999997E-2</v>
      </c>
      <c r="AI36" s="26">
        <v>-8.48E-2</v>
      </c>
      <c r="AJ36" s="26">
        <v>-2.5138474648487431E-2</v>
      </c>
      <c r="AK36" s="26">
        <v>-2.1212121212121213E-2</v>
      </c>
      <c r="AL36" s="26">
        <v>1.9696969696969695E-2</v>
      </c>
      <c r="AM36" s="26">
        <v>4.1795665634674919E-2</v>
      </c>
      <c r="AN36" s="27">
        <v>2.6029579067121729</v>
      </c>
      <c r="AO36" s="26">
        <v>0.76564277588168372</v>
      </c>
      <c r="AP36" s="26">
        <v>8.418657565415244E-2</v>
      </c>
      <c r="AQ36" s="26">
        <v>0.19795221843003413</v>
      </c>
      <c r="AR36" s="28">
        <v>4.6637744034707156E-2</v>
      </c>
      <c r="AS36" s="249">
        <f t="shared" si="0"/>
        <v>9.8976109215017066E-2</v>
      </c>
      <c r="AT36" s="250">
        <f t="shared" si="1"/>
        <v>8.5324232081911269E-2</v>
      </c>
      <c r="AU36" s="22">
        <v>341</v>
      </c>
      <c r="AV36" s="23">
        <v>338</v>
      </c>
      <c r="AW36" s="24">
        <v>326</v>
      </c>
      <c r="AX36" s="135">
        <v>-8.7976539589442824E-3</v>
      </c>
      <c r="AY36" s="26">
        <v>-4.398826979472141E-2</v>
      </c>
      <c r="AZ36" s="28">
        <v>-3.5502958579881658E-2</v>
      </c>
      <c r="BA36" s="22">
        <v>49</v>
      </c>
      <c r="BB36" s="24">
        <v>46</v>
      </c>
      <c r="BC36" s="22">
        <v>6</v>
      </c>
      <c r="BD36" s="24">
        <v>5.5</v>
      </c>
      <c r="BE36" s="22">
        <v>1413</v>
      </c>
      <c r="BF36" s="23">
        <v>2288</v>
      </c>
      <c r="BG36" s="26">
        <v>0.61756993006993011</v>
      </c>
      <c r="BH36" s="23">
        <v>215</v>
      </c>
      <c r="BI36" s="23">
        <v>326</v>
      </c>
      <c r="BJ36" s="28">
        <v>0.6595092024539877</v>
      </c>
    </row>
    <row r="37" spans="1:62" x14ac:dyDescent="0.25">
      <c r="E37" t="s">
        <v>97</v>
      </c>
      <c r="F37" s="32">
        <v>968</v>
      </c>
      <c r="G37" s="29">
        <v>878</v>
      </c>
      <c r="H37" s="30">
        <v>0</v>
      </c>
      <c r="I37" s="30">
        <v>878</v>
      </c>
      <c r="J37" s="31">
        <v>0</v>
      </c>
      <c r="K37" s="29">
        <v>0</v>
      </c>
      <c r="L37" s="30">
        <v>23</v>
      </c>
      <c r="M37" s="30">
        <v>12</v>
      </c>
      <c r="N37" s="30">
        <v>2</v>
      </c>
      <c r="O37" s="30">
        <v>2</v>
      </c>
      <c r="P37" s="30">
        <v>0</v>
      </c>
      <c r="Q37" s="30">
        <v>8</v>
      </c>
      <c r="R37" s="31">
        <v>43</v>
      </c>
      <c r="S37" s="32">
        <v>87</v>
      </c>
      <c r="T37" s="29">
        <v>12</v>
      </c>
      <c r="U37" s="30">
        <v>0</v>
      </c>
      <c r="V37" s="30">
        <v>7</v>
      </c>
      <c r="W37" s="30">
        <v>1</v>
      </c>
      <c r="X37" s="31">
        <v>4</v>
      </c>
      <c r="Y37" s="29">
        <v>2498</v>
      </c>
      <c r="Z37" s="31">
        <v>659</v>
      </c>
      <c r="AA37" s="29">
        <v>2344</v>
      </c>
      <c r="AB37" s="31">
        <v>645</v>
      </c>
      <c r="AC37" s="29">
        <v>2286</v>
      </c>
      <c r="AD37">
        <v>672</v>
      </c>
      <c r="AE37" s="29">
        <v>274</v>
      </c>
      <c r="AF37" s="30">
        <v>74</v>
      </c>
      <c r="AG37" s="31">
        <v>174</v>
      </c>
      <c r="AH37" s="136">
        <v>-6.1649319455564448E-2</v>
      </c>
      <c r="AI37" s="33">
        <v>-8.4867894315452358E-2</v>
      </c>
      <c r="AJ37" s="33">
        <v>-2.4744027303754267E-2</v>
      </c>
      <c r="AK37" s="33">
        <v>-2.1244309559939303E-2</v>
      </c>
      <c r="AL37" s="33">
        <v>1.9726858877086494E-2</v>
      </c>
      <c r="AM37" s="33">
        <v>4.1860465116279069E-2</v>
      </c>
      <c r="AN37" s="34">
        <v>2.6036446469248293</v>
      </c>
      <c r="AO37" s="33">
        <v>0.76537585421412302</v>
      </c>
      <c r="AP37" s="33">
        <v>8.4282460136674259E-2</v>
      </c>
      <c r="AQ37" s="33">
        <v>0.19817767653758542</v>
      </c>
      <c r="AR37" s="35">
        <v>4.6688382193268187E-2</v>
      </c>
      <c r="AS37" s="251">
        <f t="shared" si="0"/>
        <v>9.9088838268792709E-2</v>
      </c>
      <c r="AT37" s="252">
        <f t="shared" si="1"/>
        <v>8.5421412300683369E-2</v>
      </c>
      <c r="AU37" s="29">
        <v>341</v>
      </c>
      <c r="AV37" s="30">
        <v>337</v>
      </c>
      <c r="AW37" s="31">
        <v>326</v>
      </c>
      <c r="AX37" s="136">
        <v>-1.1730205278592375E-2</v>
      </c>
      <c r="AY37" s="33">
        <v>-4.398826979472141E-2</v>
      </c>
      <c r="AZ37" s="35">
        <v>-3.2640949554896145E-2</v>
      </c>
      <c r="BA37" s="29">
        <v>49</v>
      </c>
      <c r="BB37" s="31">
        <v>46</v>
      </c>
      <c r="BC37" s="29">
        <v>6</v>
      </c>
      <c r="BD37" s="31">
        <v>5.5</v>
      </c>
      <c r="BE37" s="29">
        <v>1413</v>
      </c>
      <c r="BF37" s="30">
        <v>2286</v>
      </c>
      <c r="BG37" s="33">
        <v>0.61811023622047245</v>
      </c>
      <c r="BH37" s="30">
        <v>215</v>
      </c>
      <c r="BI37" s="30">
        <v>326</v>
      </c>
      <c r="BJ37" s="35">
        <v>0.6595092024539877</v>
      </c>
    </row>
    <row r="38" spans="1:62" x14ac:dyDescent="0.25">
      <c r="A38" s="132"/>
      <c r="B38" s="132"/>
      <c r="C38" s="132" t="s">
        <v>160</v>
      </c>
      <c r="D38" s="132"/>
      <c r="E38" s="132"/>
      <c r="F38" s="18">
        <v>679</v>
      </c>
      <c r="G38" s="15">
        <v>651</v>
      </c>
      <c r="H38" s="16">
        <v>1</v>
      </c>
      <c r="I38" s="16">
        <v>652</v>
      </c>
      <c r="J38" s="17">
        <v>0</v>
      </c>
      <c r="K38" s="15">
        <v>0</v>
      </c>
      <c r="L38" s="16">
        <v>3</v>
      </c>
      <c r="M38" s="16">
        <v>7</v>
      </c>
      <c r="N38" s="16">
        <v>1</v>
      </c>
      <c r="O38" s="16">
        <v>4</v>
      </c>
      <c r="P38" s="16">
        <v>0</v>
      </c>
      <c r="Q38" s="16">
        <v>4</v>
      </c>
      <c r="R38" s="17">
        <v>8</v>
      </c>
      <c r="S38" s="18">
        <v>88</v>
      </c>
      <c r="T38" s="15">
        <v>19</v>
      </c>
      <c r="U38" s="16">
        <v>1</v>
      </c>
      <c r="V38" s="16">
        <v>4</v>
      </c>
      <c r="W38" s="16">
        <v>4</v>
      </c>
      <c r="X38" s="17">
        <v>10</v>
      </c>
      <c r="Y38" s="15">
        <v>440</v>
      </c>
      <c r="Z38" s="17">
        <v>208</v>
      </c>
      <c r="AA38" s="15">
        <v>889</v>
      </c>
      <c r="AB38" s="17">
        <v>299</v>
      </c>
      <c r="AC38" s="15">
        <v>809</v>
      </c>
      <c r="AD38" s="132">
        <v>336</v>
      </c>
      <c r="AE38" s="15">
        <v>331</v>
      </c>
      <c r="AF38" s="16">
        <v>100</v>
      </c>
      <c r="AG38" s="17">
        <v>70</v>
      </c>
      <c r="AH38" s="133">
        <v>1.0204545454545455</v>
      </c>
      <c r="AI38" s="19">
        <v>0.83863636363636362</v>
      </c>
      <c r="AJ38" s="19">
        <v>-8.9988751406074236E-2</v>
      </c>
      <c r="AK38" s="19">
        <v>0.4375</v>
      </c>
      <c r="AL38" s="19">
        <v>0.61538461538461542</v>
      </c>
      <c r="AM38" s="19">
        <v>0.12374581939799331</v>
      </c>
      <c r="AN38" s="20">
        <v>1.2427035330261136</v>
      </c>
      <c r="AO38" s="19">
        <v>0.5161290322580645</v>
      </c>
      <c r="AP38" s="19">
        <v>0.15360983102918588</v>
      </c>
      <c r="AQ38" s="19">
        <v>0.10752688172043011</v>
      </c>
      <c r="AR38" s="21">
        <v>1.2139605462822459E-2</v>
      </c>
      <c r="AS38" s="247">
        <f t="shared" si="0"/>
        <v>0.13517665130568357</v>
      </c>
      <c r="AT38" s="248">
        <f t="shared" si="1"/>
        <v>0.10599078341013825</v>
      </c>
      <c r="AU38" s="15">
        <v>133</v>
      </c>
      <c r="AV38" s="16">
        <v>226</v>
      </c>
      <c r="AW38" s="17">
        <v>278</v>
      </c>
      <c r="AX38" s="133">
        <v>0.6992481203007519</v>
      </c>
      <c r="AY38" s="19">
        <v>1.0902255639097744</v>
      </c>
      <c r="AZ38" s="21">
        <v>0.23008849557522124</v>
      </c>
      <c r="BA38" s="15">
        <v>28</v>
      </c>
      <c r="BB38" s="17">
        <v>29</v>
      </c>
      <c r="BC38" s="15">
        <v>3</v>
      </c>
      <c r="BD38" s="17">
        <v>3</v>
      </c>
      <c r="BE38" s="15">
        <v>558</v>
      </c>
      <c r="BF38" s="16">
        <v>809</v>
      </c>
      <c r="BG38" s="19">
        <v>0.68974042027194071</v>
      </c>
      <c r="BH38" s="16">
        <v>194</v>
      </c>
      <c r="BI38" s="16">
        <v>278</v>
      </c>
      <c r="BJ38" s="21">
        <v>0.69784172661870503</v>
      </c>
    </row>
    <row r="39" spans="1:62" x14ac:dyDescent="0.25">
      <c r="A39" s="134"/>
      <c r="B39" s="134"/>
      <c r="C39" s="134"/>
      <c r="D39" s="134" t="s">
        <v>161</v>
      </c>
      <c r="E39" s="134"/>
      <c r="F39" s="25">
        <v>451</v>
      </c>
      <c r="G39" s="22">
        <v>432</v>
      </c>
      <c r="H39" s="23">
        <v>0</v>
      </c>
      <c r="I39" s="23">
        <v>432</v>
      </c>
      <c r="J39" s="24">
        <v>0</v>
      </c>
      <c r="K39" s="22">
        <v>0</v>
      </c>
      <c r="L39" s="23">
        <v>3</v>
      </c>
      <c r="M39" s="23">
        <v>5</v>
      </c>
      <c r="N39" s="23">
        <v>1</v>
      </c>
      <c r="O39" s="23">
        <v>2</v>
      </c>
      <c r="P39" s="23">
        <v>0</v>
      </c>
      <c r="Q39" s="23">
        <v>3</v>
      </c>
      <c r="R39" s="24">
        <v>5</v>
      </c>
      <c r="S39" s="25">
        <v>23</v>
      </c>
      <c r="T39" s="22">
        <v>6</v>
      </c>
      <c r="U39" s="23">
        <v>0</v>
      </c>
      <c r="V39" s="23">
        <v>3</v>
      </c>
      <c r="W39" s="23">
        <v>3</v>
      </c>
      <c r="X39" s="24">
        <v>0</v>
      </c>
      <c r="Y39" s="22">
        <v>409</v>
      </c>
      <c r="Z39" s="24">
        <v>191</v>
      </c>
      <c r="AA39" s="22">
        <v>724</v>
      </c>
      <c r="AB39" s="24">
        <v>239</v>
      </c>
      <c r="AC39" s="22">
        <v>460</v>
      </c>
      <c r="AD39" s="134">
        <v>195</v>
      </c>
      <c r="AE39" s="22">
        <v>252</v>
      </c>
      <c r="AF39" s="23">
        <v>59</v>
      </c>
      <c r="AG39" s="24">
        <v>33</v>
      </c>
      <c r="AH39" s="135">
        <v>0.77017114914425433</v>
      </c>
      <c r="AI39" s="26">
        <v>0.12469437652811736</v>
      </c>
      <c r="AJ39" s="26">
        <v>-0.36464088397790057</v>
      </c>
      <c r="AK39" s="26">
        <v>0.2513089005235602</v>
      </c>
      <c r="AL39" s="26">
        <v>2.0942408376963352E-2</v>
      </c>
      <c r="AM39" s="26">
        <v>-0.18410041841004185</v>
      </c>
      <c r="AN39" s="27">
        <v>1.0648148148148149</v>
      </c>
      <c r="AO39" s="26">
        <v>0.4513888888888889</v>
      </c>
      <c r="AP39" s="26">
        <v>0.13657407407407407</v>
      </c>
      <c r="AQ39" s="26">
        <v>7.6388888888888895E-2</v>
      </c>
      <c r="AR39" s="28">
        <v>1.1441647597254004E-2</v>
      </c>
      <c r="AS39" s="249">
        <f t="shared" si="0"/>
        <v>5.3240740740740741E-2</v>
      </c>
      <c r="AT39" s="250">
        <f t="shared" si="1"/>
        <v>3.9351851851851853E-2</v>
      </c>
      <c r="AU39" s="22">
        <v>122</v>
      </c>
      <c r="AV39" s="23">
        <v>168</v>
      </c>
      <c r="AW39" s="24">
        <v>141</v>
      </c>
      <c r="AX39" s="135">
        <v>0.37704918032786883</v>
      </c>
      <c r="AY39" s="26">
        <v>0.15573770491803279</v>
      </c>
      <c r="AZ39" s="28">
        <v>-0.16071428571428573</v>
      </c>
      <c r="BA39" s="22">
        <v>28</v>
      </c>
      <c r="BB39" s="24">
        <v>35</v>
      </c>
      <c r="BC39" s="22">
        <v>3</v>
      </c>
      <c r="BD39" s="24">
        <v>3</v>
      </c>
      <c r="BE39" s="22">
        <v>325</v>
      </c>
      <c r="BF39" s="23">
        <v>460</v>
      </c>
      <c r="BG39" s="26">
        <v>0.70652173913043481</v>
      </c>
      <c r="BH39" s="23">
        <v>97</v>
      </c>
      <c r="BI39" s="23">
        <v>141</v>
      </c>
      <c r="BJ39" s="28">
        <v>0.68794326241134751</v>
      </c>
    </row>
    <row r="40" spans="1:62" x14ac:dyDescent="0.25">
      <c r="E40" t="s">
        <v>97</v>
      </c>
      <c r="F40" s="32">
        <v>447</v>
      </c>
      <c r="G40" s="29">
        <v>428</v>
      </c>
      <c r="H40" s="30">
        <v>0</v>
      </c>
      <c r="I40" s="30">
        <v>428</v>
      </c>
      <c r="J40" s="31">
        <v>0</v>
      </c>
      <c r="K40" s="29">
        <v>0</v>
      </c>
      <c r="L40" s="30">
        <v>3</v>
      </c>
      <c r="M40" s="30">
        <v>5</v>
      </c>
      <c r="N40" s="30">
        <v>1</v>
      </c>
      <c r="O40" s="30">
        <v>2</v>
      </c>
      <c r="P40" s="30">
        <v>0</v>
      </c>
      <c r="Q40" s="30">
        <v>3</v>
      </c>
      <c r="R40" s="31">
        <v>5</v>
      </c>
      <c r="S40" s="32">
        <v>23</v>
      </c>
      <c r="T40" s="29">
        <v>6</v>
      </c>
      <c r="U40" s="30">
        <v>0</v>
      </c>
      <c r="V40" s="30">
        <v>3</v>
      </c>
      <c r="W40" s="30">
        <v>3</v>
      </c>
      <c r="X40" s="31">
        <v>0</v>
      </c>
      <c r="Y40" s="29">
        <v>409</v>
      </c>
      <c r="Z40" s="31">
        <v>191</v>
      </c>
      <c r="AA40" s="29">
        <v>722</v>
      </c>
      <c r="AB40" s="31">
        <v>237</v>
      </c>
      <c r="AC40" s="29">
        <v>453</v>
      </c>
      <c r="AD40">
        <v>192</v>
      </c>
      <c r="AE40" s="29">
        <v>251</v>
      </c>
      <c r="AF40" s="30">
        <v>59</v>
      </c>
      <c r="AG40" s="31">
        <v>33</v>
      </c>
      <c r="AH40" s="136">
        <v>0.76528117359413206</v>
      </c>
      <c r="AI40" s="33">
        <v>0.10757946210268948</v>
      </c>
      <c r="AJ40" s="33">
        <v>-0.37257617728531855</v>
      </c>
      <c r="AK40" s="33">
        <v>0.24083769633507854</v>
      </c>
      <c r="AL40" s="33">
        <v>5.235602094240838E-3</v>
      </c>
      <c r="AM40" s="33">
        <v>-0.189873417721519</v>
      </c>
      <c r="AN40" s="34">
        <v>1.058411214953271</v>
      </c>
      <c r="AO40" s="33">
        <v>0.44859813084112149</v>
      </c>
      <c r="AP40" s="33">
        <v>0.13785046728971961</v>
      </c>
      <c r="AQ40" s="33">
        <v>7.7102803738317752E-2</v>
      </c>
      <c r="AR40" s="35">
        <v>1.1547344110854504E-2</v>
      </c>
      <c r="AS40" s="251">
        <f t="shared" si="0"/>
        <v>5.3738317757009345E-2</v>
      </c>
      <c r="AT40" s="252">
        <f t="shared" si="1"/>
        <v>3.9719626168224297E-2</v>
      </c>
      <c r="AU40" s="29">
        <v>122</v>
      </c>
      <c r="AV40" s="30">
        <v>166</v>
      </c>
      <c r="AW40" s="31">
        <v>137</v>
      </c>
      <c r="AX40" s="136">
        <v>0.36065573770491804</v>
      </c>
      <c r="AY40" s="33">
        <v>0.12295081967213115</v>
      </c>
      <c r="AZ40" s="35">
        <v>-0.1746987951807229</v>
      </c>
      <c r="BA40" s="29">
        <v>28</v>
      </c>
      <c r="BB40" s="31">
        <v>37</v>
      </c>
      <c r="BC40" s="29">
        <v>3</v>
      </c>
      <c r="BD40" s="31">
        <v>3</v>
      </c>
      <c r="BE40" s="29">
        <v>321</v>
      </c>
      <c r="BF40" s="30">
        <v>453</v>
      </c>
      <c r="BG40" s="33">
        <v>0.70860927152317876</v>
      </c>
      <c r="BH40" s="30">
        <v>94</v>
      </c>
      <c r="BI40" s="30">
        <v>137</v>
      </c>
      <c r="BJ40" s="35">
        <v>0.68613138686131392</v>
      </c>
    </row>
    <row r="41" spans="1:62" x14ac:dyDescent="0.25">
      <c r="A41" s="134"/>
      <c r="B41" s="134"/>
      <c r="C41" s="134"/>
      <c r="D41" s="134" t="s">
        <v>162</v>
      </c>
      <c r="E41" s="134"/>
      <c r="F41" s="25">
        <v>102</v>
      </c>
      <c r="G41" s="22">
        <v>96</v>
      </c>
      <c r="H41" s="23">
        <v>0</v>
      </c>
      <c r="I41" s="23">
        <v>96</v>
      </c>
      <c r="J41" s="24">
        <v>0</v>
      </c>
      <c r="K41" s="22">
        <v>0</v>
      </c>
      <c r="L41" s="23">
        <v>0</v>
      </c>
      <c r="M41" s="23">
        <v>1</v>
      </c>
      <c r="N41" s="23">
        <v>0</v>
      </c>
      <c r="O41" s="23">
        <v>1</v>
      </c>
      <c r="P41" s="23">
        <v>0</v>
      </c>
      <c r="Q41" s="23">
        <v>1</v>
      </c>
      <c r="R41" s="24">
        <v>3</v>
      </c>
      <c r="S41" s="25">
        <v>18</v>
      </c>
      <c r="T41" s="22">
        <v>2</v>
      </c>
      <c r="U41" s="23">
        <v>1</v>
      </c>
      <c r="V41" s="23">
        <v>1</v>
      </c>
      <c r="W41" s="23">
        <v>0</v>
      </c>
      <c r="X41" s="24">
        <v>0</v>
      </c>
      <c r="Y41" s="22">
        <v>17</v>
      </c>
      <c r="Z41" s="24">
        <v>11</v>
      </c>
      <c r="AA41" s="22">
        <v>69</v>
      </c>
      <c r="AB41" s="24">
        <v>27</v>
      </c>
      <c r="AC41" s="22">
        <v>127</v>
      </c>
      <c r="AD41" s="134">
        <v>62</v>
      </c>
      <c r="AE41" s="22">
        <v>38</v>
      </c>
      <c r="AF41" s="23">
        <v>17</v>
      </c>
      <c r="AG41" s="24">
        <v>20</v>
      </c>
      <c r="AH41" s="135">
        <v>3.0588235294117645</v>
      </c>
      <c r="AI41" s="26">
        <v>6.4705882352941178</v>
      </c>
      <c r="AJ41" s="26">
        <v>0.84057971014492749</v>
      </c>
      <c r="AK41" s="26">
        <v>1.4545454545454546</v>
      </c>
      <c r="AL41" s="26">
        <v>4.6363636363636367</v>
      </c>
      <c r="AM41" s="26">
        <v>1.2962962962962963</v>
      </c>
      <c r="AN41" s="27">
        <v>1.3229166666666667</v>
      </c>
      <c r="AO41" s="26">
        <v>0.64583333333333337</v>
      </c>
      <c r="AP41" s="26">
        <v>0.17708333333333334</v>
      </c>
      <c r="AQ41" s="26">
        <v>0.20833333333333334</v>
      </c>
      <c r="AR41" s="28">
        <v>3.0303030303030304E-2</v>
      </c>
      <c r="AS41" s="249">
        <f t="shared" si="0"/>
        <v>0.1875</v>
      </c>
      <c r="AT41" s="250">
        <f t="shared" si="1"/>
        <v>0.16666666666666666</v>
      </c>
      <c r="AU41" s="22">
        <v>15</v>
      </c>
      <c r="AV41" s="23">
        <v>41</v>
      </c>
      <c r="AW41" s="24">
        <v>79</v>
      </c>
      <c r="AX41" s="135">
        <v>1.7333333333333334</v>
      </c>
      <c r="AY41" s="26">
        <v>4.2666666666666666</v>
      </c>
      <c r="AZ41" s="28">
        <v>0.92682926829268297</v>
      </c>
      <c r="BA41" s="22">
        <v>30.5</v>
      </c>
      <c r="BB41" s="24">
        <v>25.5</v>
      </c>
      <c r="BC41" s="22">
        <v>3</v>
      </c>
      <c r="BD41" s="24">
        <v>2</v>
      </c>
      <c r="BE41" s="22">
        <v>87</v>
      </c>
      <c r="BF41" s="23">
        <v>127</v>
      </c>
      <c r="BG41" s="26">
        <v>0.68503937007874016</v>
      </c>
      <c r="BH41" s="23">
        <v>49</v>
      </c>
      <c r="BI41" s="23">
        <v>79</v>
      </c>
      <c r="BJ41" s="28">
        <v>0.620253164556962</v>
      </c>
    </row>
    <row r="42" spans="1:62" x14ac:dyDescent="0.25">
      <c r="E42" t="s">
        <v>68</v>
      </c>
      <c r="F42" s="32">
        <v>92</v>
      </c>
      <c r="G42" s="29">
        <v>89</v>
      </c>
      <c r="H42" s="30">
        <v>0</v>
      </c>
      <c r="I42" s="30">
        <v>89</v>
      </c>
      <c r="J42" s="31">
        <v>0</v>
      </c>
      <c r="K42" s="29">
        <v>0</v>
      </c>
      <c r="L42" s="30">
        <v>0</v>
      </c>
      <c r="M42" s="30">
        <v>1</v>
      </c>
      <c r="N42" s="30">
        <v>0</v>
      </c>
      <c r="O42" s="30">
        <v>1</v>
      </c>
      <c r="P42" s="30">
        <v>0</v>
      </c>
      <c r="Q42" s="30">
        <v>0</v>
      </c>
      <c r="R42" s="31">
        <v>1</v>
      </c>
      <c r="S42" s="32">
        <v>14</v>
      </c>
      <c r="T42" s="29">
        <v>1</v>
      </c>
      <c r="U42" s="30">
        <v>1</v>
      </c>
      <c r="V42" s="30">
        <v>0</v>
      </c>
      <c r="W42" s="30">
        <v>0</v>
      </c>
      <c r="X42" s="31">
        <v>0</v>
      </c>
      <c r="Y42" s="29">
        <v>14</v>
      </c>
      <c r="Z42" s="31">
        <v>10</v>
      </c>
      <c r="AA42" s="29">
        <v>65</v>
      </c>
      <c r="AB42" s="31">
        <v>25</v>
      </c>
      <c r="AC42" s="29">
        <v>116</v>
      </c>
      <c r="AD42">
        <v>59</v>
      </c>
      <c r="AE42" s="29">
        <v>31</v>
      </c>
      <c r="AF42" s="30">
        <v>15</v>
      </c>
      <c r="AG42" s="31">
        <v>18</v>
      </c>
      <c r="AH42" s="136">
        <v>3.6428571428571428</v>
      </c>
      <c r="AI42" s="33">
        <v>7.2857142857142856</v>
      </c>
      <c r="AJ42" s="33">
        <v>0.7846153846153846</v>
      </c>
      <c r="AK42" s="33">
        <v>1.5</v>
      </c>
      <c r="AL42" s="33">
        <v>4.9000000000000004</v>
      </c>
      <c r="AM42" s="33">
        <v>1.36</v>
      </c>
      <c r="AN42" s="34">
        <v>1.303370786516854</v>
      </c>
      <c r="AO42" s="33">
        <v>0.6629213483146067</v>
      </c>
      <c r="AP42" s="33">
        <v>0.16853932584269662</v>
      </c>
      <c r="AQ42" s="33">
        <v>0.20224719101123595</v>
      </c>
      <c r="AR42" s="35">
        <v>1.1111111111111112E-2</v>
      </c>
      <c r="AS42" s="251">
        <f t="shared" si="0"/>
        <v>0.15730337078651685</v>
      </c>
      <c r="AT42" s="252">
        <f t="shared" si="1"/>
        <v>0.14606741573033707</v>
      </c>
      <c r="AU42" s="29">
        <v>12</v>
      </c>
      <c r="AV42" s="30">
        <v>39</v>
      </c>
      <c r="AW42" s="31">
        <v>77</v>
      </c>
      <c r="AX42" s="136">
        <v>2.25</v>
      </c>
      <c r="AY42" s="33">
        <v>5.416666666666667</v>
      </c>
      <c r="AZ42" s="35">
        <v>0.97435897435897434</v>
      </c>
      <c r="BA42" s="29">
        <v>24</v>
      </c>
      <c r="BB42" s="31">
        <v>24.5</v>
      </c>
      <c r="BC42" s="29">
        <v>3</v>
      </c>
      <c r="BD42" s="31">
        <v>2</v>
      </c>
      <c r="BE42" s="29">
        <v>76</v>
      </c>
      <c r="BF42" s="30">
        <v>116</v>
      </c>
      <c r="BG42" s="33">
        <v>0.65517241379310343</v>
      </c>
      <c r="BH42" s="30">
        <v>47</v>
      </c>
      <c r="BI42" s="30">
        <v>77</v>
      </c>
      <c r="BJ42" s="35">
        <v>0.61038961038961037</v>
      </c>
    </row>
    <row r="43" spans="1:62" x14ac:dyDescent="0.25">
      <c r="E43" t="s">
        <v>97</v>
      </c>
      <c r="F43" s="32">
        <v>10</v>
      </c>
      <c r="G43" s="29">
        <v>7</v>
      </c>
      <c r="H43" s="30">
        <v>0</v>
      </c>
      <c r="I43" s="30">
        <v>7</v>
      </c>
      <c r="J43" s="31">
        <v>0</v>
      </c>
      <c r="K43" s="29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1</v>
      </c>
      <c r="R43" s="31">
        <v>2</v>
      </c>
      <c r="S43" s="32">
        <v>4</v>
      </c>
      <c r="T43" s="29">
        <v>1</v>
      </c>
      <c r="U43" s="30">
        <v>0</v>
      </c>
      <c r="V43" s="30">
        <v>1</v>
      </c>
      <c r="W43" s="30">
        <v>0</v>
      </c>
      <c r="X43" s="31">
        <v>0</v>
      </c>
      <c r="Y43" s="29">
        <v>3</v>
      </c>
      <c r="Z43" s="31">
        <v>1</v>
      </c>
      <c r="AA43" s="29">
        <v>4</v>
      </c>
      <c r="AB43" s="31">
        <v>2</v>
      </c>
      <c r="AC43" s="29">
        <v>11</v>
      </c>
      <c r="AD43">
        <v>3</v>
      </c>
      <c r="AE43" s="29">
        <v>7</v>
      </c>
      <c r="AF43" s="30">
        <v>2</v>
      </c>
      <c r="AG43" s="31">
        <v>2</v>
      </c>
      <c r="AH43" s="136">
        <v>0.33333333333333331</v>
      </c>
      <c r="AI43" s="33">
        <v>2.6666666666666665</v>
      </c>
      <c r="AJ43" s="33">
        <v>1.75</v>
      </c>
      <c r="AK43" s="33">
        <v>1</v>
      </c>
      <c r="AL43" s="33">
        <v>2</v>
      </c>
      <c r="AM43" s="33">
        <v>0.5</v>
      </c>
      <c r="AN43" s="34">
        <v>1.5714285714285714</v>
      </c>
      <c r="AO43" s="33">
        <v>0.42857142857142855</v>
      </c>
      <c r="AP43" s="33">
        <v>0.2857142857142857</v>
      </c>
      <c r="AQ43" s="33">
        <v>0.2857142857142857</v>
      </c>
      <c r="AR43" s="35">
        <v>0.22222222222222221</v>
      </c>
      <c r="AS43" s="251">
        <f t="shared" si="0"/>
        <v>0.5714285714285714</v>
      </c>
      <c r="AT43" s="252">
        <f t="shared" si="1"/>
        <v>0.42857142857142855</v>
      </c>
      <c r="AU43" s="29">
        <v>3</v>
      </c>
      <c r="AV43" s="30">
        <v>2</v>
      </c>
      <c r="AW43" s="31">
        <v>4</v>
      </c>
      <c r="AX43" s="136">
        <v>-0.33333333333333331</v>
      </c>
      <c r="AY43" s="33">
        <v>0.33333333333333331</v>
      </c>
      <c r="AZ43" s="35">
        <v>1</v>
      </c>
      <c r="BA43" s="29">
        <v>56</v>
      </c>
      <c r="BB43" s="31">
        <v>56.5</v>
      </c>
      <c r="BC43" s="29">
        <v>13</v>
      </c>
      <c r="BD43" s="31">
        <v>8</v>
      </c>
      <c r="BE43" s="29">
        <v>11</v>
      </c>
      <c r="BF43" s="30">
        <v>11</v>
      </c>
      <c r="BG43" s="33">
        <v>1</v>
      </c>
      <c r="BH43" s="30">
        <v>4</v>
      </c>
      <c r="BI43" s="30">
        <v>4</v>
      </c>
      <c r="BJ43" s="35">
        <v>1</v>
      </c>
    </row>
    <row r="44" spans="1:62" x14ac:dyDescent="0.25">
      <c r="A44" s="134"/>
      <c r="B44" s="134"/>
      <c r="C44" s="134"/>
      <c r="D44" s="134" t="s">
        <v>163</v>
      </c>
      <c r="E44" s="134"/>
      <c r="F44" s="25">
        <v>126</v>
      </c>
      <c r="G44" s="22">
        <v>123</v>
      </c>
      <c r="H44" s="23">
        <v>1</v>
      </c>
      <c r="I44" s="23">
        <v>124</v>
      </c>
      <c r="J44" s="24">
        <v>0</v>
      </c>
      <c r="K44" s="22">
        <v>0</v>
      </c>
      <c r="L44" s="23">
        <v>0</v>
      </c>
      <c r="M44" s="23">
        <v>1</v>
      </c>
      <c r="N44" s="23">
        <v>0</v>
      </c>
      <c r="O44" s="23">
        <v>1</v>
      </c>
      <c r="P44" s="23">
        <v>0</v>
      </c>
      <c r="Q44" s="23">
        <v>0</v>
      </c>
      <c r="R44" s="24">
        <v>0</v>
      </c>
      <c r="S44" s="25">
        <v>47</v>
      </c>
      <c r="T44" s="22">
        <v>11</v>
      </c>
      <c r="U44" s="23">
        <v>0</v>
      </c>
      <c r="V44" s="23">
        <v>0</v>
      </c>
      <c r="W44" s="23">
        <v>1</v>
      </c>
      <c r="X44" s="24">
        <v>10</v>
      </c>
      <c r="Y44" s="22">
        <v>14</v>
      </c>
      <c r="Z44" s="24">
        <v>6</v>
      </c>
      <c r="AA44" s="22">
        <v>96</v>
      </c>
      <c r="AB44" s="24">
        <v>33</v>
      </c>
      <c r="AC44" s="22">
        <v>222</v>
      </c>
      <c r="AD44" s="134">
        <v>79</v>
      </c>
      <c r="AE44" s="22">
        <v>41</v>
      </c>
      <c r="AF44" s="23">
        <v>24</v>
      </c>
      <c r="AG44" s="24">
        <v>17</v>
      </c>
      <c r="AH44" s="135">
        <v>5.8571428571428568</v>
      </c>
      <c r="AI44" s="26">
        <v>14.857142857142858</v>
      </c>
      <c r="AJ44" s="26">
        <v>1.3125</v>
      </c>
      <c r="AK44" s="26">
        <v>4.5</v>
      </c>
      <c r="AL44" s="26">
        <v>12.166666666666666</v>
      </c>
      <c r="AM44" s="26">
        <v>1.393939393939394</v>
      </c>
      <c r="AN44" s="27">
        <v>1.8048780487804879</v>
      </c>
      <c r="AO44" s="26">
        <v>0.64227642276422769</v>
      </c>
      <c r="AP44" s="26">
        <v>0.1951219512195122</v>
      </c>
      <c r="AQ44" s="26">
        <v>0.13821138211382114</v>
      </c>
      <c r="AR44" s="28">
        <v>0</v>
      </c>
      <c r="AS44" s="249">
        <f t="shared" si="0"/>
        <v>0.38211382113821141</v>
      </c>
      <c r="AT44" s="250">
        <f t="shared" si="1"/>
        <v>0.29268292682926828</v>
      </c>
      <c r="AU44" s="22">
        <v>4</v>
      </c>
      <c r="AV44" s="23">
        <v>40</v>
      </c>
      <c r="AW44" s="24">
        <v>115</v>
      </c>
      <c r="AX44" s="135">
        <v>9</v>
      </c>
      <c r="AY44" s="26">
        <v>27.75</v>
      </c>
      <c r="AZ44" s="28">
        <v>1.875</v>
      </c>
      <c r="BA44" s="22">
        <v>30</v>
      </c>
      <c r="BB44" s="24">
        <v>26</v>
      </c>
      <c r="BC44" s="22">
        <v>3</v>
      </c>
      <c r="BD44" s="24">
        <v>3</v>
      </c>
      <c r="BE44" s="22">
        <v>146</v>
      </c>
      <c r="BF44" s="23">
        <v>222</v>
      </c>
      <c r="BG44" s="26">
        <v>0.65765765765765771</v>
      </c>
      <c r="BH44" s="23">
        <v>84</v>
      </c>
      <c r="BI44" s="23">
        <v>115</v>
      </c>
      <c r="BJ44" s="28">
        <v>0.73043478260869565</v>
      </c>
    </row>
    <row r="45" spans="1:62" x14ac:dyDescent="0.25">
      <c r="E45" t="s">
        <v>68</v>
      </c>
      <c r="F45" s="32">
        <v>106</v>
      </c>
      <c r="G45" s="29">
        <v>105</v>
      </c>
      <c r="H45" s="30">
        <v>0</v>
      </c>
      <c r="I45" s="30">
        <v>105</v>
      </c>
      <c r="J45" s="31">
        <v>0</v>
      </c>
      <c r="K45" s="29">
        <v>0</v>
      </c>
      <c r="L45" s="30">
        <v>0</v>
      </c>
      <c r="M45" s="30">
        <v>0</v>
      </c>
      <c r="N45" s="30">
        <v>0</v>
      </c>
      <c r="O45" s="30">
        <v>1</v>
      </c>
      <c r="P45" s="30">
        <v>0</v>
      </c>
      <c r="Q45" s="30">
        <v>0</v>
      </c>
      <c r="R45" s="31">
        <v>0</v>
      </c>
      <c r="S45" s="32">
        <v>35</v>
      </c>
      <c r="T45" s="29"/>
      <c r="U45" s="30"/>
      <c r="V45" s="30"/>
      <c r="W45" s="30"/>
      <c r="X45" s="31"/>
      <c r="Y45" s="29">
        <v>0</v>
      </c>
      <c r="Z45" s="31">
        <v>0</v>
      </c>
      <c r="AA45" s="29">
        <v>30</v>
      </c>
      <c r="AB45" s="31">
        <v>14</v>
      </c>
      <c r="AC45" s="29">
        <v>163</v>
      </c>
      <c r="AD45">
        <v>65</v>
      </c>
      <c r="AE45" s="29">
        <v>32</v>
      </c>
      <c r="AF45" s="30">
        <v>18</v>
      </c>
      <c r="AG45" s="31">
        <v>16</v>
      </c>
      <c r="AH45" s="136"/>
      <c r="AI45" s="33"/>
      <c r="AJ45" s="33">
        <v>4.4333333333333336</v>
      </c>
      <c r="AK45" s="33"/>
      <c r="AL45" s="33"/>
      <c r="AM45" s="33">
        <v>3.6428571428571428</v>
      </c>
      <c r="AN45" s="34">
        <v>1.5523809523809524</v>
      </c>
      <c r="AO45" s="33">
        <v>0.61904761904761907</v>
      </c>
      <c r="AP45" s="33">
        <v>0.17142857142857143</v>
      </c>
      <c r="AQ45" s="33">
        <v>0.15238095238095239</v>
      </c>
      <c r="AR45" s="35">
        <v>0</v>
      </c>
      <c r="AS45" s="251">
        <f t="shared" si="0"/>
        <v>0.33333333333333331</v>
      </c>
      <c r="AT45" s="252">
        <f t="shared" si="1"/>
        <v>0.33333333333333331</v>
      </c>
      <c r="AU45" s="29">
        <v>0</v>
      </c>
      <c r="AV45" s="30">
        <v>19</v>
      </c>
      <c r="AW45" s="31">
        <v>88</v>
      </c>
      <c r="AX45" s="136"/>
      <c r="AY45" s="33"/>
      <c r="AZ45" s="35">
        <v>3.6315789473684212</v>
      </c>
      <c r="BA45" s="29">
        <v>20</v>
      </c>
      <c r="BB45" s="31">
        <v>21.5</v>
      </c>
      <c r="BC45" s="29">
        <v>3</v>
      </c>
      <c r="BD45" s="31">
        <v>3</v>
      </c>
      <c r="BE45" s="29">
        <v>112</v>
      </c>
      <c r="BF45" s="30">
        <v>163</v>
      </c>
      <c r="BG45" s="33">
        <v>0.68711656441717794</v>
      </c>
      <c r="BH45" s="30">
        <v>65</v>
      </c>
      <c r="BI45" s="30">
        <v>88</v>
      </c>
      <c r="BJ45" s="35">
        <v>0.73863636363636365</v>
      </c>
    </row>
    <row r="46" spans="1:62" x14ac:dyDescent="0.25">
      <c r="E46" t="s">
        <v>148</v>
      </c>
      <c r="F46" s="32">
        <v>19</v>
      </c>
      <c r="G46" s="29">
        <v>17</v>
      </c>
      <c r="H46" s="30">
        <v>1</v>
      </c>
      <c r="I46" s="30">
        <v>18</v>
      </c>
      <c r="J46" s="31">
        <v>0</v>
      </c>
      <c r="K46" s="29">
        <v>0</v>
      </c>
      <c r="L46" s="30">
        <v>0</v>
      </c>
      <c r="M46" s="30">
        <v>1</v>
      </c>
      <c r="N46" s="30">
        <v>0</v>
      </c>
      <c r="O46" s="30">
        <v>0</v>
      </c>
      <c r="P46" s="30">
        <v>0</v>
      </c>
      <c r="Q46" s="30">
        <v>0</v>
      </c>
      <c r="R46" s="31">
        <v>0</v>
      </c>
      <c r="S46" s="32">
        <v>12</v>
      </c>
      <c r="T46" s="29">
        <v>11</v>
      </c>
      <c r="U46" s="30">
        <v>0</v>
      </c>
      <c r="V46" s="30">
        <v>0</v>
      </c>
      <c r="W46" s="30">
        <v>1</v>
      </c>
      <c r="X46" s="31">
        <v>10</v>
      </c>
      <c r="Y46" s="29">
        <v>14</v>
      </c>
      <c r="Z46" s="31">
        <v>6</v>
      </c>
      <c r="AA46" s="29">
        <v>61</v>
      </c>
      <c r="AB46" s="31">
        <v>18</v>
      </c>
      <c r="AC46" s="29">
        <v>38</v>
      </c>
      <c r="AD46">
        <v>13</v>
      </c>
      <c r="AE46" s="29">
        <v>9</v>
      </c>
      <c r="AF46" s="30">
        <v>6</v>
      </c>
      <c r="AG46" s="31">
        <v>0</v>
      </c>
      <c r="AH46" s="136">
        <v>3.3571428571428572</v>
      </c>
      <c r="AI46" s="33">
        <v>1.7142857142857142</v>
      </c>
      <c r="AJ46" s="33">
        <v>-0.37704918032786883</v>
      </c>
      <c r="AK46" s="33">
        <v>2</v>
      </c>
      <c r="AL46" s="33">
        <v>1.1666666666666667</v>
      </c>
      <c r="AM46" s="33">
        <v>-0.27777777777777779</v>
      </c>
      <c r="AN46" s="34">
        <v>2.2352941176470589</v>
      </c>
      <c r="AO46" s="33">
        <v>0.76470588235294112</v>
      </c>
      <c r="AP46" s="33">
        <v>0.35294117647058826</v>
      </c>
      <c r="AQ46" s="33">
        <v>0</v>
      </c>
      <c r="AR46" s="35">
        <v>0</v>
      </c>
      <c r="AS46" s="251">
        <f t="shared" si="0"/>
        <v>0.70588235294117652</v>
      </c>
      <c r="AT46" s="252">
        <f t="shared" si="1"/>
        <v>5.8823529411764705E-2</v>
      </c>
      <c r="AU46" s="29">
        <v>4</v>
      </c>
      <c r="AV46" s="30">
        <v>23</v>
      </c>
      <c r="AW46" s="31">
        <v>13</v>
      </c>
      <c r="AX46" s="136">
        <v>4.75</v>
      </c>
      <c r="AY46" s="33">
        <v>2.25</v>
      </c>
      <c r="AZ46" s="35">
        <v>-0.43478260869565216</v>
      </c>
      <c r="BA46" s="29">
        <v>37</v>
      </c>
      <c r="BB46" s="31">
        <v>37</v>
      </c>
      <c r="BC46" s="29">
        <v>3.5</v>
      </c>
      <c r="BD46" s="31">
        <v>4</v>
      </c>
      <c r="BE46" s="29">
        <v>19</v>
      </c>
      <c r="BF46" s="30">
        <v>38</v>
      </c>
      <c r="BG46" s="33">
        <v>0.5</v>
      </c>
      <c r="BH46" s="30">
        <v>7</v>
      </c>
      <c r="BI46" s="30">
        <v>13</v>
      </c>
      <c r="BJ46" s="35">
        <v>0.53846153846153844</v>
      </c>
    </row>
    <row r="47" spans="1:62" x14ac:dyDescent="0.25">
      <c r="A47" s="132"/>
      <c r="B47" s="132"/>
      <c r="C47" s="132" t="s">
        <v>77</v>
      </c>
      <c r="D47" s="132"/>
      <c r="E47" s="132"/>
      <c r="F47" s="18">
        <v>898</v>
      </c>
      <c r="G47" s="15">
        <v>483</v>
      </c>
      <c r="H47" s="16">
        <v>0</v>
      </c>
      <c r="I47" s="16">
        <v>0</v>
      </c>
      <c r="J47" s="17">
        <v>483</v>
      </c>
      <c r="K47" s="15">
        <v>0</v>
      </c>
      <c r="L47" s="16">
        <v>1</v>
      </c>
      <c r="M47" s="16">
        <v>0</v>
      </c>
      <c r="N47" s="16">
        <v>5</v>
      </c>
      <c r="O47" s="16">
        <v>315</v>
      </c>
      <c r="P47" s="16">
        <v>93</v>
      </c>
      <c r="Q47" s="16">
        <v>0</v>
      </c>
      <c r="R47" s="17">
        <v>1</v>
      </c>
      <c r="S47" s="18">
        <v>0</v>
      </c>
      <c r="T47" s="15"/>
      <c r="U47" s="16"/>
      <c r="V47" s="16"/>
      <c r="W47" s="16"/>
      <c r="X47" s="17"/>
      <c r="Y47" s="15">
        <v>2</v>
      </c>
      <c r="Z47" s="17">
        <v>2</v>
      </c>
      <c r="AA47" s="15">
        <v>5</v>
      </c>
      <c r="AB47" s="17">
        <v>4</v>
      </c>
      <c r="AC47" s="15">
        <v>12</v>
      </c>
      <c r="AD47" s="132">
        <v>12</v>
      </c>
      <c r="AE47" s="15">
        <v>882</v>
      </c>
      <c r="AF47" s="16">
        <v>877</v>
      </c>
      <c r="AG47" s="17">
        <v>8</v>
      </c>
      <c r="AH47" s="133">
        <v>1.5</v>
      </c>
      <c r="AI47" s="19">
        <v>5</v>
      </c>
      <c r="AJ47" s="19">
        <v>1.4</v>
      </c>
      <c r="AK47" s="19">
        <v>1</v>
      </c>
      <c r="AL47" s="19">
        <v>5</v>
      </c>
      <c r="AM47" s="19">
        <v>2</v>
      </c>
      <c r="AN47" s="20">
        <v>2.4844720496894408E-2</v>
      </c>
      <c r="AO47" s="19">
        <v>2.4844720496894408E-2</v>
      </c>
      <c r="AP47" s="19">
        <v>1.815734989648033</v>
      </c>
      <c r="AQ47" s="19">
        <v>1.6563146997929608E-2</v>
      </c>
      <c r="AR47" s="21">
        <v>2.0661157024793389E-3</v>
      </c>
      <c r="AS47" s="247">
        <f t="shared" si="0"/>
        <v>0</v>
      </c>
      <c r="AT47" s="248">
        <f t="shared" si="1"/>
        <v>0</v>
      </c>
      <c r="AU47" s="15">
        <v>2</v>
      </c>
      <c r="AV47" s="16">
        <v>2</v>
      </c>
      <c r="AW47" s="17">
        <v>6</v>
      </c>
      <c r="AX47" s="133">
        <v>0</v>
      </c>
      <c r="AY47" s="19">
        <v>2</v>
      </c>
      <c r="AZ47" s="21">
        <v>2</v>
      </c>
      <c r="BA47" s="15">
        <v>53</v>
      </c>
      <c r="BB47" s="17">
        <v>54</v>
      </c>
      <c r="BC47" s="15">
        <v>13</v>
      </c>
      <c r="BD47" s="17">
        <v>13</v>
      </c>
      <c r="BE47" s="15">
        <v>11</v>
      </c>
      <c r="BF47" s="16">
        <v>12</v>
      </c>
      <c r="BG47" s="19">
        <v>0.91666666666666663</v>
      </c>
      <c r="BH47" s="16">
        <v>5</v>
      </c>
      <c r="BI47" s="16">
        <v>6</v>
      </c>
      <c r="BJ47" s="21">
        <v>0.83333333333333337</v>
      </c>
    </row>
    <row r="48" spans="1:62" x14ac:dyDescent="0.25">
      <c r="E48" t="s">
        <v>68</v>
      </c>
      <c r="F48" s="32">
        <v>898</v>
      </c>
      <c r="G48" s="29">
        <v>483</v>
      </c>
      <c r="H48" s="30">
        <v>0</v>
      </c>
      <c r="I48" s="30">
        <v>0</v>
      </c>
      <c r="J48" s="31">
        <v>483</v>
      </c>
      <c r="K48" s="29">
        <v>0</v>
      </c>
      <c r="L48" s="30">
        <v>1</v>
      </c>
      <c r="M48" s="30">
        <v>0</v>
      </c>
      <c r="N48" s="30">
        <v>5</v>
      </c>
      <c r="O48" s="30">
        <v>315</v>
      </c>
      <c r="P48" s="30">
        <v>93</v>
      </c>
      <c r="Q48" s="30">
        <v>0</v>
      </c>
      <c r="R48" s="31">
        <v>1</v>
      </c>
      <c r="S48" s="32">
        <v>0</v>
      </c>
      <c r="T48" s="29"/>
      <c r="U48" s="30"/>
      <c r="V48" s="30"/>
      <c r="W48" s="30"/>
      <c r="X48" s="31"/>
      <c r="Y48" s="29">
        <v>2</v>
      </c>
      <c r="Z48" s="31">
        <v>2</v>
      </c>
      <c r="AA48" s="29">
        <v>5</v>
      </c>
      <c r="AB48" s="31">
        <v>4</v>
      </c>
      <c r="AC48" s="29">
        <v>12</v>
      </c>
      <c r="AD48">
        <v>12</v>
      </c>
      <c r="AE48" s="29">
        <v>882</v>
      </c>
      <c r="AF48" s="30">
        <v>877</v>
      </c>
      <c r="AG48" s="31">
        <v>8</v>
      </c>
      <c r="AH48" s="136">
        <v>1.5</v>
      </c>
      <c r="AI48" s="33">
        <v>5</v>
      </c>
      <c r="AJ48" s="33">
        <v>1.4</v>
      </c>
      <c r="AK48" s="33">
        <v>1</v>
      </c>
      <c r="AL48" s="33">
        <v>5</v>
      </c>
      <c r="AM48" s="33">
        <v>2</v>
      </c>
      <c r="AN48" s="34">
        <v>2.4844720496894408E-2</v>
      </c>
      <c r="AO48" s="33">
        <v>2.4844720496894408E-2</v>
      </c>
      <c r="AP48" s="33">
        <v>1.815734989648033</v>
      </c>
      <c r="AQ48" s="33">
        <v>1.6563146997929608E-2</v>
      </c>
      <c r="AR48" s="35">
        <v>2.0661157024793389E-3</v>
      </c>
      <c r="AS48" s="251">
        <f t="shared" si="0"/>
        <v>0</v>
      </c>
      <c r="AT48" s="252">
        <f t="shared" si="1"/>
        <v>0</v>
      </c>
      <c r="AU48" s="29">
        <v>2</v>
      </c>
      <c r="AV48" s="30">
        <v>2</v>
      </c>
      <c r="AW48" s="31">
        <v>6</v>
      </c>
      <c r="AX48" s="136">
        <v>0</v>
      </c>
      <c r="AY48" s="33">
        <v>2</v>
      </c>
      <c r="AZ48" s="35">
        <v>2</v>
      </c>
      <c r="BA48" s="29">
        <v>53</v>
      </c>
      <c r="BB48" s="31">
        <v>54</v>
      </c>
      <c r="BC48" s="29">
        <v>13</v>
      </c>
      <c r="BD48" s="31">
        <v>13</v>
      </c>
      <c r="BE48" s="29">
        <v>11</v>
      </c>
      <c r="BF48" s="30">
        <v>12</v>
      </c>
      <c r="BG48" s="33">
        <v>0.91666666666666663</v>
      </c>
      <c r="BH48" s="30">
        <v>5</v>
      </c>
      <c r="BI48" s="30">
        <v>6</v>
      </c>
      <c r="BJ48" s="35">
        <v>0.83333333333333337</v>
      </c>
    </row>
    <row r="49" spans="1:62" x14ac:dyDescent="0.25">
      <c r="A49" s="132"/>
      <c r="B49" s="132"/>
      <c r="C49" s="132" t="s">
        <v>114</v>
      </c>
      <c r="D49" s="132"/>
      <c r="E49" s="132"/>
      <c r="F49" s="18">
        <v>8223</v>
      </c>
      <c r="G49" s="15">
        <v>7278</v>
      </c>
      <c r="H49" s="16">
        <v>85</v>
      </c>
      <c r="I49" s="16">
        <v>7361</v>
      </c>
      <c r="J49" s="17">
        <v>2</v>
      </c>
      <c r="K49" s="15">
        <v>0</v>
      </c>
      <c r="L49" s="16">
        <v>26</v>
      </c>
      <c r="M49" s="16">
        <v>60</v>
      </c>
      <c r="N49" s="16">
        <v>7</v>
      </c>
      <c r="O49" s="16">
        <v>22</v>
      </c>
      <c r="P49" s="16">
        <v>0</v>
      </c>
      <c r="Q49" s="16">
        <v>188</v>
      </c>
      <c r="R49" s="17">
        <v>376</v>
      </c>
      <c r="S49" s="18">
        <v>1130</v>
      </c>
      <c r="T49" s="15">
        <v>1339</v>
      </c>
      <c r="U49" s="16">
        <v>13</v>
      </c>
      <c r="V49" s="16">
        <v>39</v>
      </c>
      <c r="W49" s="16">
        <v>39</v>
      </c>
      <c r="X49" s="17">
        <v>1248</v>
      </c>
      <c r="Y49" s="15">
        <v>18648</v>
      </c>
      <c r="Z49" s="17">
        <v>5572</v>
      </c>
      <c r="AA49" s="15">
        <v>19663</v>
      </c>
      <c r="AB49" s="17">
        <v>5780</v>
      </c>
      <c r="AC49" s="15">
        <v>19572</v>
      </c>
      <c r="AD49" s="132">
        <v>5648</v>
      </c>
      <c r="AE49" s="15">
        <v>3007</v>
      </c>
      <c r="AF49" s="16">
        <v>1262</v>
      </c>
      <c r="AG49" s="17">
        <v>1769</v>
      </c>
      <c r="AH49" s="133">
        <v>5.4429429429429431E-2</v>
      </c>
      <c r="AI49" s="19">
        <v>4.954954954954955E-2</v>
      </c>
      <c r="AJ49" s="19">
        <v>-4.627981488074048E-3</v>
      </c>
      <c r="AK49" s="19">
        <v>3.7329504666188083E-2</v>
      </c>
      <c r="AL49" s="19">
        <v>1.3639626704953339E-2</v>
      </c>
      <c r="AM49" s="19">
        <v>-2.2837370242214532E-2</v>
      </c>
      <c r="AN49" s="20">
        <v>2.6892003297609235</v>
      </c>
      <c r="AO49" s="19">
        <v>0.77603737290464414</v>
      </c>
      <c r="AP49" s="19">
        <v>0.17339928551799946</v>
      </c>
      <c r="AQ49" s="19">
        <v>0.2430612805715856</v>
      </c>
      <c r="AR49" s="21">
        <v>4.9124640710739485E-2</v>
      </c>
      <c r="AS49" s="247">
        <f t="shared" si="0"/>
        <v>0.15526243473481727</v>
      </c>
      <c r="AT49" s="248">
        <f t="shared" si="1"/>
        <v>-2.871668040670514E-2</v>
      </c>
      <c r="AU49" s="15">
        <v>3081</v>
      </c>
      <c r="AV49" s="16">
        <v>3137</v>
      </c>
      <c r="AW49" s="17">
        <v>3086</v>
      </c>
      <c r="AX49" s="133">
        <v>1.8175916910094125E-2</v>
      </c>
      <c r="AY49" s="19">
        <v>1.6228497241155468E-3</v>
      </c>
      <c r="AZ49" s="21">
        <v>-1.6257570927637872E-2</v>
      </c>
      <c r="BA49" s="15">
        <v>46</v>
      </c>
      <c r="BB49" s="17">
        <v>37</v>
      </c>
      <c r="BC49" s="15">
        <v>6</v>
      </c>
      <c r="BD49" s="17">
        <v>3</v>
      </c>
      <c r="BE49" s="15">
        <v>11289</v>
      </c>
      <c r="BF49" s="16">
        <v>19572</v>
      </c>
      <c r="BG49" s="19">
        <v>0.57679337829552424</v>
      </c>
      <c r="BH49" s="16">
        <v>1845</v>
      </c>
      <c r="BI49" s="16">
        <v>3086</v>
      </c>
      <c r="BJ49" s="21">
        <v>0.59786130913804281</v>
      </c>
    </row>
    <row r="50" spans="1:62" x14ac:dyDescent="0.25">
      <c r="A50" s="134"/>
      <c r="B50" s="134"/>
      <c r="C50" s="134"/>
      <c r="D50" s="134" t="s">
        <v>115</v>
      </c>
      <c r="E50" s="134"/>
      <c r="F50" s="25">
        <v>1160</v>
      </c>
      <c r="G50" s="22">
        <v>996</v>
      </c>
      <c r="H50" s="23">
        <v>20</v>
      </c>
      <c r="I50" s="23">
        <v>1016</v>
      </c>
      <c r="J50" s="24">
        <v>0</v>
      </c>
      <c r="K50" s="22">
        <v>0</v>
      </c>
      <c r="L50" s="23">
        <v>1</v>
      </c>
      <c r="M50" s="23">
        <v>6</v>
      </c>
      <c r="N50" s="23">
        <v>3</v>
      </c>
      <c r="O50" s="23">
        <v>0</v>
      </c>
      <c r="P50" s="23">
        <v>0</v>
      </c>
      <c r="Q50" s="23">
        <v>24</v>
      </c>
      <c r="R50" s="24">
        <v>66</v>
      </c>
      <c r="S50" s="25">
        <v>169</v>
      </c>
      <c r="T50" s="22">
        <v>99</v>
      </c>
      <c r="U50" s="23">
        <v>0</v>
      </c>
      <c r="V50" s="23">
        <v>11</v>
      </c>
      <c r="W50" s="23">
        <v>2</v>
      </c>
      <c r="X50" s="24">
        <v>86</v>
      </c>
      <c r="Y50" s="22">
        <v>2959</v>
      </c>
      <c r="Z50" s="24">
        <v>686</v>
      </c>
      <c r="AA50" s="22">
        <v>3184</v>
      </c>
      <c r="AB50" s="24">
        <v>786</v>
      </c>
      <c r="AC50" s="22">
        <v>3443</v>
      </c>
      <c r="AD50" s="134">
        <v>809</v>
      </c>
      <c r="AE50" s="22">
        <v>456</v>
      </c>
      <c r="AF50" s="23">
        <v>230</v>
      </c>
      <c r="AG50" s="24">
        <v>302</v>
      </c>
      <c r="AH50" s="135">
        <v>7.6039202433254474E-2</v>
      </c>
      <c r="AI50" s="26">
        <v>0.16356877323420074</v>
      </c>
      <c r="AJ50" s="26">
        <v>8.1344221105527637E-2</v>
      </c>
      <c r="AK50" s="26">
        <v>0.1457725947521866</v>
      </c>
      <c r="AL50" s="26">
        <v>0.17930029154518951</v>
      </c>
      <c r="AM50" s="26">
        <v>2.9262086513994912E-2</v>
      </c>
      <c r="AN50" s="27">
        <v>3.4568273092369477</v>
      </c>
      <c r="AO50" s="26">
        <v>0.81224899598393574</v>
      </c>
      <c r="AP50" s="26">
        <v>0.23092369477911648</v>
      </c>
      <c r="AQ50" s="26">
        <v>0.30321285140562249</v>
      </c>
      <c r="AR50" s="28">
        <v>6.2146892655367235E-2</v>
      </c>
      <c r="AS50" s="249">
        <f t="shared" si="0"/>
        <v>0.16967871485943775</v>
      </c>
      <c r="AT50" s="250">
        <f t="shared" si="1"/>
        <v>7.0281124497991967E-2</v>
      </c>
      <c r="AU50" s="22">
        <v>715</v>
      </c>
      <c r="AV50" s="23">
        <v>820</v>
      </c>
      <c r="AW50" s="24">
        <v>856</v>
      </c>
      <c r="AX50" s="135">
        <v>0.14685314685314685</v>
      </c>
      <c r="AY50" s="26">
        <v>0.19720279720279721</v>
      </c>
      <c r="AZ50" s="28">
        <v>4.3902439024390241E-2</v>
      </c>
      <c r="BA50" s="22">
        <v>46</v>
      </c>
      <c r="BB50" s="24">
        <v>41</v>
      </c>
      <c r="BC50" s="22">
        <v>7</v>
      </c>
      <c r="BD50" s="24">
        <v>5</v>
      </c>
      <c r="BE50" s="22">
        <v>2000</v>
      </c>
      <c r="BF50" s="23">
        <v>3443</v>
      </c>
      <c r="BG50" s="26">
        <v>0.58088875980249777</v>
      </c>
      <c r="BH50" s="23">
        <v>487</v>
      </c>
      <c r="BI50" s="23">
        <v>856</v>
      </c>
      <c r="BJ50" s="28">
        <v>0.56892523364485981</v>
      </c>
    </row>
    <row r="51" spans="1:62" x14ac:dyDescent="0.25">
      <c r="E51" t="s">
        <v>68</v>
      </c>
      <c r="F51" s="32">
        <v>681</v>
      </c>
      <c r="G51" s="29">
        <v>594</v>
      </c>
      <c r="H51" s="30">
        <v>0</v>
      </c>
      <c r="I51" s="30">
        <v>594</v>
      </c>
      <c r="J51" s="31">
        <v>0</v>
      </c>
      <c r="K51" s="29">
        <v>0</v>
      </c>
      <c r="L51" s="30">
        <v>1</v>
      </c>
      <c r="M51" s="30">
        <v>2</v>
      </c>
      <c r="N51" s="30">
        <v>3</v>
      </c>
      <c r="O51" s="30">
        <v>0</v>
      </c>
      <c r="P51" s="30">
        <v>0</v>
      </c>
      <c r="Q51" s="30">
        <v>23</v>
      </c>
      <c r="R51" s="31">
        <v>58</v>
      </c>
      <c r="S51" s="32">
        <v>33</v>
      </c>
      <c r="T51" s="29">
        <v>12</v>
      </c>
      <c r="U51" s="30">
        <v>0</v>
      </c>
      <c r="V51" s="30">
        <v>11</v>
      </c>
      <c r="W51" s="30">
        <v>0</v>
      </c>
      <c r="X51" s="31">
        <v>1</v>
      </c>
      <c r="Y51" s="29">
        <v>1357</v>
      </c>
      <c r="Z51" s="31">
        <v>417</v>
      </c>
      <c r="AA51" s="29">
        <v>1682</v>
      </c>
      <c r="AB51" s="31">
        <v>493</v>
      </c>
      <c r="AC51" s="29">
        <v>1858</v>
      </c>
      <c r="AD51">
        <v>522</v>
      </c>
      <c r="AE51" s="29">
        <v>256</v>
      </c>
      <c r="AF51" s="30">
        <v>117</v>
      </c>
      <c r="AG51" s="31">
        <v>173</v>
      </c>
      <c r="AH51" s="136">
        <v>0.23949889462048637</v>
      </c>
      <c r="AI51" s="33">
        <v>0.36919675755342668</v>
      </c>
      <c r="AJ51" s="33">
        <v>0.10463733650416171</v>
      </c>
      <c r="AK51" s="33">
        <v>0.18225419664268586</v>
      </c>
      <c r="AL51" s="33">
        <v>0.25179856115107913</v>
      </c>
      <c r="AM51" s="33">
        <v>5.8823529411764705E-2</v>
      </c>
      <c r="AN51" s="34">
        <v>3.127946127946128</v>
      </c>
      <c r="AO51" s="33">
        <v>0.87878787878787878</v>
      </c>
      <c r="AP51" s="33">
        <v>0.19696969696969696</v>
      </c>
      <c r="AQ51" s="33">
        <v>0.29124579124579125</v>
      </c>
      <c r="AR51" s="35">
        <v>8.8957055214723926E-2</v>
      </c>
      <c r="AS51" s="251">
        <f t="shared" si="0"/>
        <v>5.5555555555555552E-2</v>
      </c>
      <c r="AT51" s="252">
        <f t="shared" si="1"/>
        <v>3.5353535353535352E-2</v>
      </c>
      <c r="AU51" s="29">
        <v>491</v>
      </c>
      <c r="AV51" s="30">
        <v>615</v>
      </c>
      <c r="AW51" s="31">
        <v>681</v>
      </c>
      <c r="AX51" s="136">
        <v>0.25254582484725052</v>
      </c>
      <c r="AY51" s="33">
        <v>0.38696537678207737</v>
      </c>
      <c r="AZ51" s="35">
        <v>0.10731707317073171</v>
      </c>
      <c r="BA51" s="29">
        <v>41</v>
      </c>
      <c r="BB51" s="31">
        <v>38</v>
      </c>
      <c r="BC51" s="29">
        <v>4</v>
      </c>
      <c r="BD51" s="31">
        <v>4</v>
      </c>
      <c r="BE51" s="29">
        <v>1149</v>
      </c>
      <c r="BF51" s="30">
        <v>1858</v>
      </c>
      <c r="BG51" s="33">
        <v>0.61840688912809472</v>
      </c>
      <c r="BH51" s="30">
        <v>396</v>
      </c>
      <c r="BI51" s="30">
        <v>681</v>
      </c>
      <c r="BJ51" s="35">
        <v>0.58149779735682816</v>
      </c>
    </row>
    <row r="52" spans="1:62" x14ac:dyDescent="0.25">
      <c r="E52" t="s">
        <v>148</v>
      </c>
      <c r="F52" s="32">
        <v>449</v>
      </c>
      <c r="G52" s="29">
        <v>374</v>
      </c>
      <c r="H52" s="30">
        <v>20</v>
      </c>
      <c r="I52" s="30">
        <v>394</v>
      </c>
      <c r="J52" s="31">
        <v>0</v>
      </c>
      <c r="K52" s="29">
        <v>0</v>
      </c>
      <c r="L52" s="30">
        <v>0</v>
      </c>
      <c r="M52" s="30">
        <v>3</v>
      </c>
      <c r="N52" s="30">
        <v>0</v>
      </c>
      <c r="O52" s="30">
        <v>0</v>
      </c>
      <c r="P52" s="30">
        <v>0</v>
      </c>
      <c r="Q52" s="30">
        <v>1</v>
      </c>
      <c r="R52" s="31">
        <v>7</v>
      </c>
      <c r="S52" s="32">
        <v>133</v>
      </c>
      <c r="T52" s="29">
        <v>87</v>
      </c>
      <c r="U52" s="30">
        <v>0</v>
      </c>
      <c r="V52" s="30">
        <v>0</v>
      </c>
      <c r="W52" s="30">
        <v>2</v>
      </c>
      <c r="X52" s="31">
        <v>85</v>
      </c>
      <c r="Y52" s="29">
        <v>1569</v>
      </c>
      <c r="Z52" s="31">
        <v>254</v>
      </c>
      <c r="AA52" s="29">
        <v>1476</v>
      </c>
      <c r="AB52" s="31">
        <v>275</v>
      </c>
      <c r="AC52" s="29">
        <v>1551</v>
      </c>
      <c r="AD52">
        <v>277</v>
      </c>
      <c r="AE52" s="29">
        <v>180</v>
      </c>
      <c r="AF52" s="30">
        <v>106</v>
      </c>
      <c r="AG52" s="31">
        <v>126</v>
      </c>
      <c r="AH52" s="136">
        <v>-5.9273422562141492E-2</v>
      </c>
      <c r="AI52" s="33">
        <v>-1.1472275334608031E-2</v>
      </c>
      <c r="AJ52" s="33">
        <v>5.08130081300813E-2</v>
      </c>
      <c r="AK52" s="33">
        <v>8.2677165354330714E-2</v>
      </c>
      <c r="AL52" s="33">
        <v>9.055118110236221E-2</v>
      </c>
      <c r="AM52" s="33">
        <v>7.2727272727272727E-3</v>
      </c>
      <c r="AN52" s="34">
        <v>4.1470588235294121</v>
      </c>
      <c r="AO52" s="33">
        <v>0.74064171122994649</v>
      </c>
      <c r="AP52" s="33">
        <v>0.28342245989304815</v>
      </c>
      <c r="AQ52" s="33">
        <v>0.33689839572192515</v>
      </c>
      <c r="AR52" s="35">
        <v>1.8372703412073491E-2</v>
      </c>
      <c r="AS52" s="251">
        <f t="shared" si="0"/>
        <v>0.35561497326203206</v>
      </c>
      <c r="AT52" s="252">
        <f t="shared" si="1"/>
        <v>0.12299465240641712</v>
      </c>
      <c r="AU52" s="29">
        <v>344</v>
      </c>
      <c r="AV52" s="30">
        <v>329</v>
      </c>
      <c r="AW52" s="31">
        <v>317</v>
      </c>
      <c r="AX52" s="136">
        <v>-4.3604651162790699E-2</v>
      </c>
      <c r="AY52" s="33">
        <v>-7.8488372093023256E-2</v>
      </c>
      <c r="AZ52" s="35">
        <v>-3.64741641337386E-2</v>
      </c>
      <c r="BA52" s="29">
        <v>53</v>
      </c>
      <c r="BB52" s="31">
        <v>47</v>
      </c>
      <c r="BC52" s="29">
        <v>9</v>
      </c>
      <c r="BD52" s="31">
        <v>8</v>
      </c>
      <c r="BE52" s="29">
        <v>834</v>
      </c>
      <c r="BF52" s="30">
        <v>1551</v>
      </c>
      <c r="BG52" s="33">
        <v>0.53771760154738879</v>
      </c>
      <c r="BH52" s="30">
        <v>169</v>
      </c>
      <c r="BI52" s="30">
        <v>317</v>
      </c>
      <c r="BJ52" s="35">
        <v>0.53312302839116721</v>
      </c>
    </row>
    <row r="53" spans="1:62" x14ac:dyDescent="0.25">
      <c r="E53" t="s">
        <v>97</v>
      </c>
      <c r="F53" s="32">
        <v>30</v>
      </c>
      <c r="G53" s="29">
        <v>28</v>
      </c>
      <c r="H53" s="30">
        <v>0</v>
      </c>
      <c r="I53" s="30">
        <v>28</v>
      </c>
      <c r="J53" s="31">
        <v>0</v>
      </c>
      <c r="K53" s="29">
        <v>0</v>
      </c>
      <c r="L53" s="30">
        <v>0</v>
      </c>
      <c r="M53" s="30">
        <v>1</v>
      </c>
      <c r="N53" s="30">
        <v>0</v>
      </c>
      <c r="O53" s="30">
        <v>0</v>
      </c>
      <c r="P53" s="30">
        <v>0</v>
      </c>
      <c r="Q53" s="30">
        <v>0</v>
      </c>
      <c r="R53" s="31">
        <v>1</v>
      </c>
      <c r="S53" s="32">
        <v>3</v>
      </c>
      <c r="T53" s="29"/>
      <c r="U53" s="30"/>
      <c r="V53" s="30"/>
      <c r="W53" s="30"/>
      <c r="X53" s="31"/>
      <c r="Y53" s="29">
        <v>33</v>
      </c>
      <c r="Z53" s="31">
        <v>15</v>
      </c>
      <c r="AA53" s="29">
        <v>26</v>
      </c>
      <c r="AB53" s="31">
        <v>18</v>
      </c>
      <c r="AC53" s="29">
        <v>34</v>
      </c>
      <c r="AD53">
        <v>10</v>
      </c>
      <c r="AE53" s="29">
        <v>20</v>
      </c>
      <c r="AF53" s="30">
        <v>7</v>
      </c>
      <c r="AG53" s="31">
        <v>3</v>
      </c>
      <c r="AH53" s="136">
        <v>-0.21212121212121213</v>
      </c>
      <c r="AI53" s="33">
        <v>3.0303030303030304E-2</v>
      </c>
      <c r="AJ53" s="33">
        <v>0.30769230769230771</v>
      </c>
      <c r="AK53" s="33">
        <v>0.2</v>
      </c>
      <c r="AL53" s="33">
        <v>-0.33333333333333331</v>
      </c>
      <c r="AM53" s="33">
        <v>-0.44444444444444442</v>
      </c>
      <c r="AN53" s="34">
        <v>1.2142857142857142</v>
      </c>
      <c r="AO53" s="33">
        <v>0.35714285714285715</v>
      </c>
      <c r="AP53" s="33">
        <v>0.25</v>
      </c>
      <c r="AQ53" s="33">
        <v>0.10714285714285714</v>
      </c>
      <c r="AR53" s="35">
        <v>3.4482758620689655E-2</v>
      </c>
      <c r="AS53" s="251">
        <f t="shared" si="0"/>
        <v>0.10714285714285714</v>
      </c>
      <c r="AT53" s="252">
        <f t="shared" si="1"/>
        <v>0.10714285714285714</v>
      </c>
      <c r="AU53" s="29">
        <v>24</v>
      </c>
      <c r="AV53" s="30">
        <v>20</v>
      </c>
      <c r="AW53" s="31">
        <v>27</v>
      </c>
      <c r="AX53" s="136">
        <v>-0.16666666666666666</v>
      </c>
      <c r="AY53" s="33">
        <v>0.125</v>
      </c>
      <c r="AZ53" s="35">
        <v>0.35</v>
      </c>
      <c r="BA53" s="29">
        <v>43</v>
      </c>
      <c r="BB53" s="31">
        <v>42</v>
      </c>
      <c r="BC53" s="29">
        <v>3</v>
      </c>
      <c r="BD53" s="31">
        <v>4</v>
      </c>
      <c r="BE53" s="29">
        <v>17</v>
      </c>
      <c r="BF53" s="30">
        <v>34</v>
      </c>
      <c r="BG53" s="33">
        <v>0.5</v>
      </c>
      <c r="BH53" s="30">
        <v>14</v>
      </c>
      <c r="BI53" s="30">
        <v>27</v>
      </c>
      <c r="BJ53" s="35">
        <v>0.51851851851851849</v>
      </c>
    </row>
    <row r="54" spans="1:62" x14ac:dyDescent="0.25">
      <c r="A54" s="134"/>
      <c r="B54" s="134"/>
      <c r="C54" s="134"/>
      <c r="D54" s="134" t="s">
        <v>164</v>
      </c>
      <c r="E54" s="134"/>
      <c r="F54" s="25">
        <v>672</v>
      </c>
      <c r="G54" s="22">
        <v>639</v>
      </c>
      <c r="H54" s="23">
        <v>2</v>
      </c>
      <c r="I54" s="23">
        <v>641</v>
      </c>
      <c r="J54" s="24">
        <v>0</v>
      </c>
      <c r="K54" s="22">
        <v>0</v>
      </c>
      <c r="L54" s="23">
        <v>0</v>
      </c>
      <c r="M54" s="23">
        <v>2</v>
      </c>
      <c r="N54" s="23">
        <v>0</v>
      </c>
      <c r="O54" s="23">
        <v>0</v>
      </c>
      <c r="P54" s="23">
        <v>0</v>
      </c>
      <c r="Q54" s="23">
        <v>13</v>
      </c>
      <c r="R54" s="24">
        <v>16</v>
      </c>
      <c r="S54" s="25">
        <v>27</v>
      </c>
      <c r="T54" s="22">
        <v>4</v>
      </c>
      <c r="U54" s="23">
        <v>0</v>
      </c>
      <c r="V54" s="23">
        <v>1</v>
      </c>
      <c r="W54" s="23">
        <v>0</v>
      </c>
      <c r="X54" s="24">
        <v>3</v>
      </c>
      <c r="Y54" s="22">
        <v>803</v>
      </c>
      <c r="Z54" s="24">
        <v>365</v>
      </c>
      <c r="AA54" s="22">
        <v>936</v>
      </c>
      <c r="AB54" s="24">
        <v>392</v>
      </c>
      <c r="AC54" s="22">
        <v>841</v>
      </c>
      <c r="AD54" s="134">
        <v>343</v>
      </c>
      <c r="AE54" s="22">
        <v>330</v>
      </c>
      <c r="AF54" s="23">
        <v>119</v>
      </c>
      <c r="AG54" s="24">
        <v>90</v>
      </c>
      <c r="AH54" s="135">
        <v>0.16562889165628891</v>
      </c>
      <c r="AI54" s="26">
        <v>4.7322540473225407E-2</v>
      </c>
      <c r="AJ54" s="26">
        <v>-0.1014957264957265</v>
      </c>
      <c r="AK54" s="26">
        <v>7.3972602739726029E-2</v>
      </c>
      <c r="AL54" s="26">
        <v>-6.0273972602739728E-2</v>
      </c>
      <c r="AM54" s="26">
        <v>-0.125</v>
      </c>
      <c r="AN54" s="27">
        <v>1.3161189358372456</v>
      </c>
      <c r="AO54" s="26">
        <v>0.53677621283255084</v>
      </c>
      <c r="AP54" s="26">
        <v>0.18622848200312989</v>
      </c>
      <c r="AQ54" s="26">
        <v>0.14084507042253522</v>
      </c>
      <c r="AR54" s="28">
        <v>2.4427480916030534E-2</v>
      </c>
      <c r="AS54" s="249">
        <f t="shared" si="0"/>
        <v>4.2253521126760563E-2</v>
      </c>
      <c r="AT54" s="250">
        <f t="shared" si="1"/>
        <v>3.5993740219092331E-2</v>
      </c>
      <c r="AU54" s="22">
        <v>341</v>
      </c>
      <c r="AV54" s="23">
        <v>349</v>
      </c>
      <c r="AW54" s="24">
        <v>330</v>
      </c>
      <c r="AX54" s="135">
        <v>2.3460410557184751E-2</v>
      </c>
      <c r="AY54" s="26">
        <v>-3.2258064516129031E-2</v>
      </c>
      <c r="AZ54" s="28">
        <v>-5.4441260744985676E-2</v>
      </c>
      <c r="BA54" s="22">
        <v>45.5</v>
      </c>
      <c r="BB54" s="24">
        <v>40.5</v>
      </c>
      <c r="BC54" s="22">
        <v>6</v>
      </c>
      <c r="BD54" s="24">
        <v>4</v>
      </c>
      <c r="BE54" s="22">
        <v>504</v>
      </c>
      <c r="BF54" s="23">
        <v>841</v>
      </c>
      <c r="BG54" s="26">
        <v>0.59928656361474431</v>
      </c>
      <c r="BH54" s="23">
        <v>189</v>
      </c>
      <c r="BI54" s="23">
        <v>330</v>
      </c>
      <c r="BJ54" s="28">
        <v>0.57272727272727275</v>
      </c>
    </row>
    <row r="55" spans="1:62" x14ac:dyDescent="0.25">
      <c r="E55" t="s">
        <v>68</v>
      </c>
      <c r="F55" s="32">
        <v>535</v>
      </c>
      <c r="G55" s="29">
        <v>509</v>
      </c>
      <c r="H55" s="30">
        <v>0</v>
      </c>
      <c r="I55" s="30">
        <v>509</v>
      </c>
      <c r="J55" s="31">
        <v>0</v>
      </c>
      <c r="K55" s="29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13</v>
      </c>
      <c r="R55" s="31">
        <v>13</v>
      </c>
      <c r="S55" s="32">
        <v>14</v>
      </c>
      <c r="T55" s="29">
        <v>2</v>
      </c>
      <c r="U55" s="30">
        <v>0</v>
      </c>
      <c r="V55" s="30">
        <v>1</v>
      </c>
      <c r="W55" s="30">
        <v>0</v>
      </c>
      <c r="X55" s="31">
        <v>1</v>
      </c>
      <c r="Y55" s="29">
        <v>601</v>
      </c>
      <c r="Z55" s="31">
        <v>291</v>
      </c>
      <c r="AA55" s="29">
        <v>693</v>
      </c>
      <c r="AB55" s="31">
        <v>303</v>
      </c>
      <c r="AC55" s="29">
        <v>641</v>
      </c>
      <c r="AD55">
        <v>266</v>
      </c>
      <c r="AE55" s="29">
        <v>269</v>
      </c>
      <c r="AF55" s="30">
        <v>104</v>
      </c>
      <c r="AG55" s="31">
        <v>74</v>
      </c>
      <c r="AH55" s="136">
        <v>0.15307820299500832</v>
      </c>
      <c r="AI55" s="33">
        <v>6.6555740432612309E-2</v>
      </c>
      <c r="AJ55" s="33">
        <v>-7.5036075036075039E-2</v>
      </c>
      <c r="AK55" s="33">
        <v>4.1237113402061855E-2</v>
      </c>
      <c r="AL55" s="33">
        <v>-8.5910652920962199E-2</v>
      </c>
      <c r="AM55" s="33">
        <v>-0.12211221122112212</v>
      </c>
      <c r="AN55" s="34">
        <v>1.2593320235756384</v>
      </c>
      <c r="AO55" s="33">
        <v>0.52259332023575633</v>
      </c>
      <c r="AP55" s="33">
        <v>0.20432220039292731</v>
      </c>
      <c r="AQ55" s="33">
        <v>0.14538310412573674</v>
      </c>
      <c r="AR55" s="35">
        <v>2.4904214559386972E-2</v>
      </c>
      <c r="AS55" s="251">
        <f t="shared" si="0"/>
        <v>2.75049115913556E-2</v>
      </c>
      <c r="AT55" s="252">
        <f t="shared" si="1"/>
        <v>2.3575638506876228E-2</v>
      </c>
      <c r="AU55" s="29">
        <v>284</v>
      </c>
      <c r="AV55" s="30">
        <v>298</v>
      </c>
      <c r="AW55" s="31">
        <v>274</v>
      </c>
      <c r="AX55" s="136">
        <v>4.9295774647887321E-2</v>
      </c>
      <c r="AY55" s="33">
        <v>-3.5211267605633804E-2</v>
      </c>
      <c r="AZ55" s="35">
        <v>-8.0536912751677847E-2</v>
      </c>
      <c r="BA55" s="29">
        <v>44</v>
      </c>
      <c r="BB55" s="31">
        <v>40</v>
      </c>
      <c r="BC55" s="29">
        <v>5</v>
      </c>
      <c r="BD55" s="31">
        <v>3</v>
      </c>
      <c r="BE55" s="29">
        <v>389</v>
      </c>
      <c r="BF55" s="30">
        <v>641</v>
      </c>
      <c r="BG55" s="33">
        <v>0.6068642745709828</v>
      </c>
      <c r="BH55" s="30">
        <v>167</v>
      </c>
      <c r="BI55" s="30">
        <v>274</v>
      </c>
      <c r="BJ55" s="35">
        <v>0.60948905109489049</v>
      </c>
    </row>
    <row r="56" spans="1:62" x14ac:dyDescent="0.25">
      <c r="E56" t="s">
        <v>148</v>
      </c>
      <c r="F56" s="32">
        <v>49</v>
      </c>
      <c r="G56" s="29">
        <v>47</v>
      </c>
      <c r="H56" s="30">
        <v>2</v>
      </c>
      <c r="I56" s="30">
        <v>49</v>
      </c>
      <c r="J56" s="31">
        <v>0</v>
      </c>
      <c r="K56" s="29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1">
        <v>0</v>
      </c>
      <c r="S56" s="32">
        <v>13</v>
      </c>
      <c r="T56" s="29">
        <v>2</v>
      </c>
      <c r="U56" s="30">
        <v>0</v>
      </c>
      <c r="V56" s="30">
        <v>0</v>
      </c>
      <c r="W56" s="30">
        <v>0</v>
      </c>
      <c r="X56" s="31">
        <v>2</v>
      </c>
      <c r="Y56" s="29">
        <v>85</v>
      </c>
      <c r="Z56" s="31">
        <v>21</v>
      </c>
      <c r="AA56" s="29">
        <v>143</v>
      </c>
      <c r="AB56" s="31">
        <v>36</v>
      </c>
      <c r="AC56" s="29">
        <v>125</v>
      </c>
      <c r="AD56">
        <v>36</v>
      </c>
      <c r="AE56" s="29">
        <v>13</v>
      </c>
      <c r="AF56" s="30">
        <v>1</v>
      </c>
      <c r="AG56" s="31">
        <v>7</v>
      </c>
      <c r="AH56" s="136">
        <v>0.68235294117647061</v>
      </c>
      <c r="AI56" s="33">
        <v>0.47058823529411764</v>
      </c>
      <c r="AJ56" s="33">
        <v>-0.12587412587412589</v>
      </c>
      <c r="AK56" s="33">
        <v>0.7142857142857143</v>
      </c>
      <c r="AL56" s="33">
        <v>0.7142857142857143</v>
      </c>
      <c r="AM56" s="33">
        <v>0</v>
      </c>
      <c r="AN56" s="34">
        <v>2.6595744680851063</v>
      </c>
      <c r="AO56" s="33">
        <v>0.76595744680851063</v>
      </c>
      <c r="AP56" s="33">
        <v>2.1276595744680851E-2</v>
      </c>
      <c r="AQ56" s="33">
        <v>0.14893617021276595</v>
      </c>
      <c r="AR56" s="35">
        <v>0</v>
      </c>
      <c r="AS56" s="251">
        <f t="shared" si="0"/>
        <v>0.27659574468085107</v>
      </c>
      <c r="AT56" s="252">
        <f t="shared" si="1"/>
        <v>0.23404255319148937</v>
      </c>
      <c r="AU56" s="29">
        <v>31</v>
      </c>
      <c r="AV56" s="30">
        <v>47</v>
      </c>
      <c r="AW56" s="31">
        <v>50</v>
      </c>
      <c r="AX56" s="136">
        <v>0.5161290322580645</v>
      </c>
      <c r="AY56" s="33">
        <v>0.61290322580645162</v>
      </c>
      <c r="AZ56" s="35">
        <v>6.3829787234042548E-2</v>
      </c>
      <c r="BA56" s="29">
        <v>50</v>
      </c>
      <c r="BB56" s="31">
        <v>50</v>
      </c>
      <c r="BC56" s="29">
        <v>9</v>
      </c>
      <c r="BD56" s="31">
        <v>9</v>
      </c>
      <c r="BE56" s="29">
        <v>67</v>
      </c>
      <c r="BF56" s="30">
        <v>125</v>
      </c>
      <c r="BG56" s="33">
        <v>0.53600000000000003</v>
      </c>
      <c r="BH56" s="30">
        <v>22</v>
      </c>
      <c r="BI56" s="30">
        <v>50</v>
      </c>
      <c r="BJ56" s="35">
        <v>0.44</v>
      </c>
    </row>
    <row r="57" spans="1:62" x14ac:dyDescent="0.25">
      <c r="E57" t="s">
        <v>97</v>
      </c>
      <c r="F57" s="32">
        <v>87</v>
      </c>
      <c r="G57" s="29">
        <v>82</v>
      </c>
      <c r="H57" s="30">
        <v>0</v>
      </c>
      <c r="I57" s="30">
        <v>82</v>
      </c>
      <c r="J57" s="31">
        <v>0</v>
      </c>
      <c r="K57" s="29">
        <v>0</v>
      </c>
      <c r="L57" s="30">
        <v>0</v>
      </c>
      <c r="M57" s="30">
        <v>2</v>
      </c>
      <c r="N57" s="30">
        <v>0</v>
      </c>
      <c r="O57" s="30">
        <v>0</v>
      </c>
      <c r="P57" s="30">
        <v>0</v>
      </c>
      <c r="Q57" s="30">
        <v>0</v>
      </c>
      <c r="R57" s="31">
        <v>3</v>
      </c>
      <c r="S57" s="32">
        <v>0</v>
      </c>
      <c r="T57" s="29"/>
      <c r="U57" s="30"/>
      <c r="V57" s="30"/>
      <c r="W57" s="30"/>
      <c r="X57" s="31"/>
      <c r="Y57" s="29">
        <v>109</v>
      </c>
      <c r="Z57" s="31">
        <v>52</v>
      </c>
      <c r="AA57" s="29">
        <v>96</v>
      </c>
      <c r="AB57" s="31">
        <v>52</v>
      </c>
      <c r="AC57" s="29">
        <v>74</v>
      </c>
      <c r="AD57">
        <v>40</v>
      </c>
      <c r="AE57" s="29">
        <v>48</v>
      </c>
      <c r="AF57" s="30">
        <v>14</v>
      </c>
      <c r="AG57" s="31">
        <v>8</v>
      </c>
      <c r="AH57" s="136">
        <v>-0.11926605504587157</v>
      </c>
      <c r="AI57" s="33">
        <v>-0.32110091743119268</v>
      </c>
      <c r="AJ57" s="33">
        <v>-0.22916666666666666</v>
      </c>
      <c r="AK57" s="33">
        <v>0</v>
      </c>
      <c r="AL57" s="33">
        <v>-0.23076923076923078</v>
      </c>
      <c r="AM57" s="33">
        <v>-0.23076923076923078</v>
      </c>
      <c r="AN57" s="34">
        <v>0.90243902439024393</v>
      </c>
      <c r="AO57" s="33">
        <v>0.48780487804878048</v>
      </c>
      <c r="AP57" s="33">
        <v>0.17073170731707318</v>
      </c>
      <c r="AQ57" s="33">
        <v>9.7560975609756101E-2</v>
      </c>
      <c r="AR57" s="35">
        <v>3.5294117647058823E-2</v>
      </c>
      <c r="AS57" s="251">
        <f t="shared" si="0"/>
        <v>0</v>
      </c>
      <c r="AT57" s="252">
        <f t="shared" si="1"/>
        <v>0</v>
      </c>
      <c r="AU57" s="29">
        <v>48</v>
      </c>
      <c r="AV57" s="30">
        <v>45</v>
      </c>
      <c r="AW57" s="31">
        <v>40</v>
      </c>
      <c r="AX57" s="136">
        <v>-6.25E-2</v>
      </c>
      <c r="AY57" s="33">
        <v>-0.16666666666666666</v>
      </c>
      <c r="AZ57" s="35">
        <v>-0.1111111111111111</v>
      </c>
      <c r="BA57" s="29">
        <v>51</v>
      </c>
      <c r="BB57" s="31">
        <v>46</v>
      </c>
      <c r="BC57" s="29">
        <v>4</v>
      </c>
      <c r="BD57" s="31">
        <v>5</v>
      </c>
      <c r="BE57" s="29">
        <v>47</v>
      </c>
      <c r="BF57" s="30">
        <v>74</v>
      </c>
      <c r="BG57" s="33">
        <v>0.63513513513513509</v>
      </c>
      <c r="BH57" s="30">
        <v>25</v>
      </c>
      <c r="BI57" s="30">
        <v>40</v>
      </c>
      <c r="BJ57" s="35">
        <v>0.625</v>
      </c>
    </row>
    <row r="58" spans="1:62" x14ac:dyDescent="0.25">
      <c r="A58" s="134"/>
      <c r="B58" s="134"/>
      <c r="C58" s="134"/>
      <c r="D58" s="134" t="s">
        <v>117</v>
      </c>
      <c r="E58" s="134"/>
      <c r="F58" s="25">
        <v>1726</v>
      </c>
      <c r="G58" s="22">
        <v>1618</v>
      </c>
      <c r="H58" s="23">
        <v>10</v>
      </c>
      <c r="I58" s="23">
        <v>1628</v>
      </c>
      <c r="J58" s="24">
        <v>0</v>
      </c>
      <c r="K58" s="22">
        <v>0</v>
      </c>
      <c r="L58" s="23">
        <v>1</v>
      </c>
      <c r="M58" s="23">
        <v>2</v>
      </c>
      <c r="N58" s="23">
        <v>0</v>
      </c>
      <c r="O58" s="23">
        <v>7</v>
      </c>
      <c r="P58" s="23">
        <v>0</v>
      </c>
      <c r="Q58" s="23">
        <v>53</v>
      </c>
      <c r="R58" s="24">
        <v>35</v>
      </c>
      <c r="S58" s="25">
        <v>145</v>
      </c>
      <c r="T58" s="22">
        <v>161</v>
      </c>
      <c r="U58" s="23">
        <v>0</v>
      </c>
      <c r="V58" s="23">
        <v>9</v>
      </c>
      <c r="W58" s="23">
        <v>1</v>
      </c>
      <c r="X58" s="24">
        <v>151</v>
      </c>
      <c r="Y58" s="22">
        <v>4570</v>
      </c>
      <c r="Z58" s="24">
        <v>1351</v>
      </c>
      <c r="AA58" s="22">
        <v>4664</v>
      </c>
      <c r="AB58" s="24">
        <v>1310</v>
      </c>
      <c r="AC58" s="22">
        <v>4377</v>
      </c>
      <c r="AD58" s="134">
        <v>1285</v>
      </c>
      <c r="AE58" s="22">
        <v>482</v>
      </c>
      <c r="AF58" s="23">
        <v>179</v>
      </c>
      <c r="AG58" s="24">
        <v>288</v>
      </c>
      <c r="AH58" s="135">
        <v>2.0568927789934355E-2</v>
      </c>
      <c r="AI58" s="26">
        <v>-4.2231947483588619E-2</v>
      </c>
      <c r="AJ58" s="26">
        <v>-6.1535162950257287E-2</v>
      </c>
      <c r="AK58" s="26">
        <v>-3.0347890451517395E-2</v>
      </c>
      <c r="AL58" s="26">
        <v>-4.8852701702442637E-2</v>
      </c>
      <c r="AM58" s="26">
        <v>-1.9083969465648856E-2</v>
      </c>
      <c r="AN58" s="27">
        <v>2.7051915945611866</v>
      </c>
      <c r="AO58" s="26">
        <v>0.79419035846724351</v>
      </c>
      <c r="AP58" s="26">
        <v>0.11063040791100123</v>
      </c>
      <c r="AQ58" s="26">
        <v>0.17799752781211373</v>
      </c>
      <c r="AR58" s="28">
        <v>2.1173623714458561E-2</v>
      </c>
      <c r="AS58" s="249">
        <f t="shared" si="0"/>
        <v>8.9616810877626699E-2</v>
      </c>
      <c r="AT58" s="250">
        <f t="shared" si="1"/>
        <v>-9.8887515451174281E-3</v>
      </c>
      <c r="AU58" s="22">
        <v>1113</v>
      </c>
      <c r="AV58" s="23">
        <v>1122</v>
      </c>
      <c r="AW58" s="24">
        <v>1097</v>
      </c>
      <c r="AX58" s="135">
        <v>8.0862533692722376E-3</v>
      </c>
      <c r="AY58" s="26">
        <v>-1.4375561545372867E-2</v>
      </c>
      <c r="AZ58" s="28">
        <v>-2.2281639928698752E-2</v>
      </c>
      <c r="BA58" s="22">
        <v>48</v>
      </c>
      <c r="BB58" s="24">
        <v>44</v>
      </c>
      <c r="BC58" s="22">
        <v>7</v>
      </c>
      <c r="BD58" s="24">
        <v>6</v>
      </c>
      <c r="BE58" s="22">
        <v>2057</v>
      </c>
      <c r="BF58" s="23">
        <v>4377</v>
      </c>
      <c r="BG58" s="26">
        <v>0.46995659127256112</v>
      </c>
      <c r="BH58" s="23">
        <v>573</v>
      </c>
      <c r="BI58" s="23">
        <v>1097</v>
      </c>
      <c r="BJ58" s="28">
        <v>0.52233363719234271</v>
      </c>
    </row>
    <row r="59" spans="1:62" x14ac:dyDescent="0.25">
      <c r="E59" t="s">
        <v>165</v>
      </c>
      <c r="F59" s="32">
        <v>122</v>
      </c>
      <c r="G59" s="29">
        <v>111</v>
      </c>
      <c r="H59" s="30">
        <v>0</v>
      </c>
      <c r="I59" s="30">
        <v>111</v>
      </c>
      <c r="J59" s="31">
        <v>0</v>
      </c>
      <c r="K59" s="29">
        <v>0</v>
      </c>
      <c r="L59" s="30">
        <v>0</v>
      </c>
      <c r="M59" s="30">
        <v>1</v>
      </c>
      <c r="N59" s="30">
        <v>0</v>
      </c>
      <c r="O59" s="30">
        <v>0</v>
      </c>
      <c r="P59" s="30">
        <v>0</v>
      </c>
      <c r="Q59" s="30">
        <v>5</v>
      </c>
      <c r="R59" s="31">
        <v>5</v>
      </c>
      <c r="S59" s="32">
        <v>0</v>
      </c>
      <c r="T59" s="29">
        <v>6</v>
      </c>
      <c r="U59" s="30">
        <v>0</v>
      </c>
      <c r="V59" s="30">
        <v>3</v>
      </c>
      <c r="W59" s="30">
        <v>1</v>
      </c>
      <c r="X59" s="31">
        <v>2</v>
      </c>
      <c r="Y59" s="29">
        <v>213</v>
      </c>
      <c r="Z59" s="31">
        <v>94</v>
      </c>
      <c r="AA59" s="29">
        <v>198</v>
      </c>
      <c r="AB59" s="31">
        <v>90</v>
      </c>
      <c r="AC59" s="29">
        <v>169</v>
      </c>
      <c r="AD59">
        <v>78</v>
      </c>
      <c r="AE59" s="29">
        <v>46</v>
      </c>
      <c r="AF59" s="30">
        <v>20</v>
      </c>
      <c r="AG59" s="31">
        <v>8</v>
      </c>
      <c r="AH59" s="136">
        <v>-7.0422535211267609E-2</v>
      </c>
      <c r="AI59" s="33">
        <v>-0.20657276995305165</v>
      </c>
      <c r="AJ59" s="33">
        <v>-0.14646464646464646</v>
      </c>
      <c r="AK59" s="33">
        <v>-4.2553191489361701E-2</v>
      </c>
      <c r="AL59" s="33">
        <v>-0.1702127659574468</v>
      </c>
      <c r="AM59" s="33">
        <v>-0.13333333333333333</v>
      </c>
      <c r="AN59" s="34">
        <v>1.5225225225225225</v>
      </c>
      <c r="AO59" s="33">
        <v>0.70270270270270274</v>
      </c>
      <c r="AP59" s="33">
        <v>0.18018018018018017</v>
      </c>
      <c r="AQ59" s="33">
        <v>7.2072072072072071E-2</v>
      </c>
      <c r="AR59" s="35">
        <v>4.3103448275862072E-2</v>
      </c>
      <c r="AS59" s="251">
        <f t="shared" si="0"/>
        <v>0</v>
      </c>
      <c r="AT59" s="252">
        <f t="shared" si="1"/>
        <v>-5.4054054054054057E-2</v>
      </c>
      <c r="AU59" s="29">
        <v>129</v>
      </c>
      <c r="AV59" s="30">
        <v>107</v>
      </c>
      <c r="AW59" s="31">
        <v>94</v>
      </c>
      <c r="AX59" s="136">
        <v>-0.17054263565891473</v>
      </c>
      <c r="AY59" s="33">
        <v>-0.27131782945736432</v>
      </c>
      <c r="AZ59" s="35">
        <v>-0.12149532710280374</v>
      </c>
      <c r="BA59" s="29">
        <v>57.5</v>
      </c>
      <c r="BB59" s="31">
        <v>56</v>
      </c>
      <c r="BC59" s="29">
        <v>9</v>
      </c>
      <c r="BD59" s="31">
        <v>7</v>
      </c>
      <c r="BE59" s="29">
        <v>68</v>
      </c>
      <c r="BF59" s="30">
        <v>169</v>
      </c>
      <c r="BG59" s="33">
        <v>0.40236686390532544</v>
      </c>
      <c r="BH59" s="30">
        <v>41</v>
      </c>
      <c r="BI59" s="30">
        <v>94</v>
      </c>
      <c r="BJ59" s="35">
        <v>0.43617021276595747</v>
      </c>
    </row>
    <row r="60" spans="1:62" x14ac:dyDescent="0.25">
      <c r="E60" t="s">
        <v>68</v>
      </c>
      <c r="F60" s="32">
        <v>1333</v>
      </c>
      <c r="G60" s="29">
        <v>1250</v>
      </c>
      <c r="H60" s="30">
        <v>0</v>
      </c>
      <c r="I60" s="30">
        <v>1250</v>
      </c>
      <c r="J60" s="31">
        <v>0</v>
      </c>
      <c r="K60" s="29">
        <v>0</v>
      </c>
      <c r="L60" s="30">
        <v>1</v>
      </c>
      <c r="M60" s="30">
        <v>1</v>
      </c>
      <c r="N60" s="30">
        <v>0</v>
      </c>
      <c r="O60" s="30">
        <v>7</v>
      </c>
      <c r="P60" s="30">
        <v>0</v>
      </c>
      <c r="Q60" s="30">
        <v>48</v>
      </c>
      <c r="R60" s="31">
        <v>26</v>
      </c>
      <c r="S60" s="32">
        <v>80</v>
      </c>
      <c r="T60" s="29">
        <v>151</v>
      </c>
      <c r="U60" s="30">
        <v>0</v>
      </c>
      <c r="V60" s="30">
        <v>6</v>
      </c>
      <c r="W60" s="30">
        <v>0</v>
      </c>
      <c r="X60" s="31">
        <v>145</v>
      </c>
      <c r="Y60" s="29">
        <v>3683</v>
      </c>
      <c r="Z60" s="31">
        <v>1081</v>
      </c>
      <c r="AA60" s="29">
        <v>3805</v>
      </c>
      <c r="AB60" s="31">
        <v>1032</v>
      </c>
      <c r="AC60" s="29">
        <v>3573</v>
      </c>
      <c r="AD60">
        <v>1026</v>
      </c>
      <c r="AE60" s="29">
        <v>353</v>
      </c>
      <c r="AF60" s="30">
        <v>116</v>
      </c>
      <c r="AG60" s="31">
        <v>242</v>
      </c>
      <c r="AH60" s="136">
        <v>3.3125169698615259E-2</v>
      </c>
      <c r="AI60" s="33">
        <v>-2.9866956285636709E-2</v>
      </c>
      <c r="AJ60" s="33">
        <v>-6.0972404730617609E-2</v>
      </c>
      <c r="AK60" s="33">
        <v>-4.5328399629972246E-2</v>
      </c>
      <c r="AL60" s="33">
        <v>-5.0878815911193337E-2</v>
      </c>
      <c r="AM60" s="33">
        <v>-5.8139534883720929E-3</v>
      </c>
      <c r="AN60" s="34">
        <v>2.8584000000000001</v>
      </c>
      <c r="AO60" s="33">
        <v>0.82079999999999997</v>
      </c>
      <c r="AP60" s="33">
        <v>9.2799999999999994E-2</v>
      </c>
      <c r="AQ60" s="33">
        <v>0.19359999999999999</v>
      </c>
      <c r="AR60" s="35">
        <v>2.037617554858934E-2</v>
      </c>
      <c r="AS60" s="251">
        <f t="shared" si="0"/>
        <v>6.4000000000000001E-2</v>
      </c>
      <c r="AT60" s="252">
        <f t="shared" si="1"/>
        <v>-5.6800000000000003E-2</v>
      </c>
      <c r="AU60" s="29">
        <v>1016</v>
      </c>
      <c r="AV60" s="30">
        <v>1030</v>
      </c>
      <c r="AW60" s="31">
        <v>1008</v>
      </c>
      <c r="AX60" s="136">
        <v>1.3779527559055118E-2</v>
      </c>
      <c r="AY60" s="33">
        <v>-7.874015748031496E-3</v>
      </c>
      <c r="AZ60" s="35">
        <v>-2.1359223300970873E-2</v>
      </c>
      <c r="BA60" s="29">
        <v>47</v>
      </c>
      <c r="BB60" s="31">
        <v>44</v>
      </c>
      <c r="BC60" s="29">
        <v>7</v>
      </c>
      <c r="BD60" s="31">
        <v>6</v>
      </c>
      <c r="BE60" s="29">
        <v>1700</v>
      </c>
      <c r="BF60" s="30">
        <v>3573</v>
      </c>
      <c r="BG60" s="33">
        <v>0.47579065211307026</v>
      </c>
      <c r="BH60" s="30">
        <v>523</v>
      </c>
      <c r="BI60" s="30">
        <v>1008</v>
      </c>
      <c r="BJ60" s="35">
        <v>0.51884920634920639</v>
      </c>
    </row>
    <row r="61" spans="1:62" x14ac:dyDescent="0.25">
      <c r="E61" t="s">
        <v>148</v>
      </c>
      <c r="F61" s="32">
        <v>174</v>
      </c>
      <c r="G61" s="29">
        <v>162</v>
      </c>
      <c r="H61" s="30">
        <v>10</v>
      </c>
      <c r="I61" s="30">
        <v>172</v>
      </c>
      <c r="J61" s="31">
        <v>0</v>
      </c>
      <c r="K61" s="29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1">
        <v>2</v>
      </c>
      <c r="S61" s="32">
        <v>64</v>
      </c>
      <c r="T61" s="29">
        <v>4</v>
      </c>
      <c r="U61" s="30">
        <v>0</v>
      </c>
      <c r="V61" s="30">
        <v>0</v>
      </c>
      <c r="W61" s="30">
        <v>0</v>
      </c>
      <c r="X61" s="31">
        <v>4</v>
      </c>
      <c r="Y61" s="29">
        <v>609</v>
      </c>
      <c r="Z61" s="31">
        <v>137</v>
      </c>
      <c r="AA61" s="29">
        <v>602</v>
      </c>
      <c r="AB61" s="31">
        <v>149</v>
      </c>
      <c r="AC61" s="29">
        <v>563</v>
      </c>
      <c r="AD61">
        <v>137</v>
      </c>
      <c r="AE61" s="29">
        <v>30</v>
      </c>
      <c r="AF61" s="30">
        <v>20</v>
      </c>
      <c r="AG61" s="31">
        <v>31</v>
      </c>
      <c r="AH61" s="136">
        <v>-1.1494252873563218E-2</v>
      </c>
      <c r="AI61" s="33">
        <v>-7.5533661740558297E-2</v>
      </c>
      <c r="AJ61" s="33">
        <v>-6.4784053156146174E-2</v>
      </c>
      <c r="AK61" s="33">
        <v>8.7591240875912413E-2</v>
      </c>
      <c r="AL61" s="33">
        <v>0</v>
      </c>
      <c r="AM61" s="33">
        <v>-8.0536912751677847E-2</v>
      </c>
      <c r="AN61" s="34">
        <v>3.4753086419753085</v>
      </c>
      <c r="AO61" s="33">
        <v>0.84567901234567899</v>
      </c>
      <c r="AP61" s="33">
        <v>0.12345679012345678</v>
      </c>
      <c r="AQ61" s="33">
        <v>0.19135802469135801</v>
      </c>
      <c r="AR61" s="35">
        <v>1.2195121951219513E-2</v>
      </c>
      <c r="AS61" s="251">
        <f t="shared" si="0"/>
        <v>0.39506172839506171</v>
      </c>
      <c r="AT61" s="252">
        <f t="shared" si="1"/>
        <v>0.37037037037037035</v>
      </c>
      <c r="AU61" s="29">
        <v>188</v>
      </c>
      <c r="AV61" s="30">
        <v>188</v>
      </c>
      <c r="AW61" s="31">
        <v>151</v>
      </c>
      <c r="AX61" s="136">
        <v>0</v>
      </c>
      <c r="AY61" s="33">
        <v>-0.19680851063829788</v>
      </c>
      <c r="AZ61" s="35">
        <v>-0.19680851063829788</v>
      </c>
      <c r="BA61" s="29">
        <v>53</v>
      </c>
      <c r="BB61" s="31">
        <v>44</v>
      </c>
      <c r="BC61" s="29">
        <v>9</v>
      </c>
      <c r="BD61" s="31">
        <v>7</v>
      </c>
      <c r="BE61" s="29">
        <v>246</v>
      </c>
      <c r="BF61" s="30">
        <v>563</v>
      </c>
      <c r="BG61" s="33">
        <v>0.43694493783303728</v>
      </c>
      <c r="BH61" s="30">
        <v>72</v>
      </c>
      <c r="BI61" s="30">
        <v>151</v>
      </c>
      <c r="BJ61" s="35">
        <v>0.47682119205298013</v>
      </c>
    </row>
    <row r="62" spans="1:62" x14ac:dyDescent="0.25">
      <c r="E62" t="s">
        <v>97</v>
      </c>
      <c r="F62" s="32">
        <v>97</v>
      </c>
      <c r="G62" s="29">
        <v>95</v>
      </c>
      <c r="H62" s="30">
        <v>0</v>
      </c>
      <c r="I62" s="30">
        <v>95</v>
      </c>
      <c r="J62" s="31">
        <v>0</v>
      </c>
      <c r="K62" s="29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1">
        <v>2</v>
      </c>
      <c r="S62" s="32">
        <v>1</v>
      </c>
      <c r="T62" s="29"/>
      <c r="U62" s="30"/>
      <c r="V62" s="30"/>
      <c r="W62" s="30"/>
      <c r="X62" s="31"/>
      <c r="Y62" s="29">
        <v>65</v>
      </c>
      <c r="Z62" s="31">
        <v>39</v>
      </c>
      <c r="AA62" s="29">
        <v>59</v>
      </c>
      <c r="AB62" s="31">
        <v>39</v>
      </c>
      <c r="AC62" s="29">
        <v>72</v>
      </c>
      <c r="AD62">
        <v>44</v>
      </c>
      <c r="AE62" s="29">
        <v>53</v>
      </c>
      <c r="AF62" s="30">
        <v>23</v>
      </c>
      <c r="AG62" s="31">
        <v>7</v>
      </c>
      <c r="AH62" s="136">
        <v>-9.2307692307692313E-2</v>
      </c>
      <c r="AI62" s="33">
        <v>0.1076923076923077</v>
      </c>
      <c r="AJ62" s="33">
        <v>0.22033898305084745</v>
      </c>
      <c r="AK62" s="33">
        <v>0</v>
      </c>
      <c r="AL62" s="33">
        <v>0.12820512820512819</v>
      </c>
      <c r="AM62" s="33">
        <v>0.12820512820512819</v>
      </c>
      <c r="AN62" s="34">
        <v>0.75789473684210529</v>
      </c>
      <c r="AO62" s="33">
        <v>0.4631578947368421</v>
      </c>
      <c r="AP62" s="33">
        <v>0.24210526315789474</v>
      </c>
      <c r="AQ62" s="33">
        <v>7.3684210526315783E-2</v>
      </c>
      <c r="AR62" s="35">
        <v>2.0618556701030927E-2</v>
      </c>
      <c r="AS62" s="251">
        <f t="shared" si="0"/>
        <v>1.0526315789473684E-2</v>
      </c>
      <c r="AT62" s="252">
        <f t="shared" si="1"/>
        <v>1.0526315789473684E-2</v>
      </c>
      <c r="AU62" s="29">
        <v>31</v>
      </c>
      <c r="AV62" s="30">
        <v>35</v>
      </c>
      <c r="AW62" s="31">
        <v>43</v>
      </c>
      <c r="AX62" s="136">
        <v>0.12903225806451613</v>
      </c>
      <c r="AY62" s="33">
        <v>0.38709677419354838</v>
      </c>
      <c r="AZ62" s="35">
        <v>0.22857142857142856</v>
      </c>
      <c r="BA62" s="29">
        <v>53</v>
      </c>
      <c r="BB62" s="31">
        <v>51</v>
      </c>
      <c r="BC62" s="29">
        <v>5</v>
      </c>
      <c r="BD62" s="31">
        <v>6</v>
      </c>
      <c r="BE62" s="29">
        <v>43</v>
      </c>
      <c r="BF62" s="30">
        <v>72</v>
      </c>
      <c r="BG62" s="33">
        <v>0.59722222222222221</v>
      </c>
      <c r="BH62" s="30">
        <v>30</v>
      </c>
      <c r="BI62" s="30">
        <v>43</v>
      </c>
      <c r="BJ62" s="35">
        <v>0.69767441860465118</v>
      </c>
    </row>
    <row r="63" spans="1:62" x14ac:dyDescent="0.25">
      <c r="A63" s="134"/>
      <c r="B63" s="134"/>
      <c r="C63" s="134"/>
      <c r="D63" s="134" t="s">
        <v>166</v>
      </c>
      <c r="E63" s="134"/>
      <c r="F63" s="25">
        <v>631</v>
      </c>
      <c r="G63" s="22">
        <v>592</v>
      </c>
      <c r="H63" s="23">
        <v>0</v>
      </c>
      <c r="I63" s="23">
        <v>592</v>
      </c>
      <c r="J63" s="24">
        <v>0</v>
      </c>
      <c r="K63" s="22">
        <v>0</v>
      </c>
      <c r="L63" s="23">
        <v>21</v>
      </c>
      <c r="M63" s="23">
        <v>7</v>
      </c>
      <c r="N63" s="23">
        <v>0</v>
      </c>
      <c r="O63" s="23">
        <v>5</v>
      </c>
      <c r="P63" s="23">
        <v>0</v>
      </c>
      <c r="Q63" s="23">
        <v>0</v>
      </c>
      <c r="R63" s="24">
        <v>6</v>
      </c>
      <c r="S63" s="25">
        <v>50</v>
      </c>
      <c r="T63" s="22">
        <v>3</v>
      </c>
      <c r="U63" s="23">
        <v>0</v>
      </c>
      <c r="V63" s="23">
        <v>0</v>
      </c>
      <c r="W63" s="23">
        <v>2</v>
      </c>
      <c r="X63" s="24">
        <v>1</v>
      </c>
      <c r="Y63" s="22">
        <v>630</v>
      </c>
      <c r="Z63" s="24">
        <v>267</v>
      </c>
      <c r="AA63" s="22">
        <v>905</v>
      </c>
      <c r="AB63" s="24">
        <v>338</v>
      </c>
      <c r="AC63" s="22">
        <v>888</v>
      </c>
      <c r="AD63" s="134">
        <v>331</v>
      </c>
      <c r="AE63" s="22">
        <v>272</v>
      </c>
      <c r="AF63" s="23">
        <v>99</v>
      </c>
      <c r="AG63" s="24">
        <v>69</v>
      </c>
      <c r="AH63" s="135">
        <v>0.43650793650793651</v>
      </c>
      <c r="AI63" s="26">
        <v>0.40952380952380951</v>
      </c>
      <c r="AJ63" s="26">
        <v>-1.8784530386740331E-2</v>
      </c>
      <c r="AK63" s="26">
        <v>0.26591760299625467</v>
      </c>
      <c r="AL63" s="26">
        <v>0.23970037453183521</v>
      </c>
      <c r="AM63" s="26">
        <v>-2.0710059171597635E-2</v>
      </c>
      <c r="AN63" s="27">
        <v>1.5</v>
      </c>
      <c r="AO63" s="26">
        <v>0.5591216216216216</v>
      </c>
      <c r="AP63" s="26">
        <v>0.16722972972972974</v>
      </c>
      <c r="AQ63" s="26">
        <v>0.11655405405405406</v>
      </c>
      <c r="AR63" s="28">
        <v>1.0033444816053512E-2</v>
      </c>
      <c r="AS63" s="249">
        <f t="shared" si="0"/>
        <v>8.4459459459459457E-2</v>
      </c>
      <c r="AT63" s="250">
        <f t="shared" si="1"/>
        <v>7.9391891891891886E-2</v>
      </c>
      <c r="AU63" s="22">
        <v>249</v>
      </c>
      <c r="AV63" s="23">
        <v>323</v>
      </c>
      <c r="AW63" s="24">
        <v>348</v>
      </c>
      <c r="AX63" s="135">
        <v>0.2971887550200803</v>
      </c>
      <c r="AY63" s="26">
        <v>0.39759036144578314</v>
      </c>
      <c r="AZ63" s="28">
        <v>7.7399380804953566E-2</v>
      </c>
      <c r="BA63" s="22">
        <v>47</v>
      </c>
      <c r="BB63" s="24">
        <v>46</v>
      </c>
      <c r="BC63" s="22">
        <v>6</v>
      </c>
      <c r="BD63" s="24">
        <v>5</v>
      </c>
      <c r="BE63" s="22">
        <v>596</v>
      </c>
      <c r="BF63" s="23">
        <v>888</v>
      </c>
      <c r="BG63" s="26">
        <v>0.6711711711711712</v>
      </c>
      <c r="BH63" s="23">
        <v>221</v>
      </c>
      <c r="BI63" s="23">
        <v>348</v>
      </c>
      <c r="BJ63" s="28">
        <v>0.63505747126436785</v>
      </c>
    </row>
    <row r="64" spans="1:62" x14ac:dyDescent="0.25">
      <c r="E64" t="s">
        <v>82</v>
      </c>
      <c r="F64" s="32">
        <v>68</v>
      </c>
      <c r="G64" s="29">
        <v>68</v>
      </c>
      <c r="H64" s="30">
        <v>0</v>
      </c>
      <c r="I64" s="30">
        <v>68</v>
      </c>
      <c r="J64" s="31">
        <v>0</v>
      </c>
      <c r="K64" s="29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1">
        <v>0</v>
      </c>
      <c r="S64" s="32">
        <v>0</v>
      </c>
      <c r="T64" s="29"/>
      <c r="U64" s="30"/>
      <c r="V64" s="30"/>
      <c r="W64" s="30"/>
      <c r="X64" s="31"/>
      <c r="Y64" s="29">
        <v>19</v>
      </c>
      <c r="Z64" s="31">
        <v>16</v>
      </c>
      <c r="AA64" s="29">
        <v>78</v>
      </c>
      <c r="AB64" s="31">
        <v>42</v>
      </c>
      <c r="AC64" s="29">
        <v>48</v>
      </c>
      <c r="AD64">
        <v>37</v>
      </c>
      <c r="AE64" s="29">
        <v>30</v>
      </c>
      <c r="AF64" s="30">
        <v>8</v>
      </c>
      <c r="AG64" s="31">
        <v>4</v>
      </c>
      <c r="AH64" s="136">
        <v>3.1052631578947367</v>
      </c>
      <c r="AI64" s="33">
        <v>1.5263157894736843</v>
      </c>
      <c r="AJ64" s="33">
        <v>-0.38461538461538464</v>
      </c>
      <c r="AK64" s="33">
        <v>1.625</v>
      </c>
      <c r="AL64" s="33">
        <v>1.3125</v>
      </c>
      <c r="AM64" s="33">
        <v>-0.11904761904761904</v>
      </c>
      <c r="AN64" s="34">
        <v>0.70588235294117652</v>
      </c>
      <c r="AO64" s="33">
        <v>0.54411764705882348</v>
      </c>
      <c r="AP64" s="33">
        <v>0.11764705882352941</v>
      </c>
      <c r="AQ64" s="33">
        <v>5.8823529411764705E-2</v>
      </c>
      <c r="AR64" s="35">
        <v>0</v>
      </c>
      <c r="AS64" s="251">
        <f t="shared" si="0"/>
        <v>0</v>
      </c>
      <c r="AT64" s="252">
        <f t="shared" si="1"/>
        <v>0</v>
      </c>
      <c r="AU64" s="29">
        <v>11</v>
      </c>
      <c r="AV64" s="30">
        <v>27</v>
      </c>
      <c r="AW64" s="31">
        <v>28</v>
      </c>
      <c r="AX64" s="136">
        <v>1.4545454545454546</v>
      </c>
      <c r="AY64" s="33">
        <v>1.5454545454545454</v>
      </c>
      <c r="AZ64" s="35">
        <v>3.7037037037037035E-2</v>
      </c>
      <c r="BA64" s="29">
        <v>57</v>
      </c>
      <c r="BB64" s="31">
        <v>49</v>
      </c>
      <c r="BC64" s="29">
        <v>4</v>
      </c>
      <c r="BD64" s="31">
        <v>4.5</v>
      </c>
      <c r="BE64" s="29">
        <v>37</v>
      </c>
      <c r="BF64" s="30">
        <v>48</v>
      </c>
      <c r="BG64" s="33">
        <v>0.77083333333333337</v>
      </c>
      <c r="BH64" s="30">
        <v>20</v>
      </c>
      <c r="BI64" s="30">
        <v>28</v>
      </c>
      <c r="BJ64" s="35">
        <v>0.7142857142857143</v>
      </c>
    </row>
    <row r="65" spans="1:62" x14ac:dyDescent="0.25">
      <c r="E65" t="s">
        <v>68</v>
      </c>
      <c r="F65" s="32">
        <v>370</v>
      </c>
      <c r="G65" s="29">
        <v>345</v>
      </c>
      <c r="H65" s="30">
        <v>0</v>
      </c>
      <c r="I65" s="30">
        <v>345</v>
      </c>
      <c r="J65" s="31">
        <v>0</v>
      </c>
      <c r="K65" s="29">
        <v>0</v>
      </c>
      <c r="L65" s="30">
        <v>19</v>
      </c>
      <c r="M65" s="30">
        <v>1</v>
      </c>
      <c r="N65" s="30">
        <v>0</v>
      </c>
      <c r="O65" s="30">
        <v>0</v>
      </c>
      <c r="P65" s="30">
        <v>0</v>
      </c>
      <c r="Q65" s="30">
        <v>0</v>
      </c>
      <c r="R65" s="31">
        <v>5</v>
      </c>
      <c r="S65" s="32">
        <v>30</v>
      </c>
      <c r="T65" s="29">
        <v>2</v>
      </c>
      <c r="U65" s="30">
        <v>0</v>
      </c>
      <c r="V65" s="30">
        <v>0</v>
      </c>
      <c r="W65" s="30">
        <v>1</v>
      </c>
      <c r="X65" s="31">
        <v>1</v>
      </c>
      <c r="Y65" s="29">
        <v>320</v>
      </c>
      <c r="Z65" s="31">
        <v>157</v>
      </c>
      <c r="AA65" s="29">
        <v>374</v>
      </c>
      <c r="AB65" s="31">
        <v>162</v>
      </c>
      <c r="AC65" s="29">
        <v>436</v>
      </c>
      <c r="AD65">
        <v>167</v>
      </c>
      <c r="AE65" s="29">
        <v>184</v>
      </c>
      <c r="AF65" s="30">
        <v>77</v>
      </c>
      <c r="AG65" s="31">
        <v>33</v>
      </c>
      <c r="AH65" s="136">
        <v>0.16875000000000001</v>
      </c>
      <c r="AI65" s="33">
        <v>0.36249999999999999</v>
      </c>
      <c r="AJ65" s="33">
        <v>0.16577540106951871</v>
      </c>
      <c r="AK65" s="33">
        <v>3.1847133757961783E-2</v>
      </c>
      <c r="AL65" s="33">
        <v>6.3694267515923567E-2</v>
      </c>
      <c r="AM65" s="33">
        <v>3.0864197530864196E-2</v>
      </c>
      <c r="AN65" s="34">
        <v>1.2637681159420291</v>
      </c>
      <c r="AO65" s="33">
        <v>0.48405797101449277</v>
      </c>
      <c r="AP65" s="33">
        <v>0.22318840579710145</v>
      </c>
      <c r="AQ65" s="33">
        <v>9.5652173913043481E-2</v>
      </c>
      <c r="AR65" s="35">
        <v>1.4285714285714285E-2</v>
      </c>
      <c r="AS65" s="251">
        <f t="shared" si="0"/>
        <v>8.6956521739130432E-2</v>
      </c>
      <c r="AT65" s="252">
        <f t="shared" si="1"/>
        <v>8.1159420289855067E-2</v>
      </c>
      <c r="AU65" s="29">
        <v>149</v>
      </c>
      <c r="AV65" s="30">
        <v>191</v>
      </c>
      <c r="AW65" s="31">
        <v>199</v>
      </c>
      <c r="AX65" s="136">
        <v>0.28187919463087246</v>
      </c>
      <c r="AY65" s="33">
        <v>0.33557046979865773</v>
      </c>
      <c r="AZ65" s="35">
        <v>4.1884816753926704E-2</v>
      </c>
      <c r="BA65" s="29">
        <v>48</v>
      </c>
      <c r="BB65" s="31">
        <v>48</v>
      </c>
      <c r="BC65" s="29">
        <v>9</v>
      </c>
      <c r="BD65" s="31">
        <v>6</v>
      </c>
      <c r="BE65" s="29">
        <v>278</v>
      </c>
      <c r="BF65" s="30">
        <v>436</v>
      </c>
      <c r="BG65" s="33">
        <v>0.63761467889908252</v>
      </c>
      <c r="BH65" s="30">
        <v>119</v>
      </c>
      <c r="BI65" s="30">
        <v>199</v>
      </c>
      <c r="BJ65" s="35">
        <v>0.59798994974874375</v>
      </c>
    </row>
    <row r="66" spans="1:62" x14ac:dyDescent="0.25">
      <c r="E66" t="s">
        <v>97</v>
      </c>
      <c r="F66" s="32">
        <v>193</v>
      </c>
      <c r="G66" s="29">
        <v>179</v>
      </c>
      <c r="H66" s="30">
        <v>0</v>
      </c>
      <c r="I66" s="30">
        <v>179</v>
      </c>
      <c r="J66" s="31">
        <v>0</v>
      </c>
      <c r="K66" s="29">
        <v>0</v>
      </c>
      <c r="L66" s="30">
        <v>2</v>
      </c>
      <c r="M66" s="30">
        <v>6</v>
      </c>
      <c r="N66" s="30">
        <v>0</v>
      </c>
      <c r="O66" s="30">
        <v>5</v>
      </c>
      <c r="P66" s="30">
        <v>0</v>
      </c>
      <c r="Q66" s="30">
        <v>0</v>
      </c>
      <c r="R66" s="31">
        <v>1</v>
      </c>
      <c r="S66" s="32">
        <v>20</v>
      </c>
      <c r="T66" s="29">
        <v>1</v>
      </c>
      <c r="U66" s="30">
        <v>0</v>
      </c>
      <c r="V66" s="30">
        <v>0</v>
      </c>
      <c r="W66" s="30">
        <v>1</v>
      </c>
      <c r="X66" s="31">
        <v>0</v>
      </c>
      <c r="Y66" s="29">
        <v>291</v>
      </c>
      <c r="Z66" s="31">
        <v>94</v>
      </c>
      <c r="AA66" s="29">
        <v>453</v>
      </c>
      <c r="AB66" s="31">
        <v>134</v>
      </c>
      <c r="AC66" s="29">
        <v>404</v>
      </c>
      <c r="AD66">
        <v>127</v>
      </c>
      <c r="AE66" s="29">
        <v>58</v>
      </c>
      <c r="AF66" s="30">
        <v>14</v>
      </c>
      <c r="AG66" s="31">
        <v>32</v>
      </c>
      <c r="AH66" s="136">
        <v>0.55670103092783507</v>
      </c>
      <c r="AI66" s="33">
        <v>0.38831615120274915</v>
      </c>
      <c r="AJ66" s="33">
        <v>-0.10816777041942605</v>
      </c>
      <c r="AK66" s="33">
        <v>0.42553191489361702</v>
      </c>
      <c r="AL66" s="33">
        <v>0.35106382978723405</v>
      </c>
      <c r="AM66" s="33">
        <v>-5.2238805970149252E-2</v>
      </c>
      <c r="AN66" s="34">
        <v>2.2569832402234637</v>
      </c>
      <c r="AO66" s="33">
        <v>0.70949720670391059</v>
      </c>
      <c r="AP66" s="33">
        <v>7.8212290502793297E-2</v>
      </c>
      <c r="AQ66" s="33">
        <v>0.1787709497206704</v>
      </c>
      <c r="AR66" s="35">
        <v>5.5555555555555558E-3</v>
      </c>
      <c r="AS66" s="251">
        <f t="shared" si="0"/>
        <v>0.11173184357541899</v>
      </c>
      <c r="AT66" s="252">
        <f t="shared" si="1"/>
        <v>0.10614525139664804</v>
      </c>
      <c r="AU66" s="29">
        <v>115</v>
      </c>
      <c r="AV66" s="30">
        <v>153</v>
      </c>
      <c r="AW66" s="31">
        <v>167</v>
      </c>
      <c r="AX66" s="136">
        <v>0.33043478260869563</v>
      </c>
      <c r="AY66" s="33">
        <v>0.45217391304347826</v>
      </c>
      <c r="AZ66" s="35">
        <v>9.1503267973856203E-2</v>
      </c>
      <c r="BA66" s="29">
        <v>43</v>
      </c>
      <c r="BB66" s="31">
        <v>43</v>
      </c>
      <c r="BC66" s="29">
        <v>4</v>
      </c>
      <c r="BD66" s="31">
        <v>4</v>
      </c>
      <c r="BE66" s="29">
        <v>281</v>
      </c>
      <c r="BF66" s="30">
        <v>404</v>
      </c>
      <c r="BG66" s="33">
        <v>0.6955445544554455</v>
      </c>
      <c r="BH66" s="30">
        <v>110</v>
      </c>
      <c r="BI66" s="30">
        <v>167</v>
      </c>
      <c r="BJ66" s="35">
        <v>0.6586826347305389</v>
      </c>
    </row>
    <row r="67" spans="1:62" x14ac:dyDescent="0.25">
      <c r="A67" s="134"/>
      <c r="B67" s="134"/>
      <c r="C67" s="134"/>
      <c r="D67" s="134" t="s">
        <v>167</v>
      </c>
      <c r="E67" s="134"/>
      <c r="F67" s="25">
        <v>1018</v>
      </c>
      <c r="G67" s="22">
        <v>887</v>
      </c>
      <c r="H67" s="23">
        <v>6</v>
      </c>
      <c r="I67" s="23">
        <v>893</v>
      </c>
      <c r="J67" s="24">
        <v>0</v>
      </c>
      <c r="K67" s="22">
        <v>0</v>
      </c>
      <c r="L67" s="23">
        <v>0</v>
      </c>
      <c r="M67" s="23">
        <v>1</v>
      </c>
      <c r="N67" s="23">
        <v>1</v>
      </c>
      <c r="O67" s="23">
        <v>1</v>
      </c>
      <c r="P67" s="23">
        <v>0</v>
      </c>
      <c r="Q67" s="23">
        <v>44</v>
      </c>
      <c r="R67" s="24">
        <v>77</v>
      </c>
      <c r="S67" s="25">
        <v>68</v>
      </c>
      <c r="T67" s="22">
        <v>20</v>
      </c>
      <c r="U67" s="23">
        <v>1</v>
      </c>
      <c r="V67" s="23">
        <v>4</v>
      </c>
      <c r="W67" s="23">
        <v>0</v>
      </c>
      <c r="X67" s="24">
        <v>15</v>
      </c>
      <c r="Y67" s="22">
        <v>1914</v>
      </c>
      <c r="Z67" s="24">
        <v>591</v>
      </c>
      <c r="AA67" s="22">
        <v>1912</v>
      </c>
      <c r="AB67" s="24">
        <v>603</v>
      </c>
      <c r="AC67" s="22">
        <v>1805</v>
      </c>
      <c r="AD67" s="134">
        <v>556</v>
      </c>
      <c r="AE67" s="22">
        <v>468</v>
      </c>
      <c r="AF67" s="23">
        <v>220</v>
      </c>
      <c r="AG67" s="24">
        <v>226</v>
      </c>
      <c r="AH67" s="135">
        <v>-1.0449320794148381E-3</v>
      </c>
      <c r="AI67" s="26">
        <v>-5.6948798328108674E-2</v>
      </c>
      <c r="AJ67" s="26">
        <v>-5.596234309623431E-2</v>
      </c>
      <c r="AK67" s="26">
        <v>2.030456852791878E-2</v>
      </c>
      <c r="AL67" s="26">
        <v>-5.9221658206429779E-2</v>
      </c>
      <c r="AM67" s="26">
        <v>-7.7943615257048099E-2</v>
      </c>
      <c r="AN67" s="27">
        <v>2.0349492671927845</v>
      </c>
      <c r="AO67" s="26">
        <v>0.62683201803833144</v>
      </c>
      <c r="AP67" s="26">
        <v>0.24802705749718151</v>
      </c>
      <c r="AQ67" s="26">
        <v>0.2547914317925592</v>
      </c>
      <c r="AR67" s="28">
        <v>7.9875518672199164E-2</v>
      </c>
      <c r="AS67" s="249">
        <f t="shared" si="0"/>
        <v>7.6662908680947009E-2</v>
      </c>
      <c r="AT67" s="250">
        <f t="shared" si="1"/>
        <v>5.4114994363021418E-2</v>
      </c>
      <c r="AU67" s="22">
        <v>656</v>
      </c>
      <c r="AV67" s="23">
        <v>670</v>
      </c>
      <c r="AW67" s="24">
        <v>654</v>
      </c>
      <c r="AX67" s="135">
        <v>2.1341463414634148E-2</v>
      </c>
      <c r="AY67" s="26">
        <v>-3.0487804878048782E-3</v>
      </c>
      <c r="AZ67" s="28">
        <v>-2.3880597014925373E-2</v>
      </c>
      <c r="BA67" s="22">
        <v>46</v>
      </c>
      <c r="BB67" s="24">
        <v>41</v>
      </c>
      <c r="BC67" s="22">
        <v>5</v>
      </c>
      <c r="BD67" s="24">
        <v>4</v>
      </c>
      <c r="BE67" s="22">
        <v>1023</v>
      </c>
      <c r="BF67" s="23">
        <v>1805</v>
      </c>
      <c r="BG67" s="26">
        <v>0.56675900277008306</v>
      </c>
      <c r="BH67" s="23">
        <v>372</v>
      </c>
      <c r="BI67" s="23">
        <v>654</v>
      </c>
      <c r="BJ67" s="28">
        <v>0.56880733944954132</v>
      </c>
    </row>
    <row r="68" spans="1:62" x14ac:dyDescent="0.25">
      <c r="E68" t="s">
        <v>68</v>
      </c>
      <c r="F68" s="32">
        <v>858</v>
      </c>
      <c r="G68" s="29">
        <v>742</v>
      </c>
      <c r="H68" s="30">
        <v>0</v>
      </c>
      <c r="I68" s="30">
        <v>742</v>
      </c>
      <c r="J68" s="31">
        <v>0</v>
      </c>
      <c r="K68" s="29">
        <v>0</v>
      </c>
      <c r="L68" s="30">
        <v>0</v>
      </c>
      <c r="M68" s="30">
        <v>1</v>
      </c>
      <c r="N68" s="30">
        <v>1</v>
      </c>
      <c r="O68" s="30">
        <v>0</v>
      </c>
      <c r="P68" s="30">
        <v>0</v>
      </c>
      <c r="Q68" s="30">
        <v>43</v>
      </c>
      <c r="R68" s="31">
        <v>71</v>
      </c>
      <c r="S68" s="32">
        <v>28</v>
      </c>
      <c r="T68" s="29">
        <v>8</v>
      </c>
      <c r="U68" s="30">
        <v>0</v>
      </c>
      <c r="V68" s="30">
        <v>4</v>
      </c>
      <c r="W68" s="30">
        <v>0</v>
      </c>
      <c r="X68" s="31">
        <v>4</v>
      </c>
      <c r="Y68" s="29">
        <v>1549</v>
      </c>
      <c r="Z68" s="31">
        <v>503</v>
      </c>
      <c r="AA68" s="29">
        <v>1616</v>
      </c>
      <c r="AB68" s="31">
        <v>506</v>
      </c>
      <c r="AC68" s="29">
        <v>1403</v>
      </c>
      <c r="AD68">
        <v>458</v>
      </c>
      <c r="AE68" s="29">
        <v>400</v>
      </c>
      <c r="AF68" s="30">
        <v>193</v>
      </c>
      <c r="AG68" s="31">
        <v>193</v>
      </c>
      <c r="AH68" s="136">
        <v>4.3253712072304711E-2</v>
      </c>
      <c r="AI68" s="33">
        <v>-9.4254357650096834E-2</v>
      </c>
      <c r="AJ68" s="33">
        <v>-0.13180693069306931</v>
      </c>
      <c r="AK68" s="33">
        <v>5.9642147117296221E-3</v>
      </c>
      <c r="AL68" s="33">
        <v>-8.9463220675944338E-2</v>
      </c>
      <c r="AM68" s="33">
        <v>-9.4861660079051377E-2</v>
      </c>
      <c r="AN68" s="34">
        <v>1.8908355795148248</v>
      </c>
      <c r="AO68" s="33">
        <v>0.61725067385444743</v>
      </c>
      <c r="AP68" s="33">
        <v>0.26010781671159028</v>
      </c>
      <c r="AQ68" s="33">
        <v>0.26010781671159028</v>
      </c>
      <c r="AR68" s="35">
        <v>8.7330873308733084E-2</v>
      </c>
      <c r="AS68" s="251">
        <f t="shared" si="0"/>
        <v>3.7735849056603772E-2</v>
      </c>
      <c r="AT68" s="252">
        <f t="shared" si="1"/>
        <v>2.6954177897574125E-2</v>
      </c>
      <c r="AU68" s="29">
        <v>581</v>
      </c>
      <c r="AV68" s="30">
        <v>598</v>
      </c>
      <c r="AW68" s="31">
        <v>563</v>
      </c>
      <c r="AX68" s="136">
        <v>2.9259896729776247E-2</v>
      </c>
      <c r="AY68" s="33">
        <v>-3.098106712564544E-2</v>
      </c>
      <c r="AZ68" s="35">
        <v>-5.8528428093645488E-2</v>
      </c>
      <c r="BA68" s="29">
        <v>44</v>
      </c>
      <c r="BB68" s="31">
        <v>40</v>
      </c>
      <c r="BC68" s="29">
        <v>5</v>
      </c>
      <c r="BD68" s="31">
        <v>4</v>
      </c>
      <c r="BE68" s="29">
        <v>786</v>
      </c>
      <c r="BF68" s="30">
        <v>1403</v>
      </c>
      <c r="BG68" s="33">
        <v>0.56022808267997148</v>
      </c>
      <c r="BH68" s="30">
        <v>319</v>
      </c>
      <c r="BI68" s="30">
        <v>563</v>
      </c>
      <c r="BJ68" s="35">
        <v>0.56660746003552398</v>
      </c>
    </row>
    <row r="69" spans="1:62" x14ac:dyDescent="0.25">
      <c r="E69" t="s">
        <v>148</v>
      </c>
      <c r="F69" s="32">
        <v>91</v>
      </c>
      <c r="G69" s="29">
        <v>79</v>
      </c>
      <c r="H69" s="30">
        <v>6</v>
      </c>
      <c r="I69" s="30">
        <v>85</v>
      </c>
      <c r="J69" s="31">
        <v>0</v>
      </c>
      <c r="K69" s="29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1">
        <v>5</v>
      </c>
      <c r="S69" s="32">
        <v>40</v>
      </c>
      <c r="T69" s="29">
        <v>12</v>
      </c>
      <c r="U69" s="30">
        <v>1</v>
      </c>
      <c r="V69" s="30">
        <v>0</v>
      </c>
      <c r="W69" s="30">
        <v>0</v>
      </c>
      <c r="X69" s="31">
        <v>11</v>
      </c>
      <c r="Y69" s="29">
        <v>266</v>
      </c>
      <c r="Z69" s="31">
        <v>57</v>
      </c>
      <c r="AA69" s="29">
        <v>224</v>
      </c>
      <c r="AB69" s="31">
        <v>61</v>
      </c>
      <c r="AC69" s="29">
        <v>304</v>
      </c>
      <c r="AD69">
        <v>61</v>
      </c>
      <c r="AE69" s="29">
        <v>34</v>
      </c>
      <c r="AF69" s="30">
        <v>16</v>
      </c>
      <c r="AG69" s="31">
        <v>26</v>
      </c>
      <c r="AH69" s="136">
        <v>-0.15789473684210525</v>
      </c>
      <c r="AI69" s="33">
        <v>0.14285714285714285</v>
      </c>
      <c r="AJ69" s="33">
        <v>0.35714285714285715</v>
      </c>
      <c r="AK69" s="33">
        <v>7.0175438596491224E-2</v>
      </c>
      <c r="AL69" s="33">
        <v>7.0175438596491224E-2</v>
      </c>
      <c r="AM69" s="33">
        <v>0</v>
      </c>
      <c r="AN69" s="34">
        <v>3.8481012658227849</v>
      </c>
      <c r="AO69" s="33">
        <v>0.77215189873417722</v>
      </c>
      <c r="AP69" s="33">
        <v>0.20253164556962025</v>
      </c>
      <c r="AQ69" s="33">
        <v>0.32911392405063289</v>
      </c>
      <c r="AR69" s="35">
        <v>5.9523809523809521E-2</v>
      </c>
      <c r="AS69" s="251">
        <f t="shared" ref="AS69:AS132" si="2">S69/G69</f>
        <v>0.50632911392405067</v>
      </c>
      <c r="AT69" s="252">
        <f t="shared" ref="AT69:AT132" si="3">(S69-T69)/G69</f>
        <v>0.35443037974683544</v>
      </c>
      <c r="AU69" s="29">
        <v>97</v>
      </c>
      <c r="AV69" s="30">
        <v>95</v>
      </c>
      <c r="AW69" s="31">
        <v>114</v>
      </c>
      <c r="AX69" s="136">
        <v>-2.0618556701030927E-2</v>
      </c>
      <c r="AY69" s="33">
        <v>0.17525773195876287</v>
      </c>
      <c r="AZ69" s="35">
        <v>0.2</v>
      </c>
      <c r="BA69" s="29">
        <v>56</v>
      </c>
      <c r="BB69" s="31">
        <v>50</v>
      </c>
      <c r="BC69" s="29">
        <v>8</v>
      </c>
      <c r="BD69" s="31">
        <v>8</v>
      </c>
      <c r="BE69" s="29">
        <v>177</v>
      </c>
      <c r="BF69" s="30">
        <v>304</v>
      </c>
      <c r="BG69" s="33">
        <v>0.58223684210526316</v>
      </c>
      <c r="BH69" s="30">
        <v>64</v>
      </c>
      <c r="BI69" s="30">
        <v>114</v>
      </c>
      <c r="BJ69" s="35">
        <v>0.56140350877192979</v>
      </c>
    </row>
    <row r="70" spans="1:62" x14ac:dyDescent="0.25">
      <c r="E70" t="s">
        <v>97</v>
      </c>
      <c r="F70" s="32">
        <v>69</v>
      </c>
      <c r="G70" s="29">
        <v>66</v>
      </c>
      <c r="H70" s="30">
        <v>0</v>
      </c>
      <c r="I70" s="30">
        <v>66</v>
      </c>
      <c r="J70" s="31">
        <v>0</v>
      </c>
      <c r="K70" s="29">
        <v>0</v>
      </c>
      <c r="L70" s="30">
        <v>0</v>
      </c>
      <c r="M70" s="30">
        <v>0</v>
      </c>
      <c r="N70" s="30">
        <v>0</v>
      </c>
      <c r="O70" s="30">
        <v>1</v>
      </c>
      <c r="P70" s="30">
        <v>0</v>
      </c>
      <c r="Q70" s="30">
        <v>1</v>
      </c>
      <c r="R70" s="31">
        <v>1</v>
      </c>
      <c r="S70" s="32">
        <v>0</v>
      </c>
      <c r="T70" s="29"/>
      <c r="U70" s="30"/>
      <c r="V70" s="30"/>
      <c r="W70" s="30"/>
      <c r="X70" s="31"/>
      <c r="Y70" s="29">
        <v>99</v>
      </c>
      <c r="Z70" s="31">
        <v>31</v>
      </c>
      <c r="AA70" s="29">
        <v>72</v>
      </c>
      <c r="AB70" s="31">
        <v>36</v>
      </c>
      <c r="AC70" s="29">
        <v>98</v>
      </c>
      <c r="AD70">
        <v>37</v>
      </c>
      <c r="AE70" s="29">
        <v>34</v>
      </c>
      <c r="AF70" s="30">
        <v>11</v>
      </c>
      <c r="AG70" s="31">
        <v>7</v>
      </c>
      <c r="AH70" s="136">
        <v>-0.27272727272727271</v>
      </c>
      <c r="AI70" s="33">
        <v>-1.0101010101010102E-2</v>
      </c>
      <c r="AJ70" s="33">
        <v>0.3611111111111111</v>
      </c>
      <c r="AK70" s="33">
        <v>0.16129032258064516</v>
      </c>
      <c r="AL70" s="33">
        <v>0.19354838709677419</v>
      </c>
      <c r="AM70" s="33">
        <v>2.7777777777777776E-2</v>
      </c>
      <c r="AN70" s="34">
        <v>1.4848484848484849</v>
      </c>
      <c r="AO70" s="33">
        <v>0.56060606060606055</v>
      </c>
      <c r="AP70" s="33">
        <v>0.16666666666666666</v>
      </c>
      <c r="AQ70" s="33">
        <v>0.10606060606060606</v>
      </c>
      <c r="AR70" s="35">
        <v>1.4925373134328358E-2</v>
      </c>
      <c r="AS70" s="251">
        <f t="shared" si="2"/>
        <v>0</v>
      </c>
      <c r="AT70" s="252">
        <f t="shared" si="3"/>
        <v>0</v>
      </c>
      <c r="AU70" s="29">
        <v>40</v>
      </c>
      <c r="AV70" s="30">
        <v>35</v>
      </c>
      <c r="AW70" s="31">
        <v>44</v>
      </c>
      <c r="AX70" s="136">
        <v>-0.125</v>
      </c>
      <c r="AY70" s="33">
        <v>0.1</v>
      </c>
      <c r="AZ70" s="35">
        <v>0.25714285714285712</v>
      </c>
      <c r="BA70" s="29">
        <v>43</v>
      </c>
      <c r="BB70" s="31">
        <v>50</v>
      </c>
      <c r="BC70" s="29">
        <v>3</v>
      </c>
      <c r="BD70" s="31">
        <v>4.5</v>
      </c>
      <c r="BE70" s="29">
        <v>60</v>
      </c>
      <c r="BF70" s="30">
        <v>98</v>
      </c>
      <c r="BG70" s="33">
        <v>0.61224489795918369</v>
      </c>
      <c r="BH70" s="30">
        <v>24</v>
      </c>
      <c r="BI70" s="30">
        <v>44</v>
      </c>
      <c r="BJ70" s="35">
        <v>0.54545454545454541</v>
      </c>
    </row>
    <row r="71" spans="1:62" x14ac:dyDescent="0.25">
      <c r="A71" s="134"/>
      <c r="B71" s="134"/>
      <c r="C71" s="134"/>
      <c r="D71" s="134" t="s">
        <v>118</v>
      </c>
      <c r="E71" s="134"/>
      <c r="F71" s="25">
        <v>766</v>
      </c>
      <c r="G71" s="22">
        <v>677</v>
      </c>
      <c r="H71" s="23">
        <v>2</v>
      </c>
      <c r="I71" s="23">
        <v>679</v>
      </c>
      <c r="J71" s="24">
        <v>0</v>
      </c>
      <c r="K71" s="22">
        <v>0</v>
      </c>
      <c r="L71" s="23">
        <v>0</v>
      </c>
      <c r="M71" s="23">
        <v>15</v>
      </c>
      <c r="N71" s="23">
        <v>0</v>
      </c>
      <c r="O71" s="23">
        <v>0</v>
      </c>
      <c r="P71" s="23">
        <v>0</v>
      </c>
      <c r="Q71" s="23">
        <v>5</v>
      </c>
      <c r="R71" s="24">
        <v>67</v>
      </c>
      <c r="S71" s="25">
        <v>66</v>
      </c>
      <c r="T71" s="22">
        <v>44</v>
      </c>
      <c r="U71" s="23">
        <v>2</v>
      </c>
      <c r="V71" s="23">
        <v>3</v>
      </c>
      <c r="W71" s="23">
        <v>12</v>
      </c>
      <c r="X71" s="24">
        <v>27</v>
      </c>
      <c r="Y71" s="22">
        <v>1994</v>
      </c>
      <c r="Z71" s="24">
        <v>550</v>
      </c>
      <c r="AA71" s="22">
        <v>2108</v>
      </c>
      <c r="AB71" s="24">
        <v>589</v>
      </c>
      <c r="AC71" s="22">
        <v>2149</v>
      </c>
      <c r="AD71" s="134">
        <v>577</v>
      </c>
      <c r="AE71" s="22">
        <v>197</v>
      </c>
      <c r="AF71" s="23">
        <v>58</v>
      </c>
      <c r="AG71" s="24">
        <v>246</v>
      </c>
      <c r="AH71" s="135">
        <v>5.717151454363089E-2</v>
      </c>
      <c r="AI71" s="26">
        <v>7.773319959879639E-2</v>
      </c>
      <c r="AJ71" s="26">
        <v>1.9449715370018977E-2</v>
      </c>
      <c r="AK71" s="26">
        <v>7.0909090909090908E-2</v>
      </c>
      <c r="AL71" s="26">
        <v>4.9090909090909088E-2</v>
      </c>
      <c r="AM71" s="26">
        <v>-2.037351443123939E-2</v>
      </c>
      <c r="AN71" s="27">
        <v>3.1742983751846383</v>
      </c>
      <c r="AO71" s="26">
        <v>0.85228951255539143</v>
      </c>
      <c r="AP71" s="26">
        <v>8.5672082717872966E-2</v>
      </c>
      <c r="AQ71" s="26">
        <v>0.36336779911373707</v>
      </c>
      <c r="AR71" s="28">
        <v>9.0053763440860218E-2</v>
      </c>
      <c r="AS71" s="249">
        <f t="shared" si="2"/>
        <v>9.7488921713441659E-2</v>
      </c>
      <c r="AT71" s="250">
        <f t="shared" si="3"/>
        <v>3.2496307237813882E-2</v>
      </c>
      <c r="AU71" s="22">
        <v>763</v>
      </c>
      <c r="AV71" s="23">
        <v>833</v>
      </c>
      <c r="AW71" s="24">
        <v>802</v>
      </c>
      <c r="AX71" s="135">
        <v>9.1743119266055051E-2</v>
      </c>
      <c r="AY71" s="26">
        <v>5.1114023591087812E-2</v>
      </c>
      <c r="AZ71" s="28">
        <v>-3.721488595438175E-2</v>
      </c>
      <c r="BA71" s="22">
        <v>31</v>
      </c>
      <c r="BB71" s="24">
        <v>30</v>
      </c>
      <c r="BC71" s="22">
        <v>2</v>
      </c>
      <c r="BD71" s="24">
        <v>2</v>
      </c>
      <c r="BE71" s="22">
        <v>1256</v>
      </c>
      <c r="BF71" s="23">
        <v>2149</v>
      </c>
      <c r="BG71" s="26">
        <v>0.58445788738948345</v>
      </c>
      <c r="BH71" s="23">
        <v>494</v>
      </c>
      <c r="BI71" s="23">
        <v>802</v>
      </c>
      <c r="BJ71" s="28">
        <v>0.61596009975062349</v>
      </c>
    </row>
    <row r="72" spans="1:62" x14ac:dyDescent="0.25">
      <c r="E72" t="s">
        <v>68</v>
      </c>
      <c r="F72" s="32">
        <v>592</v>
      </c>
      <c r="G72" s="29">
        <v>516</v>
      </c>
      <c r="H72" s="30">
        <v>0</v>
      </c>
      <c r="I72" s="30">
        <v>516</v>
      </c>
      <c r="J72" s="31">
        <v>0</v>
      </c>
      <c r="K72" s="29">
        <v>0</v>
      </c>
      <c r="L72" s="30">
        <v>0</v>
      </c>
      <c r="M72" s="30">
        <v>12</v>
      </c>
      <c r="N72" s="30">
        <v>0</v>
      </c>
      <c r="O72" s="30">
        <v>0</v>
      </c>
      <c r="P72" s="30">
        <v>0</v>
      </c>
      <c r="Q72" s="30">
        <v>5</v>
      </c>
      <c r="R72" s="31">
        <v>59</v>
      </c>
      <c r="S72" s="32">
        <v>21</v>
      </c>
      <c r="T72" s="29">
        <v>23</v>
      </c>
      <c r="U72" s="30">
        <v>0</v>
      </c>
      <c r="V72" s="30">
        <v>3</v>
      </c>
      <c r="W72" s="30">
        <v>9</v>
      </c>
      <c r="X72" s="31">
        <v>11</v>
      </c>
      <c r="Y72" s="29">
        <v>1631</v>
      </c>
      <c r="Z72" s="31">
        <v>442</v>
      </c>
      <c r="AA72" s="29">
        <v>1807</v>
      </c>
      <c r="AB72" s="31">
        <v>479</v>
      </c>
      <c r="AC72" s="29">
        <v>1814</v>
      </c>
      <c r="AD72">
        <v>473</v>
      </c>
      <c r="AE72" s="29">
        <v>124</v>
      </c>
      <c r="AF72" s="30">
        <v>31</v>
      </c>
      <c r="AG72" s="31">
        <v>203</v>
      </c>
      <c r="AH72" s="136">
        <v>0.1079092581238504</v>
      </c>
      <c r="AI72" s="33">
        <v>0.11220110361741263</v>
      </c>
      <c r="AJ72" s="33">
        <v>3.87382401770891E-3</v>
      </c>
      <c r="AK72" s="33">
        <v>8.3710407239818999E-2</v>
      </c>
      <c r="AL72" s="33">
        <v>7.0135746606334842E-2</v>
      </c>
      <c r="AM72" s="33">
        <v>-1.2526096033402923E-2</v>
      </c>
      <c r="AN72" s="34">
        <v>3.5155038759689923</v>
      </c>
      <c r="AO72" s="33">
        <v>0.91666666666666663</v>
      </c>
      <c r="AP72" s="33">
        <v>6.0077519379844964E-2</v>
      </c>
      <c r="AQ72" s="33">
        <v>0.39341085271317827</v>
      </c>
      <c r="AR72" s="35">
        <v>0.10260869565217391</v>
      </c>
      <c r="AS72" s="251">
        <f t="shared" si="2"/>
        <v>4.0697674418604654E-2</v>
      </c>
      <c r="AT72" s="252">
        <f t="shared" si="3"/>
        <v>-3.875968992248062E-3</v>
      </c>
      <c r="AU72" s="29">
        <v>717</v>
      </c>
      <c r="AV72" s="30">
        <v>789</v>
      </c>
      <c r="AW72" s="31">
        <v>734</v>
      </c>
      <c r="AX72" s="136">
        <v>0.100418410041841</v>
      </c>
      <c r="AY72" s="33">
        <v>2.3709902370990237E-2</v>
      </c>
      <c r="AZ72" s="35">
        <v>-6.9708491761723695E-2</v>
      </c>
      <c r="BA72" s="29">
        <v>31</v>
      </c>
      <c r="BB72" s="31">
        <v>30</v>
      </c>
      <c r="BC72" s="29">
        <v>2</v>
      </c>
      <c r="BD72" s="31">
        <v>2</v>
      </c>
      <c r="BE72" s="29">
        <v>1096</v>
      </c>
      <c r="BF72" s="30">
        <v>1814</v>
      </c>
      <c r="BG72" s="33">
        <v>0.60418963616317534</v>
      </c>
      <c r="BH72" s="30">
        <v>453</v>
      </c>
      <c r="BI72" s="30">
        <v>734</v>
      </c>
      <c r="BJ72" s="35">
        <v>0.6171662125340599</v>
      </c>
    </row>
    <row r="73" spans="1:62" x14ac:dyDescent="0.25">
      <c r="E73" t="s">
        <v>148</v>
      </c>
      <c r="F73" s="32">
        <v>121</v>
      </c>
      <c r="G73" s="29">
        <v>108</v>
      </c>
      <c r="H73" s="30">
        <v>2</v>
      </c>
      <c r="I73" s="30">
        <v>110</v>
      </c>
      <c r="J73" s="31">
        <v>0</v>
      </c>
      <c r="K73" s="29">
        <v>0</v>
      </c>
      <c r="L73" s="30">
        <v>0</v>
      </c>
      <c r="M73" s="30">
        <v>3</v>
      </c>
      <c r="N73" s="30">
        <v>0</v>
      </c>
      <c r="O73" s="30">
        <v>0</v>
      </c>
      <c r="P73" s="30">
        <v>0</v>
      </c>
      <c r="Q73" s="30">
        <v>0</v>
      </c>
      <c r="R73" s="31">
        <v>8</v>
      </c>
      <c r="S73" s="32">
        <v>33</v>
      </c>
      <c r="T73" s="29">
        <v>21</v>
      </c>
      <c r="U73" s="30">
        <v>2</v>
      </c>
      <c r="V73" s="30">
        <v>0</v>
      </c>
      <c r="W73" s="30">
        <v>3</v>
      </c>
      <c r="X73" s="31">
        <v>16</v>
      </c>
      <c r="Y73" s="29">
        <v>330</v>
      </c>
      <c r="Z73" s="31">
        <v>91</v>
      </c>
      <c r="AA73" s="29">
        <v>273</v>
      </c>
      <c r="AB73" s="31">
        <v>89</v>
      </c>
      <c r="AC73" s="29">
        <v>295</v>
      </c>
      <c r="AD73">
        <v>87</v>
      </c>
      <c r="AE73" s="29">
        <v>38</v>
      </c>
      <c r="AF73" s="30">
        <v>13</v>
      </c>
      <c r="AG73" s="31">
        <v>36</v>
      </c>
      <c r="AH73" s="136">
        <v>-0.17272727272727273</v>
      </c>
      <c r="AI73" s="33">
        <v>-0.10606060606060606</v>
      </c>
      <c r="AJ73" s="33">
        <v>8.0586080586080591E-2</v>
      </c>
      <c r="AK73" s="33">
        <v>-2.197802197802198E-2</v>
      </c>
      <c r="AL73" s="33">
        <v>-4.3956043956043959E-2</v>
      </c>
      <c r="AM73" s="33">
        <v>-2.247191011235955E-2</v>
      </c>
      <c r="AN73" s="34">
        <v>2.7314814814814814</v>
      </c>
      <c r="AO73" s="33">
        <v>0.80555555555555558</v>
      </c>
      <c r="AP73" s="33">
        <v>0.12037037037037036</v>
      </c>
      <c r="AQ73" s="33">
        <v>0.33333333333333331</v>
      </c>
      <c r="AR73" s="35">
        <v>6.8965517241379309E-2</v>
      </c>
      <c r="AS73" s="251">
        <f t="shared" si="2"/>
        <v>0.30555555555555558</v>
      </c>
      <c r="AT73" s="252">
        <f t="shared" si="3"/>
        <v>0.1111111111111111</v>
      </c>
      <c r="AU73" s="29">
        <v>120</v>
      </c>
      <c r="AV73" s="30">
        <v>124</v>
      </c>
      <c r="AW73" s="31">
        <v>148</v>
      </c>
      <c r="AX73" s="136">
        <v>3.3333333333333333E-2</v>
      </c>
      <c r="AY73" s="33">
        <v>0.23333333333333334</v>
      </c>
      <c r="AZ73" s="35">
        <v>0.19354838709677419</v>
      </c>
      <c r="BA73" s="29">
        <v>34</v>
      </c>
      <c r="BB73" s="31">
        <v>33</v>
      </c>
      <c r="BC73" s="29">
        <v>3</v>
      </c>
      <c r="BD73" s="31">
        <v>3</v>
      </c>
      <c r="BE73" s="29">
        <v>132</v>
      </c>
      <c r="BF73" s="30">
        <v>295</v>
      </c>
      <c r="BG73" s="33">
        <v>0.44745762711864406</v>
      </c>
      <c r="BH73" s="30">
        <v>70</v>
      </c>
      <c r="BI73" s="30">
        <v>148</v>
      </c>
      <c r="BJ73" s="35">
        <v>0.47297297297297297</v>
      </c>
    </row>
    <row r="74" spans="1:62" x14ac:dyDescent="0.25">
      <c r="E74" t="s">
        <v>97</v>
      </c>
      <c r="F74" s="32">
        <v>41</v>
      </c>
      <c r="G74" s="29">
        <v>41</v>
      </c>
      <c r="H74" s="30">
        <v>0</v>
      </c>
      <c r="I74" s="30">
        <v>41</v>
      </c>
      <c r="J74" s="31">
        <v>0</v>
      </c>
      <c r="K74" s="29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1">
        <v>0</v>
      </c>
      <c r="S74" s="32">
        <v>0</v>
      </c>
      <c r="T74" s="29"/>
      <c r="U74" s="30"/>
      <c r="V74" s="30"/>
      <c r="W74" s="30"/>
      <c r="X74" s="31"/>
      <c r="Y74" s="29">
        <v>33</v>
      </c>
      <c r="Z74" s="31">
        <v>17</v>
      </c>
      <c r="AA74" s="29">
        <v>28</v>
      </c>
      <c r="AB74" s="31">
        <v>21</v>
      </c>
      <c r="AC74" s="29">
        <v>7</v>
      </c>
      <c r="AD74">
        <v>6</v>
      </c>
      <c r="AE74" s="29">
        <v>34</v>
      </c>
      <c r="AF74" s="30">
        <v>13</v>
      </c>
      <c r="AG74" s="31">
        <v>0</v>
      </c>
      <c r="AH74" s="136">
        <v>-0.15151515151515152</v>
      </c>
      <c r="AI74" s="33">
        <v>-0.78787878787878785</v>
      </c>
      <c r="AJ74" s="33">
        <v>-0.75</v>
      </c>
      <c r="AK74" s="33">
        <v>0.23529411764705882</v>
      </c>
      <c r="AL74" s="33">
        <v>-0.6470588235294118</v>
      </c>
      <c r="AM74" s="33">
        <v>-0.7142857142857143</v>
      </c>
      <c r="AN74" s="34">
        <v>0.17073170731707318</v>
      </c>
      <c r="AO74" s="33">
        <v>0.14634146341463414</v>
      </c>
      <c r="AP74" s="33">
        <v>0.31707317073170732</v>
      </c>
      <c r="AQ74" s="33">
        <v>0</v>
      </c>
      <c r="AR74" s="35">
        <v>0</v>
      </c>
      <c r="AS74" s="251">
        <f t="shared" si="2"/>
        <v>0</v>
      </c>
      <c r="AT74" s="252">
        <f t="shared" si="3"/>
        <v>0</v>
      </c>
      <c r="AU74" s="29">
        <v>20</v>
      </c>
      <c r="AV74" s="30">
        <v>15</v>
      </c>
      <c r="AW74" s="31">
        <v>7</v>
      </c>
      <c r="AX74" s="136">
        <v>-0.25</v>
      </c>
      <c r="AY74" s="33">
        <v>-0.65</v>
      </c>
      <c r="AZ74" s="35">
        <v>-0.53333333333333333</v>
      </c>
      <c r="BA74" s="29">
        <v>20</v>
      </c>
      <c r="BB74" s="31">
        <v>20</v>
      </c>
      <c r="BC74" s="29">
        <v>3</v>
      </c>
      <c r="BD74" s="31">
        <v>3</v>
      </c>
      <c r="BE74" s="29">
        <v>6</v>
      </c>
      <c r="BF74" s="30">
        <v>7</v>
      </c>
      <c r="BG74" s="33">
        <v>0.8571428571428571</v>
      </c>
      <c r="BH74" s="30">
        <v>6</v>
      </c>
      <c r="BI74" s="30">
        <v>7</v>
      </c>
      <c r="BJ74" s="35">
        <v>0.8571428571428571</v>
      </c>
    </row>
    <row r="75" spans="1:62" x14ac:dyDescent="0.25">
      <c r="A75" s="134"/>
      <c r="B75" s="134"/>
      <c r="C75" s="134"/>
      <c r="D75" s="134" t="s">
        <v>119</v>
      </c>
      <c r="E75" s="134"/>
      <c r="F75" s="25">
        <v>497</v>
      </c>
      <c r="G75" s="22">
        <v>370</v>
      </c>
      <c r="H75" s="23">
        <v>17</v>
      </c>
      <c r="I75" s="23">
        <v>387</v>
      </c>
      <c r="J75" s="24">
        <v>0</v>
      </c>
      <c r="K75" s="22">
        <v>0</v>
      </c>
      <c r="L75" s="23">
        <v>0</v>
      </c>
      <c r="M75" s="23">
        <v>16</v>
      </c>
      <c r="N75" s="23">
        <v>0</v>
      </c>
      <c r="O75" s="23">
        <v>0</v>
      </c>
      <c r="P75" s="23">
        <v>0</v>
      </c>
      <c r="Q75" s="23">
        <v>2</v>
      </c>
      <c r="R75" s="24">
        <v>28</v>
      </c>
      <c r="S75" s="25">
        <v>373</v>
      </c>
      <c r="T75" s="22">
        <v>606</v>
      </c>
      <c r="U75" s="23">
        <v>7</v>
      </c>
      <c r="V75" s="23">
        <v>2</v>
      </c>
      <c r="W75" s="23">
        <v>16</v>
      </c>
      <c r="X75" s="24">
        <v>581</v>
      </c>
      <c r="Y75" s="22">
        <v>2786</v>
      </c>
      <c r="Z75" s="24">
        <v>707</v>
      </c>
      <c r="AA75" s="22">
        <v>3024</v>
      </c>
      <c r="AB75" s="24">
        <v>697</v>
      </c>
      <c r="AC75" s="22">
        <v>3069</v>
      </c>
      <c r="AD75" s="134">
        <v>712</v>
      </c>
      <c r="AE75" s="22">
        <v>51</v>
      </c>
      <c r="AF75" s="23">
        <v>30</v>
      </c>
      <c r="AG75" s="24">
        <v>189</v>
      </c>
      <c r="AH75" s="135">
        <v>8.5427135678391955E-2</v>
      </c>
      <c r="AI75" s="26">
        <v>0.10157932519741565</v>
      </c>
      <c r="AJ75" s="26">
        <v>1.488095238095238E-2</v>
      </c>
      <c r="AK75" s="26">
        <v>-1.4144271570014143E-2</v>
      </c>
      <c r="AL75" s="26">
        <v>7.0721357850070717E-3</v>
      </c>
      <c r="AM75" s="26">
        <v>2.1520803443328552E-2</v>
      </c>
      <c r="AN75" s="27">
        <v>8.294594594594594</v>
      </c>
      <c r="AO75" s="26">
        <v>1.9243243243243244</v>
      </c>
      <c r="AP75" s="26">
        <v>8.1081081081081086E-2</v>
      </c>
      <c r="AQ75" s="26">
        <v>0.51081081081081081</v>
      </c>
      <c r="AR75" s="28">
        <v>7.0351758793969849E-2</v>
      </c>
      <c r="AS75" s="249">
        <f t="shared" si="2"/>
        <v>1.008108108108108</v>
      </c>
      <c r="AT75" s="250">
        <f t="shared" si="3"/>
        <v>-0.62972972972972974</v>
      </c>
      <c r="AU75" s="22">
        <v>334</v>
      </c>
      <c r="AV75" s="23">
        <v>355</v>
      </c>
      <c r="AW75" s="24">
        <v>347</v>
      </c>
      <c r="AX75" s="135">
        <v>6.2874251497005984E-2</v>
      </c>
      <c r="AY75" s="26">
        <v>3.8922155688622756E-2</v>
      </c>
      <c r="AZ75" s="28">
        <v>-2.2535211267605635E-2</v>
      </c>
      <c r="BA75" s="22">
        <v>56</v>
      </c>
      <c r="BB75" s="24">
        <v>48</v>
      </c>
      <c r="BC75" s="22">
        <v>12</v>
      </c>
      <c r="BD75" s="24">
        <v>8</v>
      </c>
      <c r="BE75" s="22">
        <v>2106</v>
      </c>
      <c r="BF75" s="23">
        <v>3069</v>
      </c>
      <c r="BG75" s="26">
        <v>0.6862170087976539</v>
      </c>
      <c r="BH75" s="23">
        <v>189</v>
      </c>
      <c r="BI75" s="23">
        <v>347</v>
      </c>
      <c r="BJ75" s="28">
        <v>0.54466858789625361</v>
      </c>
    </row>
    <row r="76" spans="1:62" x14ac:dyDescent="0.25">
      <c r="E76" t="s">
        <v>148</v>
      </c>
      <c r="F76" s="32">
        <v>497</v>
      </c>
      <c r="G76" s="29">
        <v>370</v>
      </c>
      <c r="H76" s="30">
        <v>17</v>
      </c>
      <c r="I76" s="30">
        <v>387</v>
      </c>
      <c r="J76" s="31">
        <v>0</v>
      </c>
      <c r="K76" s="29">
        <v>0</v>
      </c>
      <c r="L76" s="30">
        <v>0</v>
      </c>
      <c r="M76" s="30">
        <v>16</v>
      </c>
      <c r="N76" s="30">
        <v>0</v>
      </c>
      <c r="O76" s="30">
        <v>0</v>
      </c>
      <c r="P76" s="30">
        <v>0</v>
      </c>
      <c r="Q76" s="30">
        <v>2</v>
      </c>
      <c r="R76" s="31">
        <v>28</v>
      </c>
      <c r="S76" s="32">
        <v>373</v>
      </c>
      <c r="T76" s="29">
        <v>606</v>
      </c>
      <c r="U76" s="30">
        <v>7</v>
      </c>
      <c r="V76" s="30">
        <v>2</v>
      </c>
      <c r="W76" s="30">
        <v>16</v>
      </c>
      <c r="X76" s="31">
        <v>581</v>
      </c>
      <c r="Y76" s="29">
        <v>2786</v>
      </c>
      <c r="Z76" s="31">
        <v>707</v>
      </c>
      <c r="AA76" s="29">
        <v>3024</v>
      </c>
      <c r="AB76" s="31">
        <v>697</v>
      </c>
      <c r="AC76" s="29">
        <v>3069</v>
      </c>
      <c r="AD76">
        <v>712</v>
      </c>
      <c r="AE76" s="29">
        <v>51</v>
      </c>
      <c r="AF76" s="30">
        <v>30</v>
      </c>
      <c r="AG76" s="31">
        <v>189</v>
      </c>
      <c r="AH76" s="136">
        <v>8.5427135678391955E-2</v>
      </c>
      <c r="AI76" s="33">
        <v>0.10157932519741565</v>
      </c>
      <c r="AJ76" s="33">
        <v>1.488095238095238E-2</v>
      </c>
      <c r="AK76" s="33">
        <v>-1.4144271570014143E-2</v>
      </c>
      <c r="AL76" s="33">
        <v>7.0721357850070717E-3</v>
      </c>
      <c r="AM76" s="33">
        <v>2.1520803443328552E-2</v>
      </c>
      <c r="AN76" s="34">
        <v>8.294594594594594</v>
      </c>
      <c r="AO76" s="33">
        <v>1.9243243243243244</v>
      </c>
      <c r="AP76" s="33">
        <v>8.1081081081081086E-2</v>
      </c>
      <c r="AQ76" s="33">
        <v>0.51081081081081081</v>
      </c>
      <c r="AR76" s="35">
        <v>7.0351758793969849E-2</v>
      </c>
      <c r="AS76" s="251">
        <f t="shared" si="2"/>
        <v>1.008108108108108</v>
      </c>
      <c r="AT76" s="252">
        <f t="shared" si="3"/>
        <v>-0.62972972972972974</v>
      </c>
      <c r="AU76" s="29">
        <v>334</v>
      </c>
      <c r="AV76" s="30">
        <v>355</v>
      </c>
      <c r="AW76" s="31">
        <v>347</v>
      </c>
      <c r="AX76" s="136">
        <v>6.2874251497005984E-2</v>
      </c>
      <c r="AY76" s="33">
        <v>3.8922155688622756E-2</v>
      </c>
      <c r="AZ76" s="35">
        <v>-2.2535211267605635E-2</v>
      </c>
      <c r="BA76" s="29">
        <v>56</v>
      </c>
      <c r="BB76" s="31">
        <v>48</v>
      </c>
      <c r="BC76" s="29">
        <v>12</v>
      </c>
      <c r="BD76" s="31">
        <v>8</v>
      </c>
      <c r="BE76" s="29">
        <v>2106</v>
      </c>
      <c r="BF76" s="30">
        <v>3069</v>
      </c>
      <c r="BG76" s="33">
        <v>0.6862170087976539</v>
      </c>
      <c r="BH76" s="30">
        <v>189</v>
      </c>
      <c r="BI76" s="30">
        <v>347</v>
      </c>
      <c r="BJ76" s="35">
        <v>0.54466858789625361</v>
      </c>
    </row>
    <row r="77" spans="1:62" x14ac:dyDescent="0.25">
      <c r="A77" s="134"/>
      <c r="B77" s="134"/>
      <c r="C77" s="134"/>
      <c r="D77" s="134" t="s">
        <v>120</v>
      </c>
      <c r="E77" s="134"/>
      <c r="F77" s="25">
        <v>804</v>
      </c>
      <c r="G77" s="22">
        <v>692</v>
      </c>
      <c r="H77" s="23">
        <v>5</v>
      </c>
      <c r="I77" s="23">
        <v>695</v>
      </c>
      <c r="J77" s="24">
        <v>2</v>
      </c>
      <c r="K77" s="22">
        <v>0</v>
      </c>
      <c r="L77" s="23">
        <v>1</v>
      </c>
      <c r="M77" s="23">
        <v>6</v>
      </c>
      <c r="N77" s="23">
        <v>0</v>
      </c>
      <c r="O77" s="23">
        <v>0</v>
      </c>
      <c r="P77" s="23">
        <v>0</v>
      </c>
      <c r="Q77" s="23">
        <v>38</v>
      </c>
      <c r="R77" s="24">
        <v>60</v>
      </c>
      <c r="S77" s="25">
        <v>39</v>
      </c>
      <c r="T77" s="22">
        <v>87</v>
      </c>
      <c r="U77" s="23">
        <v>3</v>
      </c>
      <c r="V77" s="23">
        <v>3</v>
      </c>
      <c r="W77" s="23">
        <v>4</v>
      </c>
      <c r="X77" s="24">
        <v>77</v>
      </c>
      <c r="Y77" s="22">
        <v>1796</v>
      </c>
      <c r="Z77" s="24">
        <v>534</v>
      </c>
      <c r="AA77" s="22">
        <v>1688</v>
      </c>
      <c r="AB77" s="24">
        <v>508</v>
      </c>
      <c r="AC77" s="22">
        <v>1814</v>
      </c>
      <c r="AD77" s="134">
        <v>511</v>
      </c>
      <c r="AE77" s="22">
        <v>298</v>
      </c>
      <c r="AF77" s="23">
        <v>123</v>
      </c>
      <c r="AG77" s="24">
        <v>252</v>
      </c>
      <c r="AH77" s="135">
        <v>-6.0133630289532294E-2</v>
      </c>
      <c r="AI77" s="26">
        <v>1.002227171492205E-2</v>
      </c>
      <c r="AJ77" s="26">
        <v>7.4644549763033169E-2</v>
      </c>
      <c r="AK77" s="26">
        <v>-4.8689138576779027E-2</v>
      </c>
      <c r="AL77" s="26">
        <v>-4.307116104868914E-2</v>
      </c>
      <c r="AM77" s="26">
        <v>5.905511811023622E-3</v>
      </c>
      <c r="AN77" s="27">
        <v>2.6213872832369942</v>
      </c>
      <c r="AO77" s="26">
        <v>0.73843930635838151</v>
      </c>
      <c r="AP77" s="26">
        <v>0.1777456647398844</v>
      </c>
      <c r="AQ77" s="26">
        <v>0.36416184971098264</v>
      </c>
      <c r="AR77" s="28">
        <v>7.9787234042553196E-2</v>
      </c>
      <c r="AS77" s="249">
        <f t="shared" si="2"/>
        <v>5.6358381502890173E-2</v>
      </c>
      <c r="AT77" s="250">
        <f t="shared" si="3"/>
        <v>-6.9364161849710976E-2</v>
      </c>
      <c r="AU77" s="22">
        <v>626</v>
      </c>
      <c r="AV77" s="23">
        <v>645</v>
      </c>
      <c r="AW77" s="24">
        <v>676</v>
      </c>
      <c r="AX77" s="135">
        <v>3.035143769968051E-2</v>
      </c>
      <c r="AY77" s="26">
        <v>7.9872204472843447E-2</v>
      </c>
      <c r="AZ77" s="28">
        <v>4.8062015503875968E-2</v>
      </c>
      <c r="BA77" s="22">
        <v>42</v>
      </c>
      <c r="BB77" s="24">
        <v>39</v>
      </c>
      <c r="BC77" s="22">
        <v>3</v>
      </c>
      <c r="BD77" s="24">
        <v>3.5</v>
      </c>
      <c r="BE77" s="22">
        <v>1069</v>
      </c>
      <c r="BF77" s="23">
        <v>1814</v>
      </c>
      <c r="BG77" s="26">
        <v>0.58930540242557883</v>
      </c>
      <c r="BH77" s="23">
        <v>395</v>
      </c>
      <c r="BI77" s="23">
        <v>676</v>
      </c>
      <c r="BJ77" s="28">
        <v>0.58431952662721898</v>
      </c>
    </row>
    <row r="78" spans="1:62" x14ac:dyDescent="0.25">
      <c r="E78" t="s">
        <v>68</v>
      </c>
      <c r="F78" s="32">
        <v>740</v>
      </c>
      <c r="G78" s="29">
        <v>636</v>
      </c>
      <c r="H78" s="30">
        <v>0</v>
      </c>
      <c r="I78" s="30">
        <v>634</v>
      </c>
      <c r="J78" s="31">
        <v>2</v>
      </c>
      <c r="K78" s="29">
        <v>0</v>
      </c>
      <c r="L78" s="30">
        <v>1</v>
      </c>
      <c r="M78" s="30">
        <v>6</v>
      </c>
      <c r="N78" s="30">
        <v>0</v>
      </c>
      <c r="O78" s="30">
        <v>0</v>
      </c>
      <c r="P78" s="30">
        <v>0</v>
      </c>
      <c r="Q78" s="30">
        <v>38</v>
      </c>
      <c r="R78" s="31">
        <v>57</v>
      </c>
      <c r="S78" s="32">
        <v>23</v>
      </c>
      <c r="T78" s="29">
        <v>81</v>
      </c>
      <c r="U78" s="30">
        <v>2</v>
      </c>
      <c r="V78" s="30">
        <v>3</v>
      </c>
      <c r="W78" s="30">
        <v>4</v>
      </c>
      <c r="X78" s="31">
        <v>72</v>
      </c>
      <c r="Y78" s="29">
        <v>1555</v>
      </c>
      <c r="Z78" s="31">
        <v>491</v>
      </c>
      <c r="AA78" s="29">
        <v>1464</v>
      </c>
      <c r="AB78" s="31">
        <v>463</v>
      </c>
      <c r="AC78" s="29">
        <v>1542</v>
      </c>
      <c r="AD78">
        <v>469</v>
      </c>
      <c r="AE78" s="29">
        <v>277</v>
      </c>
      <c r="AF78" s="30">
        <v>113</v>
      </c>
      <c r="AG78" s="31">
        <v>228</v>
      </c>
      <c r="AH78" s="136">
        <v>-5.8520900321543411E-2</v>
      </c>
      <c r="AI78" s="33">
        <v>-8.3601286173633441E-3</v>
      </c>
      <c r="AJ78" s="33">
        <v>5.3278688524590161E-2</v>
      </c>
      <c r="AK78" s="33">
        <v>-5.7026476578411409E-2</v>
      </c>
      <c r="AL78" s="33">
        <v>-4.4806517311608958E-2</v>
      </c>
      <c r="AM78" s="33">
        <v>1.2958963282937365E-2</v>
      </c>
      <c r="AN78" s="34">
        <v>2.4245283018867925</v>
      </c>
      <c r="AO78" s="33">
        <v>0.73742138364779874</v>
      </c>
      <c r="AP78" s="33">
        <v>0.17767295597484276</v>
      </c>
      <c r="AQ78" s="33">
        <v>0.35849056603773582</v>
      </c>
      <c r="AR78" s="35">
        <v>8.2251082251082255E-2</v>
      </c>
      <c r="AS78" s="251">
        <f t="shared" si="2"/>
        <v>3.6163522012578615E-2</v>
      </c>
      <c r="AT78" s="252">
        <f t="shared" si="3"/>
        <v>-9.1194968553459113E-2</v>
      </c>
      <c r="AU78" s="29">
        <v>572</v>
      </c>
      <c r="AV78" s="30">
        <v>570</v>
      </c>
      <c r="AW78" s="31">
        <v>606</v>
      </c>
      <c r="AX78" s="136">
        <v>-3.4965034965034965E-3</v>
      </c>
      <c r="AY78" s="33">
        <v>5.944055944055944E-2</v>
      </c>
      <c r="AZ78" s="35">
        <v>6.3157894736842107E-2</v>
      </c>
      <c r="BA78" s="29">
        <v>41</v>
      </c>
      <c r="BB78" s="31">
        <v>39</v>
      </c>
      <c r="BC78" s="29">
        <v>3</v>
      </c>
      <c r="BD78" s="31">
        <v>3</v>
      </c>
      <c r="BE78" s="29">
        <v>911</v>
      </c>
      <c r="BF78" s="30">
        <v>1542</v>
      </c>
      <c r="BG78" s="33">
        <v>0.59079118028534372</v>
      </c>
      <c r="BH78" s="30">
        <v>355</v>
      </c>
      <c r="BI78" s="30">
        <v>606</v>
      </c>
      <c r="BJ78" s="35">
        <v>0.58580858085808585</v>
      </c>
    </row>
    <row r="79" spans="1:62" x14ac:dyDescent="0.25">
      <c r="E79" t="s">
        <v>148</v>
      </c>
      <c r="F79" s="32">
        <v>45</v>
      </c>
      <c r="G79" s="29">
        <v>37</v>
      </c>
      <c r="H79" s="30">
        <v>5</v>
      </c>
      <c r="I79" s="30">
        <v>42</v>
      </c>
      <c r="J79" s="31">
        <v>0</v>
      </c>
      <c r="K79" s="29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1">
        <v>3</v>
      </c>
      <c r="S79" s="32">
        <v>15</v>
      </c>
      <c r="T79" s="29">
        <v>6</v>
      </c>
      <c r="U79" s="30">
        <v>1</v>
      </c>
      <c r="V79" s="30">
        <v>0</v>
      </c>
      <c r="W79" s="30">
        <v>0</v>
      </c>
      <c r="X79" s="31">
        <v>5</v>
      </c>
      <c r="Y79" s="29">
        <v>218</v>
      </c>
      <c r="Z79" s="31">
        <v>33</v>
      </c>
      <c r="AA79" s="29">
        <v>209</v>
      </c>
      <c r="AB79" s="31">
        <v>36</v>
      </c>
      <c r="AC79" s="29">
        <v>261</v>
      </c>
      <c r="AD79">
        <v>36</v>
      </c>
      <c r="AE79" s="29">
        <v>8</v>
      </c>
      <c r="AF79" s="30">
        <v>5</v>
      </c>
      <c r="AG79" s="31">
        <v>22</v>
      </c>
      <c r="AH79" s="136">
        <v>-4.1284403669724773E-2</v>
      </c>
      <c r="AI79" s="33">
        <v>0.19724770642201836</v>
      </c>
      <c r="AJ79" s="33">
        <v>0.24880382775119617</v>
      </c>
      <c r="AK79" s="33">
        <v>9.0909090909090912E-2</v>
      </c>
      <c r="AL79" s="33">
        <v>9.0909090909090912E-2</v>
      </c>
      <c r="AM79" s="33">
        <v>0</v>
      </c>
      <c r="AN79" s="34">
        <v>7.0540540540540544</v>
      </c>
      <c r="AO79" s="33">
        <v>0.97297297297297303</v>
      </c>
      <c r="AP79" s="33">
        <v>0.13513513513513514</v>
      </c>
      <c r="AQ79" s="33">
        <v>0.59459459459459463</v>
      </c>
      <c r="AR79" s="35">
        <v>7.4999999999999997E-2</v>
      </c>
      <c r="AS79" s="251">
        <f t="shared" si="2"/>
        <v>0.40540540540540543</v>
      </c>
      <c r="AT79" s="252">
        <f t="shared" si="3"/>
        <v>0.24324324324324326</v>
      </c>
      <c r="AU79" s="29">
        <v>104</v>
      </c>
      <c r="AV79" s="30">
        <v>109</v>
      </c>
      <c r="AW79" s="31">
        <v>116</v>
      </c>
      <c r="AX79" s="136">
        <v>4.807692307692308E-2</v>
      </c>
      <c r="AY79" s="33">
        <v>0.11538461538461539</v>
      </c>
      <c r="AZ79" s="35">
        <v>6.4220183486238536E-2</v>
      </c>
      <c r="BA79" s="29">
        <v>49</v>
      </c>
      <c r="BB79" s="31">
        <v>44</v>
      </c>
      <c r="BC79" s="29">
        <v>7</v>
      </c>
      <c r="BD79" s="31">
        <v>7</v>
      </c>
      <c r="BE79" s="29">
        <v>149</v>
      </c>
      <c r="BF79" s="30">
        <v>261</v>
      </c>
      <c r="BG79" s="33">
        <v>0.57088122605363989</v>
      </c>
      <c r="BH79" s="30">
        <v>60</v>
      </c>
      <c r="BI79" s="30">
        <v>116</v>
      </c>
      <c r="BJ79" s="35">
        <v>0.51724137931034486</v>
      </c>
    </row>
    <row r="80" spans="1:62" x14ac:dyDescent="0.25">
      <c r="E80" t="s">
        <v>97</v>
      </c>
      <c r="F80" s="32">
        <v>19</v>
      </c>
      <c r="G80" s="29">
        <v>19</v>
      </c>
      <c r="H80" s="30">
        <v>0</v>
      </c>
      <c r="I80" s="30">
        <v>19</v>
      </c>
      <c r="J80" s="31">
        <v>0</v>
      </c>
      <c r="K80" s="29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1">
        <v>0</v>
      </c>
      <c r="S80" s="32">
        <v>1</v>
      </c>
      <c r="T80" s="29"/>
      <c r="U80" s="30"/>
      <c r="V80" s="30"/>
      <c r="W80" s="30"/>
      <c r="X80" s="31"/>
      <c r="Y80" s="29">
        <v>23</v>
      </c>
      <c r="Z80" s="31">
        <v>10</v>
      </c>
      <c r="AA80" s="29">
        <v>15</v>
      </c>
      <c r="AB80" s="31">
        <v>9</v>
      </c>
      <c r="AC80" s="29">
        <v>11</v>
      </c>
      <c r="AD80">
        <v>6</v>
      </c>
      <c r="AE80" s="29">
        <v>13</v>
      </c>
      <c r="AF80" s="30">
        <v>5</v>
      </c>
      <c r="AG80" s="31">
        <v>2</v>
      </c>
      <c r="AH80" s="136">
        <v>-0.34782608695652173</v>
      </c>
      <c r="AI80" s="33">
        <v>-0.52173913043478259</v>
      </c>
      <c r="AJ80" s="33">
        <v>-0.26666666666666666</v>
      </c>
      <c r="AK80" s="33">
        <v>-0.1</v>
      </c>
      <c r="AL80" s="33">
        <v>-0.4</v>
      </c>
      <c r="AM80" s="33">
        <v>-0.33333333333333331</v>
      </c>
      <c r="AN80" s="34">
        <v>0.57894736842105265</v>
      </c>
      <c r="AO80" s="33">
        <v>0.31578947368421051</v>
      </c>
      <c r="AP80" s="33">
        <v>0.26315789473684209</v>
      </c>
      <c r="AQ80" s="33">
        <v>0.10526315789473684</v>
      </c>
      <c r="AR80" s="35">
        <v>0</v>
      </c>
      <c r="AS80" s="251">
        <f t="shared" si="2"/>
        <v>5.2631578947368418E-2</v>
      </c>
      <c r="AT80" s="252">
        <f t="shared" si="3"/>
        <v>5.2631578947368418E-2</v>
      </c>
      <c r="AU80" s="29">
        <v>13</v>
      </c>
      <c r="AV80" s="30">
        <v>11</v>
      </c>
      <c r="AW80" s="31">
        <v>11</v>
      </c>
      <c r="AX80" s="136">
        <v>-0.15384615384615385</v>
      </c>
      <c r="AY80" s="33">
        <v>-0.15384615384615385</v>
      </c>
      <c r="AZ80" s="35">
        <v>0</v>
      </c>
      <c r="BA80" s="29">
        <v>49</v>
      </c>
      <c r="BB80" s="31">
        <v>49</v>
      </c>
      <c r="BC80" s="29">
        <v>3</v>
      </c>
      <c r="BD80" s="31">
        <v>3</v>
      </c>
      <c r="BE80" s="29">
        <v>9</v>
      </c>
      <c r="BF80" s="30">
        <v>11</v>
      </c>
      <c r="BG80" s="33">
        <v>0.81818181818181823</v>
      </c>
      <c r="BH80" s="30">
        <v>9</v>
      </c>
      <c r="BI80" s="30">
        <v>11</v>
      </c>
      <c r="BJ80" s="35">
        <v>0.81818181818181823</v>
      </c>
    </row>
    <row r="81" spans="1:62" x14ac:dyDescent="0.25">
      <c r="A81" s="134"/>
      <c r="B81" s="134"/>
      <c r="C81" s="134"/>
      <c r="D81" s="134" t="s">
        <v>121</v>
      </c>
      <c r="E81" s="134"/>
      <c r="F81" s="25">
        <v>949</v>
      </c>
      <c r="G81" s="22">
        <v>807</v>
      </c>
      <c r="H81" s="23">
        <v>23</v>
      </c>
      <c r="I81" s="23">
        <v>830</v>
      </c>
      <c r="J81" s="24">
        <v>0</v>
      </c>
      <c r="K81" s="22">
        <v>0</v>
      </c>
      <c r="L81" s="23">
        <v>2</v>
      </c>
      <c r="M81" s="23">
        <v>5</v>
      </c>
      <c r="N81" s="23">
        <v>3</v>
      </c>
      <c r="O81" s="23">
        <v>9</v>
      </c>
      <c r="P81" s="23">
        <v>0</v>
      </c>
      <c r="Q81" s="23">
        <v>9</v>
      </c>
      <c r="R81" s="24">
        <v>21</v>
      </c>
      <c r="S81" s="25">
        <v>193</v>
      </c>
      <c r="T81" s="22">
        <v>315</v>
      </c>
      <c r="U81" s="23">
        <v>0</v>
      </c>
      <c r="V81" s="23">
        <v>6</v>
      </c>
      <c r="W81" s="23">
        <v>2</v>
      </c>
      <c r="X81" s="24">
        <v>307</v>
      </c>
      <c r="Y81" s="22">
        <v>1196</v>
      </c>
      <c r="Z81" s="24">
        <v>521</v>
      </c>
      <c r="AA81" s="22">
        <v>1242</v>
      </c>
      <c r="AB81" s="24">
        <v>557</v>
      </c>
      <c r="AC81" s="22">
        <v>1186</v>
      </c>
      <c r="AD81" s="134">
        <v>524</v>
      </c>
      <c r="AE81" s="22">
        <v>453</v>
      </c>
      <c r="AF81" s="23">
        <v>204</v>
      </c>
      <c r="AG81" s="24">
        <v>107</v>
      </c>
      <c r="AH81" s="135">
        <v>3.8461538461538464E-2</v>
      </c>
      <c r="AI81" s="26">
        <v>-8.3612040133779261E-3</v>
      </c>
      <c r="AJ81" s="26">
        <v>-4.5088566827697261E-2</v>
      </c>
      <c r="AK81" s="26">
        <v>6.9097888675623803E-2</v>
      </c>
      <c r="AL81" s="26">
        <v>5.7581573896353169E-3</v>
      </c>
      <c r="AM81" s="26">
        <v>-5.9245960502692999E-2</v>
      </c>
      <c r="AN81" s="27">
        <v>1.4696406443618339</v>
      </c>
      <c r="AO81" s="26">
        <v>0.64931846344485755</v>
      </c>
      <c r="AP81" s="26">
        <v>0.25278810408921931</v>
      </c>
      <c r="AQ81" s="26">
        <v>0.13258983890954151</v>
      </c>
      <c r="AR81" s="28">
        <v>2.5362318840579712E-2</v>
      </c>
      <c r="AS81" s="249">
        <f t="shared" si="2"/>
        <v>0.23915737298636927</v>
      </c>
      <c r="AT81" s="250">
        <f t="shared" si="3"/>
        <v>-0.15117719950433706</v>
      </c>
      <c r="AU81" s="22">
        <v>367</v>
      </c>
      <c r="AV81" s="23">
        <v>398</v>
      </c>
      <c r="AW81" s="24">
        <v>379</v>
      </c>
      <c r="AX81" s="135">
        <v>8.4468664850136238E-2</v>
      </c>
      <c r="AY81" s="26">
        <v>3.2697547683923703E-2</v>
      </c>
      <c r="AZ81" s="28">
        <v>-4.7738693467336682E-2</v>
      </c>
      <c r="BA81" s="22">
        <v>43</v>
      </c>
      <c r="BB81" s="24">
        <v>39</v>
      </c>
      <c r="BC81" s="22">
        <v>7</v>
      </c>
      <c r="BD81" s="24">
        <v>5</v>
      </c>
      <c r="BE81" s="22">
        <v>678</v>
      </c>
      <c r="BF81" s="23">
        <v>1186</v>
      </c>
      <c r="BG81" s="26">
        <v>0.57166947723440131</v>
      </c>
      <c r="BH81" s="23">
        <v>218</v>
      </c>
      <c r="BI81" s="23">
        <v>379</v>
      </c>
      <c r="BJ81" s="28">
        <v>0.57519788918205805</v>
      </c>
    </row>
    <row r="82" spans="1:62" x14ac:dyDescent="0.25">
      <c r="E82" t="s">
        <v>68</v>
      </c>
      <c r="F82" s="32">
        <v>526</v>
      </c>
      <c r="G82" s="29">
        <v>501</v>
      </c>
      <c r="H82" s="30">
        <v>0</v>
      </c>
      <c r="I82" s="30">
        <v>501</v>
      </c>
      <c r="J82" s="31">
        <v>0</v>
      </c>
      <c r="K82" s="29">
        <v>0</v>
      </c>
      <c r="L82" s="30">
        <v>2</v>
      </c>
      <c r="M82" s="30">
        <v>4</v>
      </c>
      <c r="N82" s="30">
        <v>1</v>
      </c>
      <c r="O82" s="30">
        <v>1</v>
      </c>
      <c r="P82" s="30">
        <v>0</v>
      </c>
      <c r="Q82" s="30">
        <v>8</v>
      </c>
      <c r="R82" s="31">
        <v>9</v>
      </c>
      <c r="S82" s="32">
        <v>29</v>
      </c>
      <c r="T82" s="29">
        <v>124</v>
      </c>
      <c r="U82" s="30">
        <v>0</v>
      </c>
      <c r="V82" s="30">
        <v>5</v>
      </c>
      <c r="W82" s="30">
        <v>1</v>
      </c>
      <c r="X82" s="31">
        <v>118</v>
      </c>
      <c r="Y82" s="29">
        <v>549</v>
      </c>
      <c r="Z82" s="31">
        <v>247</v>
      </c>
      <c r="AA82" s="29">
        <v>549</v>
      </c>
      <c r="AB82" s="31">
        <v>265</v>
      </c>
      <c r="AC82" s="29">
        <v>550</v>
      </c>
      <c r="AD82">
        <v>262</v>
      </c>
      <c r="AE82" s="29">
        <v>273</v>
      </c>
      <c r="AF82" s="30">
        <v>124</v>
      </c>
      <c r="AG82" s="31">
        <v>53</v>
      </c>
      <c r="AH82" s="136">
        <v>0</v>
      </c>
      <c r="AI82" s="33">
        <v>1.8214936247723133E-3</v>
      </c>
      <c r="AJ82" s="33">
        <v>1.8214936247723133E-3</v>
      </c>
      <c r="AK82" s="33">
        <v>7.28744939271255E-2</v>
      </c>
      <c r="AL82" s="33">
        <v>6.0728744939271252E-2</v>
      </c>
      <c r="AM82" s="33">
        <v>-1.1320754716981131E-2</v>
      </c>
      <c r="AN82" s="34">
        <v>1.0978043912175648</v>
      </c>
      <c r="AO82" s="33">
        <v>0.52295409181636732</v>
      </c>
      <c r="AP82" s="33">
        <v>0.24750499001996007</v>
      </c>
      <c r="AQ82" s="33">
        <v>0.10578842315369262</v>
      </c>
      <c r="AR82" s="35">
        <v>1.7647058823529412E-2</v>
      </c>
      <c r="AS82" s="251">
        <f t="shared" si="2"/>
        <v>5.7884231536926151E-2</v>
      </c>
      <c r="AT82" s="252">
        <f t="shared" si="3"/>
        <v>-0.18962075848303392</v>
      </c>
      <c r="AU82" s="29">
        <v>253</v>
      </c>
      <c r="AV82" s="30">
        <v>267</v>
      </c>
      <c r="AW82" s="31">
        <v>276</v>
      </c>
      <c r="AX82" s="136">
        <v>5.533596837944664E-2</v>
      </c>
      <c r="AY82" s="33">
        <v>9.0909090909090912E-2</v>
      </c>
      <c r="AZ82" s="35">
        <v>3.3707865168539325E-2</v>
      </c>
      <c r="BA82" s="29">
        <v>39</v>
      </c>
      <c r="BB82" s="31">
        <v>37</v>
      </c>
      <c r="BC82" s="29">
        <v>4</v>
      </c>
      <c r="BD82" s="31">
        <v>4</v>
      </c>
      <c r="BE82" s="29">
        <v>302</v>
      </c>
      <c r="BF82" s="30">
        <v>550</v>
      </c>
      <c r="BG82" s="33">
        <v>0.54909090909090907</v>
      </c>
      <c r="BH82" s="30">
        <v>156</v>
      </c>
      <c r="BI82" s="30">
        <v>276</v>
      </c>
      <c r="BJ82" s="35">
        <v>0.56521739130434778</v>
      </c>
    </row>
    <row r="83" spans="1:62" x14ac:dyDescent="0.25">
      <c r="E83" t="s">
        <v>148</v>
      </c>
      <c r="F83" s="32">
        <v>364</v>
      </c>
      <c r="G83" s="29">
        <v>251</v>
      </c>
      <c r="H83" s="30">
        <v>23</v>
      </c>
      <c r="I83" s="30">
        <v>274</v>
      </c>
      <c r="J83" s="31">
        <v>0</v>
      </c>
      <c r="K83" s="29">
        <v>0</v>
      </c>
      <c r="L83" s="30">
        <v>0</v>
      </c>
      <c r="M83" s="30">
        <v>1</v>
      </c>
      <c r="N83" s="30">
        <v>0</v>
      </c>
      <c r="O83" s="30">
        <v>8</v>
      </c>
      <c r="P83" s="30">
        <v>0</v>
      </c>
      <c r="Q83" s="30">
        <v>0</v>
      </c>
      <c r="R83" s="31">
        <v>11</v>
      </c>
      <c r="S83" s="32">
        <v>163</v>
      </c>
      <c r="T83" s="29">
        <v>190</v>
      </c>
      <c r="U83" s="30">
        <v>0</v>
      </c>
      <c r="V83" s="30">
        <v>0</v>
      </c>
      <c r="W83" s="30">
        <v>1</v>
      </c>
      <c r="X83" s="31">
        <v>189</v>
      </c>
      <c r="Y83" s="29">
        <v>610</v>
      </c>
      <c r="Z83" s="31">
        <v>256</v>
      </c>
      <c r="AA83" s="29">
        <v>620</v>
      </c>
      <c r="AB83" s="31">
        <v>255</v>
      </c>
      <c r="AC83" s="29">
        <v>582</v>
      </c>
      <c r="AD83">
        <v>234</v>
      </c>
      <c r="AE83" s="29">
        <v>149</v>
      </c>
      <c r="AF83" s="30">
        <v>69</v>
      </c>
      <c r="AG83" s="31">
        <v>48</v>
      </c>
      <c r="AH83" s="136">
        <v>1.6393442622950821E-2</v>
      </c>
      <c r="AI83" s="33">
        <v>-4.5901639344262293E-2</v>
      </c>
      <c r="AJ83" s="33">
        <v>-6.1290322580645158E-2</v>
      </c>
      <c r="AK83" s="33">
        <v>-3.90625E-3</v>
      </c>
      <c r="AL83" s="33">
        <v>-8.59375E-2</v>
      </c>
      <c r="AM83" s="33">
        <v>-8.2352941176470587E-2</v>
      </c>
      <c r="AN83" s="34">
        <v>2.3187250996015938</v>
      </c>
      <c r="AO83" s="33">
        <v>0.9322709163346613</v>
      </c>
      <c r="AP83" s="33">
        <v>0.27490039840637448</v>
      </c>
      <c r="AQ83" s="33">
        <v>0.19123505976095617</v>
      </c>
      <c r="AR83" s="35">
        <v>4.1984732824427481E-2</v>
      </c>
      <c r="AS83" s="251">
        <f t="shared" si="2"/>
        <v>0.64940239043824699</v>
      </c>
      <c r="AT83" s="252">
        <f t="shared" si="3"/>
        <v>-0.10756972111553785</v>
      </c>
      <c r="AU83" s="29">
        <v>139</v>
      </c>
      <c r="AV83" s="30">
        <v>143</v>
      </c>
      <c r="AW83" s="31">
        <v>129</v>
      </c>
      <c r="AX83" s="136">
        <v>2.8776978417266189E-2</v>
      </c>
      <c r="AY83" s="33">
        <v>-7.1942446043165464E-2</v>
      </c>
      <c r="AZ83" s="35">
        <v>-9.7902097902097904E-2</v>
      </c>
      <c r="BA83" s="29">
        <v>45</v>
      </c>
      <c r="BB83" s="31">
        <v>39.5</v>
      </c>
      <c r="BC83" s="29">
        <v>9</v>
      </c>
      <c r="BD83" s="31">
        <v>6</v>
      </c>
      <c r="BE83" s="29">
        <v>343</v>
      </c>
      <c r="BF83" s="30">
        <v>582</v>
      </c>
      <c r="BG83" s="33">
        <v>0.5893470790378007</v>
      </c>
      <c r="BH83" s="30">
        <v>65</v>
      </c>
      <c r="BI83" s="30">
        <v>129</v>
      </c>
      <c r="BJ83" s="35">
        <v>0.50387596899224807</v>
      </c>
    </row>
    <row r="84" spans="1:62" x14ac:dyDescent="0.25">
      <c r="E84" t="s">
        <v>97</v>
      </c>
      <c r="F84" s="32">
        <v>59</v>
      </c>
      <c r="G84" s="29">
        <v>55</v>
      </c>
      <c r="H84" s="30">
        <v>0</v>
      </c>
      <c r="I84" s="30">
        <v>55</v>
      </c>
      <c r="J84" s="31">
        <v>0</v>
      </c>
      <c r="K84" s="29">
        <v>0</v>
      </c>
      <c r="L84" s="30">
        <v>0</v>
      </c>
      <c r="M84" s="30">
        <v>0</v>
      </c>
      <c r="N84" s="30">
        <v>2</v>
      </c>
      <c r="O84" s="30">
        <v>0</v>
      </c>
      <c r="P84" s="30">
        <v>0</v>
      </c>
      <c r="Q84" s="30">
        <v>1</v>
      </c>
      <c r="R84" s="31">
        <v>1</v>
      </c>
      <c r="S84" s="32">
        <v>1</v>
      </c>
      <c r="T84" s="29">
        <v>1</v>
      </c>
      <c r="U84" s="30">
        <v>0</v>
      </c>
      <c r="V84" s="30">
        <v>1</v>
      </c>
      <c r="W84" s="30">
        <v>0</v>
      </c>
      <c r="X84" s="31">
        <v>0</v>
      </c>
      <c r="Y84" s="29">
        <v>37</v>
      </c>
      <c r="Z84" s="31">
        <v>18</v>
      </c>
      <c r="AA84" s="29">
        <v>73</v>
      </c>
      <c r="AB84" s="31">
        <v>37</v>
      </c>
      <c r="AC84" s="29">
        <v>54</v>
      </c>
      <c r="AD84">
        <v>28</v>
      </c>
      <c r="AE84" s="29">
        <v>31</v>
      </c>
      <c r="AF84" s="30">
        <v>11</v>
      </c>
      <c r="AG84" s="31">
        <v>6</v>
      </c>
      <c r="AH84" s="136">
        <v>0.97297297297297303</v>
      </c>
      <c r="AI84" s="33">
        <v>0.45945945945945948</v>
      </c>
      <c r="AJ84" s="33">
        <v>-0.26027397260273971</v>
      </c>
      <c r="AK84" s="33">
        <v>1.0555555555555556</v>
      </c>
      <c r="AL84" s="33">
        <v>0.55555555555555558</v>
      </c>
      <c r="AM84" s="33">
        <v>-0.24324324324324326</v>
      </c>
      <c r="AN84" s="34">
        <v>0.98181818181818181</v>
      </c>
      <c r="AO84" s="33">
        <v>0.50909090909090904</v>
      </c>
      <c r="AP84" s="33">
        <v>0.2</v>
      </c>
      <c r="AQ84" s="33">
        <v>0.10909090909090909</v>
      </c>
      <c r="AR84" s="35">
        <v>1.7857142857142856E-2</v>
      </c>
      <c r="AS84" s="251">
        <f t="shared" si="2"/>
        <v>1.8181818181818181E-2</v>
      </c>
      <c r="AT84" s="252">
        <f t="shared" si="3"/>
        <v>0</v>
      </c>
      <c r="AU84" s="29">
        <v>20</v>
      </c>
      <c r="AV84" s="30">
        <v>43</v>
      </c>
      <c r="AW84" s="31">
        <v>28</v>
      </c>
      <c r="AX84" s="136">
        <v>1.1499999999999999</v>
      </c>
      <c r="AY84" s="33">
        <v>0.4</v>
      </c>
      <c r="AZ84" s="35">
        <v>-0.34883720930232559</v>
      </c>
      <c r="BA84" s="29">
        <v>50.5</v>
      </c>
      <c r="BB84" s="31">
        <v>51.5</v>
      </c>
      <c r="BC84" s="29">
        <v>10</v>
      </c>
      <c r="BD84" s="31">
        <v>5.5</v>
      </c>
      <c r="BE84" s="29">
        <v>33</v>
      </c>
      <c r="BF84" s="30">
        <v>54</v>
      </c>
      <c r="BG84" s="33">
        <v>0.61111111111111116</v>
      </c>
      <c r="BH84" s="30">
        <v>22</v>
      </c>
      <c r="BI84" s="30">
        <v>28</v>
      </c>
      <c r="BJ84" s="35">
        <v>0.7857142857142857</v>
      </c>
    </row>
    <row r="85" spans="1:62" x14ac:dyDescent="0.25">
      <c r="A85" s="130"/>
      <c r="B85" s="130" t="s">
        <v>122</v>
      </c>
      <c r="C85" s="130"/>
      <c r="D85" s="130"/>
      <c r="E85" s="130"/>
      <c r="F85" s="11">
        <v>24267</v>
      </c>
      <c r="G85" s="8">
        <v>20669</v>
      </c>
      <c r="H85" s="9">
        <v>2127</v>
      </c>
      <c r="I85" s="9">
        <v>20675</v>
      </c>
      <c r="J85" s="10">
        <v>2121</v>
      </c>
      <c r="K85" s="8">
        <v>0</v>
      </c>
      <c r="L85" s="9">
        <v>32</v>
      </c>
      <c r="M85" s="9">
        <v>57</v>
      </c>
      <c r="N85" s="9">
        <v>8</v>
      </c>
      <c r="O85" s="9">
        <v>99</v>
      </c>
      <c r="P85" s="9">
        <v>3</v>
      </c>
      <c r="Q85" s="9">
        <v>82</v>
      </c>
      <c r="R85" s="10">
        <v>899</v>
      </c>
      <c r="S85" s="11">
        <v>2312</v>
      </c>
      <c r="T85" s="8">
        <v>5539</v>
      </c>
      <c r="U85" s="9">
        <v>20</v>
      </c>
      <c r="V85" s="9">
        <v>50</v>
      </c>
      <c r="W85" s="9">
        <v>32</v>
      </c>
      <c r="X85" s="10">
        <v>5437</v>
      </c>
      <c r="Y85" s="8">
        <v>25934</v>
      </c>
      <c r="Z85" s="10">
        <v>10663</v>
      </c>
      <c r="AA85" s="8">
        <v>25030</v>
      </c>
      <c r="AB85" s="10">
        <v>10385</v>
      </c>
      <c r="AC85" s="8">
        <v>24824</v>
      </c>
      <c r="AD85" s="130">
        <v>10322</v>
      </c>
      <c r="AE85" s="8">
        <v>12283</v>
      </c>
      <c r="AF85" s="9">
        <v>6491</v>
      </c>
      <c r="AG85" s="10">
        <v>2958</v>
      </c>
      <c r="AH85" s="131">
        <v>-3.4857715739955268E-2</v>
      </c>
      <c r="AI85" s="12">
        <v>-4.2800956273617644E-2</v>
      </c>
      <c r="AJ85" s="12">
        <v>-8.2301238513783452E-3</v>
      </c>
      <c r="AK85" s="12">
        <v>-2.6071462065084872E-2</v>
      </c>
      <c r="AL85" s="12">
        <v>-3.1979743036668853E-2</v>
      </c>
      <c r="AM85" s="12">
        <v>-6.066441983630236E-3</v>
      </c>
      <c r="AN85" s="13">
        <v>1.20102569064783</v>
      </c>
      <c r="AO85" s="12">
        <v>0.49939522957085491</v>
      </c>
      <c r="AP85" s="12">
        <v>0.31404518844646573</v>
      </c>
      <c r="AQ85" s="12">
        <v>0.14311287435289563</v>
      </c>
      <c r="AR85" s="14">
        <v>4.1682121661721069E-2</v>
      </c>
      <c r="AS85" s="245">
        <f t="shared" si="2"/>
        <v>0.11185833857467706</v>
      </c>
      <c r="AT85" s="246">
        <f t="shared" si="3"/>
        <v>-0.15612753398809812</v>
      </c>
      <c r="AU85" s="8">
        <v>3780</v>
      </c>
      <c r="AV85" s="9">
        <v>3764</v>
      </c>
      <c r="AW85" s="10">
        <v>3655</v>
      </c>
      <c r="AX85" s="131">
        <v>-4.2328042328042331E-3</v>
      </c>
      <c r="AY85" s="12">
        <v>-3.3068783068783067E-2</v>
      </c>
      <c r="AZ85" s="14">
        <v>-2.8958554729011689E-2</v>
      </c>
      <c r="BA85" s="8">
        <v>42</v>
      </c>
      <c r="BB85" s="10">
        <v>33</v>
      </c>
      <c r="BC85" s="8">
        <v>5</v>
      </c>
      <c r="BD85" s="10">
        <v>3</v>
      </c>
      <c r="BE85" s="8">
        <v>15141</v>
      </c>
      <c r="BF85" s="9">
        <v>24824</v>
      </c>
      <c r="BG85" s="12">
        <v>0.609933934901708</v>
      </c>
      <c r="BH85" s="9">
        <v>2381</v>
      </c>
      <c r="BI85" s="9">
        <v>3655</v>
      </c>
      <c r="BJ85" s="14">
        <v>0.65143638850889196</v>
      </c>
    </row>
    <row r="86" spans="1:62" x14ac:dyDescent="0.25">
      <c r="A86" s="132"/>
      <c r="B86" s="132"/>
      <c r="C86" s="132" t="s">
        <v>168</v>
      </c>
      <c r="D86" s="132"/>
      <c r="E86" s="132"/>
      <c r="F86" s="18">
        <v>2057</v>
      </c>
      <c r="G86" s="15">
        <v>1929</v>
      </c>
      <c r="H86" s="16">
        <v>64</v>
      </c>
      <c r="I86" s="16">
        <v>31</v>
      </c>
      <c r="J86" s="17">
        <v>1962</v>
      </c>
      <c r="K86" s="15">
        <v>0</v>
      </c>
      <c r="L86" s="16">
        <v>7</v>
      </c>
      <c r="M86" s="16">
        <v>0</v>
      </c>
      <c r="N86" s="16">
        <v>0</v>
      </c>
      <c r="O86" s="16">
        <v>0</v>
      </c>
      <c r="P86" s="16">
        <v>1</v>
      </c>
      <c r="Q86" s="16">
        <v>3</v>
      </c>
      <c r="R86" s="17">
        <v>11</v>
      </c>
      <c r="S86" s="18">
        <v>61</v>
      </c>
      <c r="T86" s="15">
        <v>54</v>
      </c>
      <c r="U86" s="16">
        <v>0</v>
      </c>
      <c r="V86" s="16">
        <v>1</v>
      </c>
      <c r="W86" s="16">
        <v>0</v>
      </c>
      <c r="X86" s="17">
        <v>53</v>
      </c>
      <c r="Y86" s="15">
        <v>299</v>
      </c>
      <c r="Z86" s="17">
        <v>180</v>
      </c>
      <c r="AA86" s="15">
        <v>251</v>
      </c>
      <c r="AB86" s="17">
        <v>147</v>
      </c>
      <c r="AC86" s="15">
        <v>316</v>
      </c>
      <c r="AD86" s="132">
        <v>192</v>
      </c>
      <c r="AE86" s="15">
        <v>1792</v>
      </c>
      <c r="AF86" s="16">
        <v>1636</v>
      </c>
      <c r="AG86" s="17">
        <v>57</v>
      </c>
      <c r="AH86" s="133">
        <v>-0.16053511705685619</v>
      </c>
      <c r="AI86" s="19">
        <v>5.6856187290969896E-2</v>
      </c>
      <c r="AJ86" s="19">
        <v>0.25896414342629481</v>
      </c>
      <c r="AK86" s="19">
        <v>-0.18333333333333332</v>
      </c>
      <c r="AL86" s="19">
        <v>6.6666666666666666E-2</v>
      </c>
      <c r="AM86" s="19">
        <v>0.30612244897959184</v>
      </c>
      <c r="AN86" s="20">
        <v>0.16381544841886989</v>
      </c>
      <c r="AO86" s="19">
        <v>9.9533437013996889E-2</v>
      </c>
      <c r="AP86" s="19">
        <v>0.84810782789009853</v>
      </c>
      <c r="AQ86" s="19">
        <v>2.9548989113530325E-2</v>
      </c>
      <c r="AR86" s="21">
        <v>5.670103092783505E-3</v>
      </c>
      <c r="AS86" s="247">
        <f t="shared" si="2"/>
        <v>3.1622602384655259E-2</v>
      </c>
      <c r="AT86" s="248">
        <f t="shared" si="3"/>
        <v>3.6288232244686366E-3</v>
      </c>
      <c r="AU86" s="15">
        <v>118</v>
      </c>
      <c r="AV86" s="16">
        <v>96</v>
      </c>
      <c r="AW86" s="17">
        <v>94</v>
      </c>
      <c r="AX86" s="133">
        <v>-0.1864406779661017</v>
      </c>
      <c r="AY86" s="19">
        <v>-0.20338983050847459</v>
      </c>
      <c r="AZ86" s="21">
        <v>-2.0833333333333332E-2</v>
      </c>
      <c r="BA86" s="15">
        <v>36</v>
      </c>
      <c r="BB86" s="17">
        <v>37</v>
      </c>
      <c r="BC86" s="15">
        <v>8</v>
      </c>
      <c r="BD86" s="17">
        <v>3</v>
      </c>
      <c r="BE86" s="15">
        <v>153</v>
      </c>
      <c r="BF86" s="16">
        <v>316</v>
      </c>
      <c r="BG86" s="19">
        <v>0.48417721518987344</v>
      </c>
      <c r="BH86" s="16">
        <v>47</v>
      </c>
      <c r="BI86" s="16">
        <v>94</v>
      </c>
      <c r="BJ86" s="21">
        <v>0.5</v>
      </c>
    </row>
    <row r="87" spans="1:62" x14ac:dyDescent="0.25">
      <c r="E87" t="s">
        <v>68</v>
      </c>
      <c r="F87" s="32">
        <v>2036</v>
      </c>
      <c r="G87" s="29">
        <v>1918</v>
      </c>
      <c r="H87" s="30">
        <v>54</v>
      </c>
      <c r="I87" s="30">
        <v>10</v>
      </c>
      <c r="J87" s="31">
        <v>1962</v>
      </c>
      <c r="K87" s="29">
        <v>0</v>
      </c>
      <c r="L87" s="30">
        <v>7</v>
      </c>
      <c r="M87" s="30">
        <v>0</v>
      </c>
      <c r="N87" s="30">
        <v>0</v>
      </c>
      <c r="O87" s="30">
        <v>0</v>
      </c>
      <c r="P87" s="30">
        <v>1</v>
      </c>
      <c r="Q87" s="30">
        <v>3</v>
      </c>
      <c r="R87" s="31">
        <v>11</v>
      </c>
      <c r="S87" s="32">
        <v>55</v>
      </c>
      <c r="T87" s="29">
        <v>44</v>
      </c>
      <c r="U87" s="30">
        <v>0</v>
      </c>
      <c r="V87" s="30">
        <v>1</v>
      </c>
      <c r="W87" s="30">
        <v>0</v>
      </c>
      <c r="X87" s="31">
        <v>43</v>
      </c>
      <c r="Y87" s="29">
        <v>286</v>
      </c>
      <c r="Z87" s="31">
        <v>172</v>
      </c>
      <c r="AA87" s="29">
        <v>233</v>
      </c>
      <c r="AB87" s="31">
        <v>137</v>
      </c>
      <c r="AC87" s="29">
        <v>298</v>
      </c>
      <c r="AD87">
        <v>192</v>
      </c>
      <c r="AE87" s="29">
        <v>1792</v>
      </c>
      <c r="AF87" s="30">
        <v>1636</v>
      </c>
      <c r="AG87" s="31">
        <v>57</v>
      </c>
      <c r="AH87" s="136">
        <v>-0.18531468531468531</v>
      </c>
      <c r="AI87" s="33">
        <v>4.195804195804196E-2</v>
      </c>
      <c r="AJ87" s="33">
        <v>0.27896995708154504</v>
      </c>
      <c r="AK87" s="33">
        <v>-0.20348837209302326</v>
      </c>
      <c r="AL87" s="33">
        <v>0.11627906976744186</v>
      </c>
      <c r="AM87" s="33">
        <v>0.40145985401459855</v>
      </c>
      <c r="AN87" s="34">
        <v>0.15537017726798749</v>
      </c>
      <c r="AO87" s="33">
        <v>0.10010427528675704</v>
      </c>
      <c r="AP87" s="33">
        <v>0.85297184567257556</v>
      </c>
      <c r="AQ87" s="33">
        <v>2.9718456725755994E-2</v>
      </c>
      <c r="AR87" s="35">
        <v>5.7024364955935722E-3</v>
      </c>
      <c r="AS87" s="251">
        <f t="shared" si="2"/>
        <v>2.867570385818561E-2</v>
      </c>
      <c r="AT87" s="252">
        <f t="shared" si="3"/>
        <v>5.7351407716371219E-3</v>
      </c>
      <c r="AU87" s="29">
        <v>116</v>
      </c>
      <c r="AV87" s="30">
        <v>94</v>
      </c>
      <c r="AW87" s="31">
        <v>92</v>
      </c>
      <c r="AX87" s="136">
        <v>-0.18965517241379309</v>
      </c>
      <c r="AY87" s="33">
        <v>-0.20689655172413793</v>
      </c>
      <c r="AZ87" s="35">
        <v>-2.1276595744680851E-2</v>
      </c>
      <c r="BA87" s="29">
        <v>33</v>
      </c>
      <c r="BB87" s="31">
        <v>37</v>
      </c>
      <c r="BC87" s="29">
        <v>8</v>
      </c>
      <c r="BD87" s="31">
        <v>3</v>
      </c>
      <c r="BE87" s="29">
        <v>139</v>
      </c>
      <c r="BF87" s="30">
        <v>298</v>
      </c>
      <c r="BG87" s="33">
        <v>0.46644295302013422</v>
      </c>
      <c r="BH87" s="30">
        <v>46</v>
      </c>
      <c r="BI87" s="30">
        <v>92</v>
      </c>
      <c r="BJ87" s="35">
        <v>0.5</v>
      </c>
    </row>
    <row r="88" spans="1:62" x14ac:dyDescent="0.25">
      <c r="E88" t="s">
        <v>148</v>
      </c>
      <c r="F88" s="32">
        <v>21</v>
      </c>
      <c r="G88" s="29">
        <v>11</v>
      </c>
      <c r="H88" s="30">
        <v>10</v>
      </c>
      <c r="I88" s="30">
        <v>21</v>
      </c>
      <c r="J88" s="31">
        <v>0</v>
      </c>
      <c r="K88" s="29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1">
        <v>0</v>
      </c>
      <c r="S88" s="32">
        <v>6</v>
      </c>
      <c r="T88" s="29">
        <v>10</v>
      </c>
      <c r="U88" s="30">
        <v>0</v>
      </c>
      <c r="V88" s="30">
        <v>0</v>
      </c>
      <c r="W88" s="30">
        <v>0</v>
      </c>
      <c r="X88" s="31">
        <v>10</v>
      </c>
      <c r="Y88" s="29">
        <v>13</v>
      </c>
      <c r="Z88" s="31">
        <v>8</v>
      </c>
      <c r="AA88" s="29">
        <v>18</v>
      </c>
      <c r="AB88" s="31">
        <v>10</v>
      </c>
      <c r="AC88" s="29">
        <v>18</v>
      </c>
      <c r="AD88">
        <v>181</v>
      </c>
      <c r="AE88" s="29">
        <v>0</v>
      </c>
      <c r="AF88" s="30">
        <v>0</v>
      </c>
      <c r="AG88" s="31">
        <v>0</v>
      </c>
      <c r="AH88" s="136">
        <v>0.38461538461538464</v>
      </c>
      <c r="AI88" s="33">
        <v>0.38461538461538464</v>
      </c>
      <c r="AJ88" s="33">
        <v>0</v>
      </c>
      <c r="AK88" s="33">
        <v>0.25</v>
      </c>
      <c r="AL88" s="33">
        <v>21.625</v>
      </c>
      <c r="AM88" s="33">
        <v>17.100000000000001</v>
      </c>
      <c r="AN88" s="34">
        <v>1.6363636363636365</v>
      </c>
      <c r="AO88" s="33">
        <v>16.454545454545453</v>
      </c>
      <c r="AP88" s="33">
        <v>0</v>
      </c>
      <c r="AQ88" s="33">
        <v>0</v>
      </c>
      <c r="AR88" s="35">
        <v>0</v>
      </c>
      <c r="AS88" s="251">
        <f t="shared" si="2"/>
        <v>0.54545454545454541</v>
      </c>
      <c r="AT88" s="252">
        <f t="shared" si="3"/>
        <v>-0.36363636363636365</v>
      </c>
      <c r="AU88" s="29">
        <v>2</v>
      </c>
      <c r="AV88" s="30">
        <v>2</v>
      </c>
      <c r="AW88" s="31">
        <v>2</v>
      </c>
      <c r="AX88" s="136">
        <v>0</v>
      </c>
      <c r="AY88" s="33">
        <v>0</v>
      </c>
      <c r="AZ88" s="35">
        <v>0</v>
      </c>
      <c r="BA88" s="29">
        <v>62</v>
      </c>
      <c r="BB88" s="31">
        <v>48.5</v>
      </c>
      <c r="BC88" s="29">
        <v>13</v>
      </c>
      <c r="BD88" s="31">
        <v>6.5</v>
      </c>
      <c r="BE88" s="29">
        <v>14</v>
      </c>
      <c r="BF88" s="30">
        <v>18</v>
      </c>
      <c r="BG88" s="33">
        <v>0.77777777777777779</v>
      </c>
      <c r="BH88" s="30">
        <v>1</v>
      </c>
      <c r="BI88" s="30">
        <v>2</v>
      </c>
      <c r="BJ88" s="35">
        <v>0.5</v>
      </c>
    </row>
    <row r="89" spans="1:62" x14ac:dyDescent="0.25">
      <c r="A89" s="132"/>
      <c r="B89" s="132"/>
      <c r="C89" s="132" t="s">
        <v>169</v>
      </c>
      <c r="D89" s="132"/>
      <c r="E89" s="132"/>
      <c r="F89" s="18">
        <v>302</v>
      </c>
      <c r="G89" s="15">
        <v>261</v>
      </c>
      <c r="H89" s="16">
        <v>0</v>
      </c>
      <c r="I89" s="16">
        <v>261</v>
      </c>
      <c r="J89" s="17">
        <v>0</v>
      </c>
      <c r="K89" s="15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7">
        <v>40</v>
      </c>
      <c r="S89" s="18">
        <v>8</v>
      </c>
      <c r="T89" s="15"/>
      <c r="U89" s="16"/>
      <c r="V89" s="16"/>
      <c r="W89" s="16"/>
      <c r="X89" s="17"/>
      <c r="Y89" s="15">
        <v>598</v>
      </c>
      <c r="Z89" s="17">
        <v>183</v>
      </c>
      <c r="AA89" s="15">
        <v>535</v>
      </c>
      <c r="AB89" s="17">
        <v>172</v>
      </c>
      <c r="AC89" s="15">
        <v>459</v>
      </c>
      <c r="AD89" s="132">
        <v>149</v>
      </c>
      <c r="AE89" s="15">
        <v>152</v>
      </c>
      <c r="AF89" s="16">
        <v>69</v>
      </c>
      <c r="AG89" s="17">
        <v>79</v>
      </c>
      <c r="AH89" s="133">
        <v>-0.10535117056856187</v>
      </c>
      <c r="AI89" s="19">
        <v>-0.23244147157190637</v>
      </c>
      <c r="AJ89" s="19">
        <v>-0.14205607476635515</v>
      </c>
      <c r="AK89" s="19">
        <v>-6.0109289617486336E-2</v>
      </c>
      <c r="AL89" s="19">
        <v>-0.18579234972677597</v>
      </c>
      <c r="AM89" s="19">
        <v>-0.13372093023255813</v>
      </c>
      <c r="AN89" s="20">
        <v>1.7586206896551724</v>
      </c>
      <c r="AO89" s="19">
        <v>0.57088122605363989</v>
      </c>
      <c r="AP89" s="19">
        <v>0.26436781609195403</v>
      </c>
      <c r="AQ89" s="19">
        <v>0.30268199233716475</v>
      </c>
      <c r="AR89" s="21">
        <v>0.13289036544850499</v>
      </c>
      <c r="AS89" s="247">
        <f t="shared" si="2"/>
        <v>3.0651340996168581E-2</v>
      </c>
      <c r="AT89" s="248">
        <f t="shared" si="3"/>
        <v>3.0651340996168581E-2</v>
      </c>
      <c r="AU89" s="15">
        <v>208</v>
      </c>
      <c r="AV89" s="16">
        <v>194</v>
      </c>
      <c r="AW89" s="17">
        <v>168</v>
      </c>
      <c r="AX89" s="133">
        <v>-6.7307692307692304E-2</v>
      </c>
      <c r="AY89" s="19">
        <v>-0.19230769230769232</v>
      </c>
      <c r="AZ89" s="21">
        <v>-0.13402061855670103</v>
      </c>
      <c r="BA89" s="15">
        <v>31.5</v>
      </c>
      <c r="BB89" s="17">
        <v>30</v>
      </c>
      <c r="BC89" s="15">
        <v>1</v>
      </c>
      <c r="BD89" s="17">
        <v>1</v>
      </c>
      <c r="BE89" s="15">
        <v>319</v>
      </c>
      <c r="BF89" s="16">
        <v>459</v>
      </c>
      <c r="BG89" s="19">
        <v>0.69498910675381265</v>
      </c>
      <c r="BH89" s="16">
        <v>126</v>
      </c>
      <c r="BI89" s="16">
        <v>168</v>
      </c>
      <c r="BJ89" s="21">
        <v>0.75</v>
      </c>
    </row>
    <row r="90" spans="1:62" x14ac:dyDescent="0.25">
      <c r="E90" t="s">
        <v>68</v>
      </c>
      <c r="F90" s="32">
        <v>278</v>
      </c>
      <c r="G90" s="29">
        <v>238</v>
      </c>
      <c r="H90" s="30">
        <v>0</v>
      </c>
      <c r="I90" s="30">
        <v>238</v>
      </c>
      <c r="J90" s="31">
        <v>0</v>
      </c>
      <c r="K90" s="29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1">
        <v>39</v>
      </c>
      <c r="S90" s="32">
        <v>8</v>
      </c>
      <c r="T90" s="29"/>
      <c r="U90" s="30"/>
      <c r="V90" s="30"/>
      <c r="W90" s="30"/>
      <c r="X90" s="31"/>
      <c r="Y90" s="29">
        <v>557</v>
      </c>
      <c r="Z90" s="31">
        <v>167</v>
      </c>
      <c r="AA90" s="29">
        <v>501</v>
      </c>
      <c r="AB90" s="31">
        <v>163</v>
      </c>
      <c r="AC90" s="29">
        <v>433</v>
      </c>
      <c r="AD90">
        <v>149</v>
      </c>
      <c r="AE90" s="29">
        <v>139</v>
      </c>
      <c r="AF90" s="30">
        <v>63</v>
      </c>
      <c r="AG90" s="31">
        <v>74</v>
      </c>
      <c r="AH90" s="136">
        <v>-0.10053859964093358</v>
      </c>
      <c r="AI90" s="33">
        <v>-0.22262118491921004</v>
      </c>
      <c r="AJ90" s="33">
        <v>-0.13572854291417166</v>
      </c>
      <c r="AK90" s="33">
        <v>-2.3952095808383235E-2</v>
      </c>
      <c r="AL90" s="33">
        <v>-0.10778443113772455</v>
      </c>
      <c r="AM90" s="33">
        <v>-8.5889570552147243E-2</v>
      </c>
      <c r="AN90" s="34">
        <v>1.819327731092437</v>
      </c>
      <c r="AO90" s="33">
        <v>0.62605042016806722</v>
      </c>
      <c r="AP90" s="33">
        <v>0.26470588235294118</v>
      </c>
      <c r="AQ90" s="33">
        <v>0.31092436974789917</v>
      </c>
      <c r="AR90" s="35">
        <v>0.1407942238267148</v>
      </c>
      <c r="AS90" s="251">
        <f t="shared" si="2"/>
        <v>3.3613445378151259E-2</v>
      </c>
      <c r="AT90" s="252">
        <f t="shared" si="3"/>
        <v>3.3613445378151259E-2</v>
      </c>
      <c r="AU90" s="29">
        <v>203</v>
      </c>
      <c r="AV90" s="30">
        <v>180</v>
      </c>
      <c r="AW90" s="31">
        <v>159</v>
      </c>
      <c r="AX90" s="136">
        <v>-0.11330049261083744</v>
      </c>
      <c r="AY90" s="33">
        <v>-0.21674876847290642</v>
      </c>
      <c r="AZ90" s="35">
        <v>-0.11666666666666667</v>
      </c>
      <c r="BA90" s="29">
        <v>31</v>
      </c>
      <c r="BB90" s="31">
        <v>30</v>
      </c>
      <c r="BC90" s="29">
        <v>1</v>
      </c>
      <c r="BD90" s="31">
        <v>2</v>
      </c>
      <c r="BE90" s="29">
        <v>295</v>
      </c>
      <c r="BF90" s="30">
        <v>433</v>
      </c>
      <c r="BG90" s="33">
        <v>0.68129330254041576</v>
      </c>
      <c r="BH90" s="30">
        <v>118</v>
      </c>
      <c r="BI90" s="30">
        <v>159</v>
      </c>
      <c r="BJ90" s="35">
        <v>0.74213836477987416</v>
      </c>
    </row>
    <row r="91" spans="1:62" x14ac:dyDescent="0.25">
      <c r="E91" t="s">
        <v>170</v>
      </c>
      <c r="F91" s="32">
        <v>17</v>
      </c>
      <c r="G91" s="29">
        <v>16</v>
      </c>
      <c r="H91" s="30">
        <v>0</v>
      </c>
      <c r="I91" s="30">
        <v>16</v>
      </c>
      <c r="J91" s="31">
        <v>0</v>
      </c>
      <c r="K91" s="29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1">
        <v>1</v>
      </c>
      <c r="S91" s="32">
        <v>0</v>
      </c>
      <c r="T91" s="29"/>
      <c r="U91" s="30"/>
      <c r="V91" s="30"/>
      <c r="W91" s="30"/>
      <c r="X91" s="31"/>
      <c r="Y91" s="29">
        <v>35</v>
      </c>
      <c r="Z91" s="31">
        <v>12</v>
      </c>
      <c r="AA91" s="29">
        <v>33</v>
      </c>
      <c r="AB91" s="31">
        <v>8</v>
      </c>
      <c r="AC91" s="29">
        <v>23</v>
      </c>
      <c r="AD91">
        <v>138</v>
      </c>
      <c r="AE91" s="29">
        <v>9</v>
      </c>
      <c r="AF91" s="30">
        <v>4</v>
      </c>
      <c r="AG91" s="31">
        <v>5</v>
      </c>
      <c r="AH91" s="136">
        <v>-5.7142857142857141E-2</v>
      </c>
      <c r="AI91" s="33">
        <v>-0.34285714285714286</v>
      </c>
      <c r="AJ91" s="33">
        <v>-0.30303030303030304</v>
      </c>
      <c r="AK91" s="33">
        <v>-0.33333333333333331</v>
      </c>
      <c r="AL91" s="33">
        <v>10.5</v>
      </c>
      <c r="AM91" s="33">
        <v>16.25</v>
      </c>
      <c r="AN91" s="34">
        <v>1.4375</v>
      </c>
      <c r="AO91" s="33">
        <v>8.625</v>
      </c>
      <c r="AP91" s="33">
        <v>0.25</v>
      </c>
      <c r="AQ91" s="33">
        <v>0.3125</v>
      </c>
      <c r="AR91" s="35">
        <v>5.8823529411764705E-2</v>
      </c>
      <c r="AS91" s="251">
        <f t="shared" si="2"/>
        <v>0</v>
      </c>
      <c r="AT91" s="252">
        <f t="shared" si="3"/>
        <v>0</v>
      </c>
      <c r="AU91" s="29">
        <v>25</v>
      </c>
      <c r="AV91" s="30">
        <v>24</v>
      </c>
      <c r="AW91" s="31">
        <v>18</v>
      </c>
      <c r="AX91" s="136">
        <v>-0.04</v>
      </c>
      <c r="AY91" s="33">
        <v>-0.28000000000000003</v>
      </c>
      <c r="AZ91" s="35">
        <v>-0.25</v>
      </c>
      <c r="BA91" s="29">
        <v>33</v>
      </c>
      <c r="BB91" s="31">
        <v>33</v>
      </c>
      <c r="BC91" s="29">
        <v>1</v>
      </c>
      <c r="BD91" s="31">
        <v>1.5</v>
      </c>
      <c r="BE91" s="29">
        <v>21</v>
      </c>
      <c r="BF91" s="30">
        <v>23</v>
      </c>
      <c r="BG91" s="33">
        <v>0.91304347826086951</v>
      </c>
      <c r="BH91" s="30">
        <v>16</v>
      </c>
      <c r="BI91" s="30">
        <v>18</v>
      </c>
      <c r="BJ91" s="35">
        <v>0.88888888888888884</v>
      </c>
    </row>
    <row r="92" spans="1:62" x14ac:dyDescent="0.25">
      <c r="A92" s="132"/>
      <c r="B92" s="132"/>
      <c r="C92" s="132" t="s">
        <v>171</v>
      </c>
      <c r="D92" s="132"/>
      <c r="E92" s="132"/>
      <c r="F92" s="18">
        <v>4558</v>
      </c>
      <c r="G92" s="15">
        <v>4374</v>
      </c>
      <c r="H92" s="16">
        <v>7</v>
      </c>
      <c r="I92" s="16">
        <v>4370</v>
      </c>
      <c r="J92" s="17">
        <v>11</v>
      </c>
      <c r="K92" s="15">
        <v>0</v>
      </c>
      <c r="L92" s="16">
        <v>0</v>
      </c>
      <c r="M92" s="16">
        <v>1</v>
      </c>
      <c r="N92" s="16">
        <v>1</v>
      </c>
      <c r="O92" s="16">
        <v>48</v>
      </c>
      <c r="P92" s="16">
        <v>2</v>
      </c>
      <c r="Q92" s="16">
        <v>11</v>
      </c>
      <c r="R92" s="17">
        <v>79</v>
      </c>
      <c r="S92" s="18">
        <v>201</v>
      </c>
      <c r="T92" s="15">
        <v>829</v>
      </c>
      <c r="U92" s="16">
        <v>0</v>
      </c>
      <c r="V92" s="16">
        <v>7</v>
      </c>
      <c r="W92" s="16">
        <v>1</v>
      </c>
      <c r="X92" s="17">
        <v>821</v>
      </c>
      <c r="Y92" s="15">
        <v>3217</v>
      </c>
      <c r="Z92" s="17">
        <v>1809</v>
      </c>
      <c r="AA92" s="15">
        <v>3311</v>
      </c>
      <c r="AB92" s="17">
        <v>1870</v>
      </c>
      <c r="AC92" s="15">
        <v>3085</v>
      </c>
      <c r="AD92" s="132">
        <v>1782</v>
      </c>
      <c r="AE92" s="15">
        <v>2795</v>
      </c>
      <c r="AF92" s="16">
        <v>1364</v>
      </c>
      <c r="AG92" s="17">
        <v>303</v>
      </c>
      <c r="AH92" s="133">
        <v>2.9219769972023624E-2</v>
      </c>
      <c r="AI92" s="19">
        <v>-4.1032017407522534E-2</v>
      </c>
      <c r="AJ92" s="19">
        <v>-6.8257324071277561E-2</v>
      </c>
      <c r="AK92" s="19">
        <v>3.3720287451630734E-2</v>
      </c>
      <c r="AL92" s="19">
        <v>-1.4925373134328358E-2</v>
      </c>
      <c r="AM92" s="19">
        <v>-4.7058823529411764E-2</v>
      </c>
      <c r="AN92" s="20">
        <v>0.70530406950160041</v>
      </c>
      <c r="AO92" s="19">
        <v>0.40740740740740738</v>
      </c>
      <c r="AP92" s="19">
        <v>0.31184270690443527</v>
      </c>
      <c r="AQ92" s="19">
        <v>6.9272976680384082E-2</v>
      </c>
      <c r="AR92" s="21">
        <v>1.7740848865933079E-2</v>
      </c>
      <c r="AS92" s="247">
        <f t="shared" si="2"/>
        <v>4.5953360768175584E-2</v>
      </c>
      <c r="AT92" s="248">
        <f t="shared" si="3"/>
        <v>-0.14357567443987196</v>
      </c>
      <c r="AU92" s="15">
        <v>761</v>
      </c>
      <c r="AV92" s="16">
        <v>793</v>
      </c>
      <c r="AW92" s="17">
        <v>750</v>
      </c>
      <c r="AX92" s="133">
        <v>4.2049934296977662E-2</v>
      </c>
      <c r="AY92" s="19">
        <v>-1.4454664914586071E-2</v>
      </c>
      <c r="AZ92" s="21">
        <v>-5.4224464060529637E-2</v>
      </c>
      <c r="BA92" s="15">
        <v>49</v>
      </c>
      <c r="BB92" s="17">
        <v>40</v>
      </c>
      <c r="BC92" s="15">
        <v>5</v>
      </c>
      <c r="BD92" s="17">
        <v>4</v>
      </c>
      <c r="BE92" s="15">
        <v>1688</v>
      </c>
      <c r="BF92" s="16">
        <v>3085</v>
      </c>
      <c r="BG92" s="19">
        <v>0.54716369529983788</v>
      </c>
      <c r="BH92" s="16">
        <v>444</v>
      </c>
      <c r="BI92" s="16">
        <v>750</v>
      </c>
      <c r="BJ92" s="21">
        <v>0.59199999999999997</v>
      </c>
    </row>
    <row r="93" spans="1:62" x14ac:dyDescent="0.25">
      <c r="E93" t="s">
        <v>68</v>
      </c>
      <c r="F93" s="32">
        <v>4101</v>
      </c>
      <c r="G93" s="29">
        <v>3931</v>
      </c>
      <c r="H93" s="30">
        <v>0</v>
      </c>
      <c r="I93" s="30">
        <v>3920</v>
      </c>
      <c r="J93" s="31">
        <v>11</v>
      </c>
      <c r="K93" s="29">
        <v>0</v>
      </c>
      <c r="L93" s="30">
        <v>0</v>
      </c>
      <c r="M93" s="30">
        <v>1</v>
      </c>
      <c r="N93" s="30">
        <v>1</v>
      </c>
      <c r="O93" s="30">
        <v>48</v>
      </c>
      <c r="P93" s="30">
        <v>2</v>
      </c>
      <c r="Q93" s="30">
        <v>9</v>
      </c>
      <c r="R93" s="31">
        <v>74</v>
      </c>
      <c r="S93" s="32">
        <v>163</v>
      </c>
      <c r="T93" s="29">
        <v>746</v>
      </c>
      <c r="U93" s="30">
        <v>0</v>
      </c>
      <c r="V93" s="30">
        <v>5</v>
      </c>
      <c r="W93" s="30">
        <v>1</v>
      </c>
      <c r="X93" s="31">
        <v>740</v>
      </c>
      <c r="Y93" s="29">
        <v>2668</v>
      </c>
      <c r="Z93" s="31">
        <v>1563</v>
      </c>
      <c r="AA93" s="29">
        <v>2918</v>
      </c>
      <c r="AB93" s="31">
        <v>1669</v>
      </c>
      <c r="AC93" s="29">
        <v>2667</v>
      </c>
      <c r="AD93">
        <v>1561</v>
      </c>
      <c r="AE93" s="29">
        <v>2570</v>
      </c>
      <c r="AF93" s="30">
        <v>1287</v>
      </c>
      <c r="AG93" s="31">
        <v>279</v>
      </c>
      <c r="AH93" s="136">
        <v>9.37031484257871E-2</v>
      </c>
      <c r="AI93" s="33">
        <v>-3.7481259370314841E-4</v>
      </c>
      <c r="AJ93" s="33">
        <v>-8.6017820424948599E-2</v>
      </c>
      <c r="AK93" s="33">
        <v>6.7818298144593725E-2</v>
      </c>
      <c r="AL93" s="33">
        <v>-1.2795905310300703E-3</v>
      </c>
      <c r="AM93" s="33">
        <v>-6.4709406830437383E-2</v>
      </c>
      <c r="AN93" s="34">
        <v>0.6784533197659629</v>
      </c>
      <c r="AO93" s="33">
        <v>0.39709997456118035</v>
      </c>
      <c r="AP93" s="33">
        <v>0.32739760875095397</v>
      </c>
      <c r="AQ93" s="33">
        <v>7.0974306792164849E-2</v>
      </c>
      <c r="AR93" s="35">
        <v>1.8476903870162296E-2</v>
      </c>
      <c r="AS93" s="251">
        <f t="shared" si="2"/>
        <v>4.1465276011193083E-2</v>
      </c>
      <c r="AT93" s="252">
        <f t="shared" si="3"/>
        <v>-0.14830831849402187</v>
      </c>
      <c r="AU93" s="29">
        <v>724</v>
      </c>
      <c r="AV93" s="30">
        <v>763</v>
      </c>
      <c r="AW93" s="31">
        <v>702</v>
      </c>
      <c r="AX93" s="136">
        <v>5.3867403314917128E-2</v>
      </c>
      <c r="AY93" s="33">
        <v>-3.0386740331491711E-2</v>
      </c>
      <c r="AZ93" s="35">
        <v>-7.9947575360419396E-2</v>
      </c>
      <c r="BA93" s="29">
        <v>47</v>
      </c>
      <c r="BB93" s="31">
        <v>40</v>
      </c>
      <c r="BC93" s="29">
        <v>6</v>
      </c>
      <c r="BD93" s="31">
        <v>4</v>
      </c>
      <c r="BE93" s="29">
        <v>1397</v>
      </c>
      <c r="BF93" s="30">
        <v>2667</v>
      </c>
      <c r="BG93" s="33">
        <v>0.52380952380952384</v>
      </c>
      <c r="BH93" s="30">
        <v>413</v>
      </c>
      <c r="BI93" s="30">
        <v>702</v>
      </c>
      <c r="BJ93" s="35">
        <v>0.5883190883190883</v>
      </c>
    </row>
    <row r="94" spans="1:62" x14ac:dyDescent="0.25">
      <c r="E94" t="s">
        <v>148</v>
      </c>
      <c r="F94" s="32">
        <v>98</v>
      </c>
      <c r="G94" s="29">
        <v>89</v>
      </c>
      <c r="H94" s="30">
        <v>7</v>
      </c>
      <c r="I94" s="30">
        <v>96</v>
      </c>
      <c r="J94" s="31">
        <v>0</v>
      </c>
      <c r="K94" s="29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1">
        <v>2</v>
      </c>
      <c r="S94" s="32">
        <v>35</v>
      </c>
      <c r="T94" s="29">
        <v>31</v>
      </c>
      <c r="U94" s="30">
        <v>0</v>
      </c>
      <c r="V94" s="30">
        <v>0</v>
      </c>
      <c r="W94" s="30">
        <v>0</v>
      </c>
      <c r="X94" s="31">
        <v>31</v>
      </c>
      <c r="Y94" s="29">
        <v>155</v>
      </c>
      <c r="Z94" s="31">
        <v>56</v>
      </c>
      <c r="AA94" s="29">
        <v>160</v>
      </c>
      <c r="AB94" s="31">
        <v>70</v>
      </c>
      <c r="AC94" s="29">
        <v>117</v>
      </c>
      <c r="AD94">
        <v>53</v>
      </c>
      <c r="AE94" s="29">
        <v>39</v>
      </c>
      <c r="AF94" s="30">
        <v>4</v>
      </c>
      <c r="AG94" s="31">
        <v>10</v>
      </c>
      <c r="AH94" s="136">
        <v>3.2258064516129031E-2</v>
      </c>
      <c r="AI94" s="33">
        <v>-0.24516129032258063</v>
      </c>
      <c r="AJ94" s="33">
        <v>-0.26874999999999999</v>
      </c>
      <c r="AK94" s="33">
        <v>0.25</v>
      </c>
      <c r="AL94" s="33">
        <v>-5.3571428571428568E-2</v>
      </c>
      <c r="AM94" s="33">
        <v>-0.24285714285714285</v>
      </c>
      <c r="AN94" s="34">
        <v>1.3146067415730338</v>
      </c>
      <c r="AO94" s="33">
        <v>0.5955056179775281</v>
      </c>
      <c r="AP94" s="33">
        <v>4.49438202247191E-2</v>
      </c>
      <c r="AQ94" s="33">
        <v>0.11235955056179775</v>
      </c>
      <c r="AR94" s="35">
        <v>2.197802197802198E-2</v>
      </c>
      <c r="AS94" s="251">
        <f t="shared" si="2"/>
        <v>0.39325842696629215</v>
      </c>
      <c r="AT94" s="252">
        <f t="shared" si="3"/>
        <v>4.49438202247191E-2</v>
      </c>
      <c r="AU94" s="29">
        <v>45</v>
      </c>
      <c r="AV94" s="30">
        <v>46</v>
      </c>
      <c r="AW94" s="31">
        <v>46</v>
      </c>
      <c r="AX94" s="136">
        <v>2.2222222222222223E-2</v>
      </c>
      <c r="AY94" s="33">
        <v>2.2222222222222223E-2</v>
      </c>
      <c r="AZ94" s="35">
        <v>0</v>
      </c>
      <c r="BA94" s="29">
        <v>61</v>
      </c>
      <c r="BB94" s="31">
        <v>56</v>
      </c>
      <c r="BC94" s="29">
        <v>10</v>
      </c>
      <c r="BD94" s="31">
        <v>8</v>
      </c>
      <c r="BE94" s="29">
        <v>60</v>
      </c>
      <c r="BF94" s="30">
        <v>117</v>
      </c>
      <c r="BG94" s="33">
        <v>0.51282051282051277</v>
      </c>
      <c r="BH94" s="30">
        <v>23</v>
      </c>
      <c r="BI94" s="30">
        <v>46</v>
      </c>
      <c r="BJ94" s="35">
        <v>0.5</v>
      </c>
    </row>
    <row r="95" spans="1:62" x14ac:dyDescent="0.25">
      <c r="E95" t="s">
        <v>97</v>
      </c>
      <c r="F95" s="32">
        <v>358</v>
      </c>
      <c r="G95" s="29">
        <v>353</v>
      </c>
      <c r="H95" s="30">
        <v>0</v>
      </c>
      <c r="I95" s="30">
        <v>353</v>
      </c>
      <c r="J95" s="31">
        <v>0</v>
      </c>
      <c r="K95" s="29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2</v>
      </c>
      <c r="R95" s="31">
        <v>3</v>
      </c>
      <c r="S95" s="32">
        <v>3</v>
      </c>
      <c r="T95" s="29">
        <v>52</v>
      </c>
      <c r="U95" s="30">
        <v>0</v>
      </c>
      <c r="V95" s="30">
        <v>2</v>
      </c>
      <c r="W95" s="30">
        <v>0</v>
      </c>
      <c r="X95" s="31">
        <v>50</v>
      </c>
      <c r="Y95" s="29">
        <v>394</v>
      </c>
      <c r="Z95" s="31">
        <v>190</v>
      </c>
      <c r="AA95" s="29">
        <v>233</v>
      </c>
      <c r="AB95" s="31">
        <v>131</v>
      </c>
      <c r="AC95" s="29">
        <v>301</v>
      </c>
      <c r="AD95">
        <v>168</v>
      </c>
      <c r="AE95" s="29">
        <v>185</v>
      </c>
      <c r="AF95" s="30">
        <v>72</v>
      </c>
      <c r="AG95" s="31">
        <v>14</v>
      </c>
      <c r="AH95" s="136">
        <v>-0.40862944162436549</v>
      </c>
      <c r="AI95" s="33">
        <v>-0.23604060913705585</v>
      </c>
      <c r="AJ95" s="33">
        <v>0.29184549356223177</v>
      </c>
      <c r="AK95" s="33">
        <v>-0.31052631578947371</v>
      </c>
      <c r="AL95" s="33">
        <v>-0.11578947368421053</v>
      </c>
      <c r="AM95" s="33">
        <v>0.28244274809160308</v>
      </c>
      <c r="AN95" s="34">
        <v>0.85269121813031157</v>
      </c>
      <c r="AO95" s="33">
        <v>0.47592067988668557</v>
      </c>
      <c r="AP95" s="33">
        <v>0.20396600566572237</v>
      </c>
      <c r="AQ95" s="33">
        <v>3.9660056657223795E-2</v>
      </c>
      <c r="AR95" s="35">
        <v>8.4269662921348312E-3</v>
      </c>
      <c r="AS95" s="251">
        <f t="shared" si="2"/>
        <v>8.4985835694051E-3</v>
      </c>
      <c r="AT95" s="252">
        <f t="shared" si="3"/>
        <v>-0.13881019830028329</v>
      </c>
      <c r="AU95" s="29">
        <v>62</v>
      </c>
      <c r="AV95" s="30">
        <v>60</v>
      </c>
      <c r="AW95" s="31">
        <v>60</v>
      </c>
      <c r="AX95" s="136">
        <v>-3.2258064516129031E-2</v>
      </c>
      <c r="AY95" s="33">
        <v>-3.2258064516129031E-2</v>
      </c>
      <c r="AZ95" s="35">
        <v>0</v>
      </c>
      <c r="BA95" s="29">
        <v>56</v>
      </c>
      <c r="BB95" s="31">
        <v>51</v>
      </c>
      <c r="BC95" s="29">
        <v>3</v>
      </c>
      <c r="BD95" s="31">
        <v>4.5</v>
      </c>
      <c r="BE95" s="29">
        <v>231</v>
      </c>
      <c r="BF95" s="30">
        <v>301</v>
      </c>
      <c r="BG95" s="33">
        <v>0.76744186046511631</v>
      </c>
      <c r="BH95" s="30">
        <v>37</v>
      </c>
      <c r="BI95" s="30">
        <v>60</v>
      </c>
      <c r="BJ95" s="35">
        <v>0.6166666666666667</v>
      </c>
    </row>
    <row r="96" spans="1:62" x14ac:dyDescent="0.25">
      <c r="A96" s="132"/>
      <c r="B96" s="132"/>
      <c r="C96" s="132" t="s">
        <v>172</v>
      </c>
      <c r="D96" s="132"/>
      <c r="E96" s="132"/>
      <c r="F96" s="18">
        <v>647</v>
      </c>
      <c r="G96" s="15">
        <v>606</v>
      </c>
      <c r="H96" s="16">
        <v>11</v>
      </c>
      <c r="I96" s="16">
        <v>617</v>
      </c>
      <c r="J96" s="17">
        <v>0</v>
      </c>
      <c r="K96" s="15">
        <v>0</v>
      </c>
      <c r="L96" s="16">
        <v>0</v>
      </c>
      <c r="M96" s="16">
        <v>1</v>
      </c>
      <c r="N96" s="16">
        <v>0</v>
      </c>
      <c r="O96" s="16">
        <v>0</v>
      </c>
      <c r="P96" s="16">
        <v>0</v>
      </c>
      <c r="Q96" s="16">
        <v>3</v>
      </c>
      <c r="R96" s="17">
        <v>26</v>
      </c>
      <c r="S96" s="18">
        <v>146</v>
      </c>
      <c r="T96" s="15">
        <v>11</v>
      </c>
      <c r="U96" s="16">
        <v>0</v>
      </c>
      <c r="V96" s="16">
        <v>0</v>
      </c>
      <c r="W96" s="16">
        <v>0</v>
      </c>
      <c r="X96" s="17">
        <v>11</v>
      </c>
      <c r="Y96" s="15">
        <v>1499</v>
      </c>
      <c r="Z96" s="17">
        <v>460</v>
      </c>
      <c r="AA96" s="15">
        <v>1605</v>
      </c>
      <c r="AB96" s="17">
        <v>462</v>
      </c>
      <c r="AC96" s="15">
        <v>1456</v>
      </c>
      <c r="AD96" s="132">
        <v>445</v>
      </c>
      <c r="AE96" s="15">
        <v>197</v>
      </c>
      <c r="AF96" s="16">
        <v>59</v>
      </c>
      <c r="AG96" s="17">
        <v>144</v>
      </c>
      <c r="AH96" s="133">
        <v>7.0713809206137429E-2</v>
      </c>
      <c r="AI96" s="19">
        <v>-2.8685790527018012E-2</v>
      </c>
      <c r="AJ96" s="19">
        <v>-9.2834890965732081E-2</v>
      </c>
      <c r="AK96" s="19">
        <v>4.3478260869565218E-3</v>
      </c>
      <c r="AL96" s="19">
        <v>-3.2608695652173912E-2</v>
      </c>
      <c r="AM96" s="19">
        <v>-3.67965367965368E-2</v>
      </c>
      <c r="AN96" s="20">
        <v>2.4026402640264028</v>
      </c>
      <c r="AO96" s="19">
        <v>0.73432343234323427</v>
      </c>
      <c r="AP96" s="19">
        <v>9.7359735973597358E-2</v>
      </c>
      <c r="AQ96" s="19">
        <v>0.23762376237623761</v>
      </c>
      <c r="AR96" s="21">
        <v>4.1139240506329111E-2</v>
      </c>
      <c r="AS96" s="247">
        <f t="shared" si="2"/>
        <v>0.24092409240924093</v>
      </c>
      <c r="AT96" s="248">
        <f t="shared" si="3"/>
        <v>0.22277227722772278</v>
      </c>
      <c r="AU96" s="15">
        <v>361</v>
      </c>
      <c r="AV96" s="16">
        <v>383</v>
      </c>
      <c r="AW96" s="17">
        <v>318</v>
      </c>
      <c r="AX96" s="133">
        <v>6.0941828254847646E-2</v>
      </c>
      <c r="AY96" s="19">
        <v>-0.11911357340720222</v>
      </c>
      <c r="AZ96" s="21">
        <v>-0.16971279373368145</v>
      </c>
      <c r="BA96" s="15">
        <v>43</v>
      </c>
      <c r="BB96" s="17">
        <v>41</v>
      </c>
      <c r="BC96" s="15">
        <v>5</v>
      </c>
      <c r="BD96" s="17">
        <v>4</v>
      </c>
      <c r="BE96" s="15">
        <v>766</v>
      </c>
      <c r="BF96" s="16">
        <v>1456</v>
      </c>
      <c r="BG96" s="19">
        <v>0.52609890109890112</v>
      </c>
      <c r="BH96" s="16">
        <v>191</v>
      </c>
      <c r="BI96" s="16">
        <v>318</v>
      </c>
      <c r="BJ96" s="21">
        <v>0.60062893081761004</v>
      </c>
    </row>
    <row r="97" spans="1:62" x14ac:dyDescent="0.25">
      <c r="E97" t="s">
        <v>68</v>
      </c>
      <c r="F97" s="32">
        <v>301</v>
      </c>
      <c r="G97" s="29">
        <v>282</v>
      </c>
      <c r="H97" s="30">
        <v>0</v>
      </c>
      <c r="I97" s="30">
        <v>282</v>
      </c>
      <c r="J97" s="31">
        <v>0</v>
      </c>
      <c r="K97" s="29">
        <v>0</v>
      </c>
      <c r="L97" s="30">
        <v>0</v>
      </c>
      <c r="M97" s="30">
        <v>1</v>
      </c>
      <c r="N97" s="30">
        <v>0</v>
      </c>
      <c r="O97" s="30">
        <v>0</v>
      </c>
      <c r="P97" s="30">
        <v>0</v>
      </c>
      <c r="Q97" s="30">
        <v>3</v>
      </c>
      <c r="R97" s="31">
        <v>15</v>
      </c>
      <c r="S97" s="32">
        <v>30</v>
      </c>
      <c r="T97" s="29"/>
      <c r="U97" s="30"/>
      <c r="V97" s="30"/>
      <c r="W97" s="30"/>
      <c r="X97" s="31"/>
      <c r="Y97" s="29">
        <v>781</v>
      </c>
      <c r="Z97" s="31">
        <v>263</v>
      </c>
      <c r="AA97" s="29">
        <v>908</v>
      </c>
      <c r="AB97" s="31">
        <v>271</v>
      </c>
      <c r="AC97" s="29">
        <v>820</v>
      </c>
      <c r="AD97">
        <v>243</v>
      </c>
      <c r="AE97" s="29">
        <v>58</v>
      </c>
      <c r="AF97" s="30">
        <v>12</v>
      </c>
      <c r="AG97" s="31">
        <v>82</v>
      </c>
      <c r="AH97" s="136">
        <v>0.16261203585147246</v>
      </c>
      <c r="AI97" s="33">
        <v>4.9935979513444299E-2</v>
      </c>
      <c r="AJ97" s="33">
        <v>-9.6916299559471369E-2</v>
      </c>
      <c r="AK97" s="33">
        <v>3.0418250950570342E-2</v>
      </c>
      <c r="AL97" s="33">
        <v>-7.6045627376425853E-2</v>
      </c>
      <c r="AM97" s="33">
        <v>-0.10332103321033211</v>
      </c>
      <c r="AN97" s="34">
        <v>2.9078014184397163</v>
      </c>
      <c r="AO97" s="33">
        <v>0.86170212765957444</v>
      </c>
      <c r="AP97" s="33">
        <v>4.2553191489361701E-2</v>
      </c>
      <c r="AQ97" s="33">
        <v>0.29078014184397161</v>
      </c>
      <c r="AR97" s="35">
        <v>5.0505050505050504E-2</v>
      </c>
      <c r="AS97" s="251">
        <f t="shared" si="2"/>
        <v>0.10638297872340426</v>
      </c>
      <c r="AT97" s="252">
        <f t="shared" si="3"/>
        <v>0.10638297872340426</v>
      </c>
      <c r="AU97" s="29">
        <v>259</v>
      </c>
      <c r="AV97" s="30">
        <v>296</v>
      </c>
      <c r="AW97" s="31">
        <v>249</v>
      </c>
      <c r="AX97" s="136">
        <v>0.14285714285714285</v>
      </c>
      <c r="AY97" s="33">
        <v>-3.8610038610038609E-2</v>
      </c>
      <c r="AZ97" s="35">
        <v>-0.15878378378378377</v>
      </c>
      <c r="BA97" s="29">
        <v>40</v>
      </c>
      <c r="BB97" s="31">
        <v>40</v>
      </c>
      <c r="BC97" s="29">
        <v>5</v>
      </c>
      <c r="BD97" s="31">
        <v>4</v>
      </c>
      <c r="BE97" s="29">
        <v>490</v>
      </c>
      <c r="BF97" s="30">
        <v>820</v>
      </c>
      <c r="BG97" s="33">
        <v>0.59756097560975607</v>
      </c>
      <c r="BH97" s="30">
        <v>153</v>
      </c>
      <c r="BI97" s="30">
        <v>249</v>
      </c>
      <c r="BJ97" s="35">
        <v>0.61445783132530118</v>
      </c>
    </row>
    <row r="98" spans="1:62" x14ac:dyDescent="0.25">
      <c r="E98" t="s">
        <v>148</v>
      </c>
      <c r="F98" s="32">
        <v>343</v>
      </c>
      <c r="G98" s="29">
        <v>321</v>
      </c>
      <c r="H98" s="30">
        <v>11</v>
      </c>
      <c r="I98" s="30">
        <v>332</v>
      </c>
      <c r="J98" s="31">
        <v>0</v>
      </c>
      <c r="K98" s="29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1">
        <v>11</v>
      </c>
      <c r="S98" s="32">
        <v>116</v>
      </c>
      <c r="T98" s="29">
        <v>11</v>
      </c>
      <c r="U98" s="30">
        <v>0</v>
      </c>
      <c r="V98" s="30">
        <v>0</v>
      </c>
      <c r="W98" s="30">
        <v>0</v>
      </c>
      <c r="X98" s="31">
        <v>11</v>
      </c>
      <c r="Y98" s="29">
        <v>718</v>
      </c>
      <c r="Z98" s="31">
        <v>197</v>
      </c>
      <c r="AA98" s="29">
        <v>697</v>
      </c>
      <c r="AB98" s="31">
        <v>191</v>
      </c>
      <c r="AC98" s="29">
        <v>629</v>
      </c>
      <c r="AD98">
        <v>200</v>
      </c>
      <c r="AE98" s="29">
        <v>138</v>
      </c>
      <c r="AF98" s="30">
        <v>46</v>
      </c>
      <c r="AG98" s="31">
        <v>62</v>
      </c>
      <c r="AH98" s="136">
        <v>-2.9247910863509748E-2</v>
      </c>
      <c r="AI98" s="33">
        <v>-0.12395543175487465</v>
      </c>
      <c r="AJ98" s="33">
        <v>-9.7560975609756101E-2</v>
      </c>
      <c r="AK98" s="33">
        <v>-3.0456852791878174E-2</v>
      </c>
      <c r="AL98" s="33">
        <v>1.5228426395939087E-2</v>
      </c>
      <c r="AM98" s="33">
        <v>4.712041884816754E-2</v>
      </c>
      <c r="AN98" s="34">
        <v>1.9595015576323989</v>
      </c>
      <c r="AO98" s="33">
        <v>0.62305295950155759</v>
      </c>
      <c r="AP98" s="33">
        <v>0.14330218068535824</v>
      </c>
      <c r="AQ98" s="33">
        <v>0.19314641744548286</v>
      </c>
      <c r="AR98" s="35">
        <v>3.313253012048193E-2</v>
      </c>
      <c r="AS98" s="251">
        <f t="shared" si="2"/>
        <v>0.36137071651090341</v>
      </c>
      <c r="AT98" s="252">
        <f t="shared" si="3"/>
        <v>0.32710280373831774</v>
      </c>
      <c r="AU98" s="29">
        <v>163</v>
      </c>
      <c r="AV98" s="30">
        <v>167</v>
      </c>
      <c r="AW98" s="31">
        <v>135</v>
      </c>
      <c r="AX98" s="136">
        <v>2.4539877300613498E-2</v>
      </c>
      <c r="AY98" s="33">
        <v>-0.17177914110429449</v>
      </c>
      <c r="AZ98" s="35">
        <v>-0.19161676646706588</v>
      </c>
      <c r="BA98" s="29">
        <v>45</v>
      </c>
      <c r="BB98" s="31">
        <v>42.5</v>
      </c>
      <c r="BC98" s="29">
        <v>5</v>
      </c>
      <c r="BD98" s="31">
        <v>5</v>
      </c>
      <c r="BE98" s="29">
        <v>274</v>
      </c>
      <c r="BF98" s="30">
        <v>629</v>
      </c>
      <c r="BG98" s="33">
        <v>0.43561208267090618</v>
      </c>
      <c r="BH98" s="30">
        <v>75</v>
      </c>
      <c r="BI98" s="30">
        <v>135</v>
      </c>
      <c r="BJ98" s="35">
        <v>0.55555555555555558</v>
      </c>
    </row>
    <row r="99" spans="1:62" x14ac:dyDescent="0.25">
      <c r="A99" s="132"/>
      <c r="B99" s="132"/>
      <c r="C99" s="132" t="s">
        <v>173</v>
      </c>
      <c r="D99" s="132"/>
      <c r="E99" s="132"/>
      <c r="F99" s="18">
        <v>2253</v>
      </c>
      <c r="G99" s="15">
        <v>2088</v>
      </c>
      <c r="H99" s="16">
        <v>0</v>
      </c>
      <c r="I99" s="16">
        <v>2088</v>
      </c>
      <c r="J99" s="17">
        <v>0</v>
      </c>
      <c r="K99" s="15">
        <v>0</v>
      </c>
      <c r="L99" s="16">
        <v>0</v>
      </c>
      <c r="M99" s="16">
        <v>10</v>
      </c>
      <c r="N99" s="16">
        <v>4</v>
      </c>
      <c r="O99" s="16">
        <v>3</v>
      </c>
      <c r="P99" s="16">
        <v>0</v>
      </c>
      <c r="Q99" s="16">
        <v>13</v>
      </c>
      <c r="R99" s="17">
        <v>135</v>
      </c>
      <c r="S99" s="18">
        <v>135</v>
      </c>
      <c r="T99" s="15">
        <v>108</v>
      </c>
      <c r="U99" s="16">
        <v>3</v>
      </c>
      <c r="V99" s="16">
        <v>9</v>
      </c>
      <c r="W99" s="16">
        <v>5</v>
      </c>
      <c r="X99" s="17">
        <v>91</v>
      </c>
      <c r="Y99" s="15">
        <v>3237</v>
      </c>
      <c r="Z99" s="17">
        <v>1233</v>
      </c>
      <c r="AA99" s="15">
        <v>3020</v>
      </c>
      <c r="AB99" s="17">
        <v>1145</v>
      </c>
      <c r="AC99" s="15">
        <v>2751</v>
      </c>
      <c r="AD99" s="132">
        <v>1087</v>
      </c>
      <c r="AE99" s="15">
        <v>1195</v>
      </c>
      <c r="AF99" s="16">
        <v>628</v>
      </c>
      <c r="AG99" s="17">
        <v>387</v>
      </c>
      <c r="AH99" s="133">
        <v>-6.7037380290392343E-2</v>
      </c>
      <c r="AI99" s="19">
        <v>-0.15013901760889714</v>
      </c>
      <c r="AJ99" s="19">
        <v>-8.9072847682119205E-2</v>
      </c>
      <c r="AK99" s="19">
        <v>-7.1370640713706412E-2</v>
      </c>
      <c r="AL99" s="19">
        <v>-0.11841038118410381</v>
      </c>
      <c r="AM99" s="19">
        <v>-5.0655021834061134E-2</v>
      </c>
      <c r="AN99" s="20">
        <v>1.3175287356321839</v>
      </c>
      <c r="AO99" s="19">
        <v>0.52059386973180077</v>
      </c>
      <c r="AP99" s="19">
        <v>0.3007662835249042</v>
      </c>
      <c r="AQ99" s="19">
        <v>0.18534482758620691</v>
      </c>
      <c r="AR99" s="21">
        <v>6.0728744939271252E-2</v>
      </c>
      <c r="AS99" s="247">
        <f t="shared" si="2"/>
        <v>6.4655172413793108E-2</v>
      </c>
      <c r="AT99" s="248">
        <f t="shared" si="3"/>
        <v>1.2931034482758621E-2</v>
      </c>
      <c r="AU99" s="15">
        <v>979</v>
      </c>
      <c r="AV99" s="16">
        <v>903</v>
      </c>
      <c r="AW99" s="17">
        <v>872</v>
      </c>
      <c r="AX99" s="133">
        <v>-7.7630234933605727E-2</v>
      </c>
      <c r="AY99" s="19">
        <v>-0.10929519918283963</v>
      </c>
      <c r="AZ99" s="21">
        <v>-3.4330011074197121E-2</v>
      </c>
      <c r="BA99" s="15">
        <v>33</v>
      </c>
      <c r="BB99" s="17">
        <v>28</v>
      </c>
      <c r="BC99" s="15">
        <v>3</v>
      </c>
      <c r="BD99" s="17">
        <v>2</v>
      </c>
      <c r="BE99" s="15">
        <v>1924</v>
      </c>
      <c r="BF99" s="16">
        <v>2751</v>
      </c>
      <c r="BG99" s="19">
        <v>0.69938204289349326</v>
      </c>
      <c r="BH99" s="16">
        <v>603</v>
      </c>
      <c r="BI99" s="16">
        <v>872</v>
      </c>
      <c r="BJ99" s="21">
        <v>0.6915137614678899</v>
      </c>
    </row>
    <row r="100" spans="1:62" x14ac:dyDescent="0.25">
      <c r="E100" t="s">
        <v>68</v>
      </c>
      <c r="F100" s="32">
        <v>1828</v>
      </c>
      <c r="G100" s="29">
        <v>1714</v>
      </c>
      <c r="H100" s="30">
        <v>0</v>
      </c>
      <c r="I100" s="30">
        <v>1714</v>
      </c>
      <c r="J100" s="31">
        <v>0</v>
      </c>
      <c r="K100" s="29">
        <v>0</v>
      </c>
      <c r="L100" s="30">
        <v>0</v>
      </c>
      <c r="M100" s="30">
        <v>5</v>
      </c>
      <c r="N100" s="30">
        <v>2</v>
      </c>
      <c r="O100" s="30">
        <v>3</v>
      </c>
      <c r="P100" s="30">
        <v>0</v>
      </c>
      <c r="Q100" s="30">
        <v>11</v>
      </c>
      <c r="R100" s="31">
        <v>93</v>
      </c>
      <c r="S100" s="32">
        <v>41</v>
      </c>
      <c r="T100" s="29">
        <v>13</v>
      </c>
      <c r="U100" s="30">
        <v>2</v>
      </c>
      <c r="V100" s="30">
        <v>8</v>
      </c>
      <c r="W100" s="30">
        <v>2</v>
      </c>
      <c r="X100" s="31">
        <v>1</v>
      </c>
      <c r="Y100" s="29">
        <v>2154</v>
      </c>
      <c r="Z100" s="31">
        <v>861</v>
      </c>
      <c r="AA100" s="29">
        <v>2062</v>
      </c>
      <c r="AB100" s="31">
        <v>828</v>
      </c>
      <c r="AC100" s="29">
        <v>1983</v>
      </c>
      <c r="AD100">
        <v>801</v>
      </c>
      <c r="AE100" s="29">
        <v>1025</v>
      </c>
      <c r="AF100" s="30">
        <v>549</v>
      </c>
      <c r="AG100" s="31">
        <v>280</v>
      </c>
      <c r="AH100" s="136">
        <v>-4.2711234911792018E-2</v>
      </c>
      <c r="AI100" s="33">
        <v>-7.9387186629526457E-2</v>
      </c>
      <c r="AJ100" s="33">
        <v>-3.831231813773036E-2</v>
      </c>
      <c r="AK100" s="33">
        <v>-3.8327526132404179E-2</v>
      </c>
      <c r="AL100" s="33">
        <v>-6.968641114982578E-2</v>
      </c>
      <c r="AM100" s="33">
        <v>-3.2608695652173912E-2</v>
      </c>
      <c r="AN100" s="34">
        <v>1.1569428238039674</v>
      </c>
      <c r="AO100" s="33">
        <v>0.46732788798133024</v>
      </c>
      <c r="AP100" s="33">
        <v>0.32030338389731622</v>
      </c>
      <c r="AQ100" s="33">
        <v>0.1633605600933489</v>
      </c>
      <c r="AR100" s="35">
        <v>5.1466519092418374E-2</v>
      </c>
      <c r="AS100" s="251">
        <f t="shared" si="2"/>
        <v>2.3920653442240373E-2</v>
      </c>
      <c r="AT100" s="252">
        <f t="shared" si="3"/>
        <v>1.6336056009334889E-2</v>
      </c>
      <c r="AU100" s="29">
        <v>788</v>
      </c>
      <c r="AV100" s="30">
        <v>740</v>
      </c>
      <c r="AW100" s="31">
        <v>736</v>
      </c>
      <c r="AX100" s="136">
        <v>-6.0913705583756347E-2</v>
      </c>
      <c r="AY100" s="33">
        <v>-6.5989847715736044E-2</v>
      </c>
      <c r="AZ100" s="35">
        <v>-5.4054054054054057E-3</v>
      </c>
      <c r="BA100" s="29">
        <v>31</v>
      </c>
      <c r="BB100" s="31">
        <v>27</v>
      </c>
      <c r="BC100" s="29">
        <v>3</v>
      </c>
      <c r="BD100" s="31">
        <v>2</v>
      </c>
      <c r="BE100" s="29">
        <v>1457</v>
      </c>
      <c r="BF100" s="30">
        <v>1983</v>
      </c>
      <c r="BG100" s="33">
        <v>0.73474533535047903</v>
      </c>
      <c r="BH100" s="30">
        <v>518</v>
      </c>
      <c r="BI100" s="30">
        <v>736</v>
      </c>
      <c r="BJ100" s="35">
        <v>0.70380434782608692</v>
      </c>
    </row>
    <row r="101" spans="1:62" x14ac:dyDescent="0.25">
      <c r="E101" t="s">
        <v>174</v>
      </c>
      <c r="F101" s="32">
        <v>38</v>
      </c>
      <c r="G101" s="29">
        <v>37</v>
      </c>
      <c r="H101" s="30">
        <v>0</v>
      </c>
      <c r="I101" s="30">
        <v>37</v>
      </c>
      <c r="J101" s="31">
        <v>0</v>
      </c>
      <c r="K101" s="29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1">
        <v>1</v>
      </c>
      <c r="S101" s="32">
        <v>0</v>
      </c>
      <c r="T101" s="29"/>
      <c r="U101" s="30"/>
      <c r="V101" s="30"/>
      <c r="W101" s="30"/>
      <c r="X101" s="31"/>
      <c r="Y101" s="29">
        <v>14</v>
      </c>
      <c r="Z101" s="31">
        <v>10</v>
      </c>
      <c r="AA101" s="29">
        <v>24</v>
      </c>
      <c r="AB101" s="31">
        <v>15</v>
      </c>
      <c r="AC101" s="29">
        <v>14</v>
      </c>
      <c r="AD101">
        <v>13</v>
      </c>
      <c r="AE101" s="29">
        <v>25</v>
      </c>
      <c r="AF101" s="30">
        <v>15</v>
      </c>
      <c r="AG101" s="31">
        <v>3</v>
      </c>
      <c r="AH101" s="136">
        <v>0.7142857142857143</v>
      </c>
      <c r="AI101" s="33">
        <v>0</v>
      </c>
      <c r="AJ101" s="33">
        <v>-0.41666666666666669</v>
      </c>
      <c r="AK101" s="33">
        <v>0.5</v>
      </c>
      <c r="AL101" s="33">
        <v>0.3</v>
      </c>
      <c r="AM101" s="33">
        <v>-0.13333333333333333</v>
      </c>
      <c r="AN101" s="34">
        <v>0.3783783783783784</v>
      </c>
      <c r="AO101" s="33">
        <v>0.35135135135135137</v>
      </c>
      <c r="AP101" s="33">
        <v>0.40540540540540543</v>
      </c>
      <c r="AQ101" s="33">
        <v>8.1081081081081086E-2</v>
      </c>
      <c r="AR101" s="35">
        <v>2.6315789473684209E-2</v>
      </c>
      <c r="AS101" s="251">
        <f t="shared" si="2"/>
        <v>0</v>
      </c>
      <c r="AT101" s="252">
        <f t="shared" si="3"/>
        <v>0</v>
      </c>
      <c r="AU101" s="29">
        <v>10</v>
      </c>
      <c r="AV101" s="30">
        <v>12</v>
      </c>
      <c r="AW101" s="31">
        <v>12</v>
      </c>
      <c r="AX101" s="136">
        <v>0.2</v>
      </c>
      <c r="AY101" s="33">
        <v>0.2</v>
      </c>
      <c r="AZ101" s="35">
        <v>0</v>
      </c>
      <c r="BA101" s="29">
        <v>44</v>
      </c>
      <c r="BB101" s="31">
        <v>41.5</v>
      </c>
      <c r="BC101" s="29">
        <v>5</v>
      </c>
      <c r="BD101" s="31">
        <v>5</v>
      </c>
      <c r="BE101" s="29">
        <v>7</v>
      </c>
      <c r="BF101" s="30">
        <v>14</v>
      </c>
      <c r="BG101" s="33">
        <v>0.5</v>
      </c>
      <c r="BH101" s="30">
        <v>7</v>
      </c>
      <c r="BI101" s="30">
        <v>12</v>
      </c>
      <c r="BJ101" s="35">
        <v>0.58333333333333337</v>
      </c>
    </row>
    <row r="102" spans="1:62" x14ac:dyDescent="0.25">
      <c r="E102" t="s">
        <v>170</v>
      </c>
      <c r="F102" s="32">
        <v>247</v>
      </c>
      <c r="G102" s="29">
        <v>204</v>
      </c>
      <c r="H102" s="30">
        <v>0</v>
      </c>
      <c r="I102" s="30">
        <v>204</v>
      </c>
      <c r="J102" s="31">
        <v>0</v>
      </c>
      <c r="K102" s="29">
        <v>0</v>
      </c>
      <c r="L102" s="30">
        <v>0</v>
      </c>
      <c r="M102" s="30">
        <v>5</v>
      </c>
      <c r="N102" s="30">
        <v>2</v>
      </c>
      <c r="O102" s="30">
        <v>0</v>
      </c>
      <c r="P102" s="30">
        <v>0</v>
      </c>
      <c r="Q102" s="30">
        <v>1</v>
      </c>
      <c r="R102" s="31">
        <v>35</v>
      </c>
      <c r="S102" s="32">
        <v>3</v>
      </c>
      <c r="T102" s="29">
        <v>5</v>
      </c>
      <c r="U102" s="30">
        <v>1</v>
      </c>
      <c r="V102" s="30">
        <v>0</v>
      </c>
      <c r="W102" s="30">
        <v>3</v>
      </c>
      <c r="X102" s="31">
        <v>1</v>
      </c>
      <c r="Y102" s="29">
        <v>582</v>
      </c>
      <c r="Z102" s="31">
        <v>173</v>
      </c>
      <c r="AA102" s="29">
        <v>538</v>
      </c>
      <c r="AB102" s="31">
        <v>154</v>
      </c>
      <c r="AC102" s="29">
        <v>428</v>
      </c>
      <c r="AD102">
        <v>138</v>
      </c>
      <c r="AE102" s="29">
        <v>109</v>
      </c>
      <c r="AF102" s="30">
        <v>52</v>
      </c>
      <c r="AG102" s="31">
        <v>70</v>
      </c>
      <c r="AH102" s="136">
        <v>-7.560137457044673E-2</v>
      </c>
      <c r="AI102" s="33">
        <v>-0.26460481099656358</v>
      </c>
      <c r="AJ102" s="33">
        <v>-0.20446096654275092</v>
      </c>
      <c r="AK102" s="33">
        <v>-0.10982658959537572</v>
      </c>
      <c r="AL102" s="33">
        <v>-0.20231213872832371</v>
      </c>
      <c r="AM102" s="33">
        <v>-0.1038961038961039</v>
      </c>
      <c r="AN102" s="34">
        <v>2.0980392156862746</v>
      </c>
      <c r="AO102" s="33">
        <v>0.67647058823529416</v>
      </c>
      <c r="AP102" s="33">
        <v>0.25490196078431371</v>
      </c>
      <c r="AQ102" s="33">
        <v>0.34313725490196079</v>
      </c>
      <c r="AR102" s="35">
        <v>0.14644351464435146</v>
      </c>
      <c r="AS102" s="251">
        <f t="shared" si="2"/>
        <v>1.4705882352941176E-2</v>
      </c>
      <c r="AT102" s="252">
        <f t="shared" si="3"/>
        <v>-9.8039215686274508E-3</v>
      </c>
      <c r="AU102" s="29">
        <v>309</v>
      </c>
      <c r="AV102" s="30">
        <v>261</v>
      </c>
      <c r="AW102" s="31">
        <v>226</v>
      </c>
      <c r="AX102" s="136">
        <v>-0.1553398058252427</v>
      </c>
      <c r="AY102" s="33">
        <v>-0.26860841423948217</v>
      </c>
      <c r="AZ102" s="35">
        <v>-0.13409961685823754</v>
      </c>
      <c r="BA102" s="29">
        <v>35</v>
      </c>
      <c r="BB102" s="31">
        <v>31</v>
      </c>
      <c r="BC102" s="29">
        <v>3</v>
      </c>
      <c r="BD102" s="31">
        <v>2</v>
      </c>
      <c r="BE102" s="29">
        <v>276</v>
      </c>
      <c r="BF102" s="30">
        <v>428</v>
      </c>
      <c r="BG102" s="33">
        <v>0.64485981308411211</v>
      </c>
      <c r="BH102" s="30">
        <v>155</v>
      </c>
      <c r="BI102" s="30">
        <v>226</v>
      </c>
      <c r="BJ102" s="35">
        <v>0.68584070796460173</v>
      </c>
    </row>
    <row r="103" spans="1:62" x14ac:dyDescent="0.25">
      <c r="E103" t="s">
        <v>148</v>
      </c>
      <c r="F103" s="32">
        <v>139</v>
      </c>
      <c r="G103" s="29">
        <v>132</v>
      </c>
      <c r="H103" s="30">
        <v>0</v>
      </c>
      <c r="I103" s="30">
        <v>132</v>
      </c>
      <c r="J103" s="31">
        <v>0</v>
      </c>
      <c r="K103" s="29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1</v>
      </c>
      <c r="R103" s="31">
        <v>6</v>
      </c>
      <c r="S103" s="32">
        <v>91</v>
      </c>
      <c r="T103" s="29">
        <v>90</v>
      </c>
      <c r="U103" s="30">
        <v>0</v>
      </c>
      <c r="V103" s="30">
        <v>1</v>
      </c>
      <c r="W103" s="30">
        <v>0</v>
      </c>
      <c r="X103" s="31">
        <v>89</v>
      </c>
      <c r="Y103" s="29">
        <v>487</v>
      </c>
      <c r="Z103" s="31">
        <v>189</v>
      </c>
      <c r="AA103" s="29">
        <v>396</v>
      </c>
      <c r="AB103" s="31">
        <v>148</v>
      </c>
      <c r="AC103" s="29">
        <v>326</v>
      </c>
      <c r="AD103">
        <v>135</v>
      </c>
      <c r="AE103" s="29">
        <v>35</v>
      </c>
      <c r="AF103" s="30">
        <v>11</v>
      </c>
      <c r="AG103" s="31">
        <v>34</v>
      </c>
      <c r="AH103" s="136">
        <v>-0.18685831622176591</v>
      </c>
      <c r="AI103" s="33">
        <v>-0.33059548254620125</v>
      </c>
      <c r="AJ103" s="33">
        <v>-0.17676767676767677</v>
      </c>
      <c r="AK103" s="33">
        <v>-0.21693121693121692</v>
      </c>
      <c r="AL103" s="33">
        <v>-0.2857142857142857</v>
      </c>
      <c r="AM103" s="33">
        <v>-8.7837837837837843E-2</v>
      </c>
      <c r="AN103" s="34">
        <v>2.4696969696969697</v>
      </c>
      <c r="AO103" s="33">
        <v>1.0227272727272727</v>
      </c>
      <c r="AP103" s="33">
        <v>8.3333333333333329E-2</v>
      </c>
      <c r="AQ103" s="33">
        <v>0.25757575757575757</v>
      </c>
      <c r="AR103" s="35">
        <v>4.3478260869565216E-2</v>
      </c>
      <c r="AS103" s="251">
        <f t="shared" si="2"/>
        <v>0.68939393939393945</v>
      </c>
      <c r="AT103" s="252">
        <f t="shared" si="3"/>
        <v>7.575757575757576E-3</v>
      </c>
      <c r="AU103" s="29">
        <v>152</v>
      </c>
      <c r="AV103" s="30">
        <v>124</v>
      </c>
      <c r="AW103" s="31">
        <v>107</v>
      </c>
      <c r="AX103" s="136">
        <v>-0.18421052631578946</v>
      </c>
      <c r="AY103" s="33">
        <v>-0.29605263157894735</v>
      </c>
      <c r="AZ103" s="35">
        <v>-0.13709677419354838</v>
      </c>
      <c r="BA103" s="29">
        <v>45</v>
      </c>
      <c r="BB103" s="31">
        <v>33</v>
      </c>
      <c r="BC103" s="29">
        <v>7</v>
      </c>
      <c r="BD103" s="31">
        <v>5</v>
      </c>
      <c r="BE103" s="29">
        <v>184</v>
      </c>
      <c r="BF103" s="30">
        <v>326</v>
      </c>
      <c r="BG103" s="33">
        <v>0.56441717791411039</v>
      </c>
      <c r="BH103" s="30">
        <v>58</v>
      </c>
      <c r="BI103" s="30">
        <v>107</v>
      </c>
      <c r="BJ103" s="35">
        <v>0.54205607476635509</v>
      </c>
    </row>
    <row r="104" spans="1:62" x14ac:dyDescent="0.25">
      <c r="A104" s="132"/>
      <c r="B104" s="132"/>
      <c r="C104" s="132" t="s">
        <v>175</v>
      </c>
      <c r="D104" s="132"/>
      <c r="E104" s="132"/>
      <c r="F104" s="18">
        <v>1152</v>
      </c>
      <c r="G104" s="15">
        <v>1099</v>
      </c>
      <c r="H104" s="16">
        <v>5</v>
      </c>
      <c r="I104" s="16">
        <v>1104</v>
      </c>
      <c r="J104" s="17">
        <v>0</v>
      </c>
      <c r="K104" s="15">
        <v>0</v>
      </c>
      <c r="L104" s="16">
        <v>0</v>
      </c>
      <c r="M104" s="16">
        <v>1</v>
      </c>
      <c r="N104" s="16">
        <v>0</v>
      </c>
      <c r="O104" s="16">
        <v>0</v>
      </c>
      <c r="P104" s="16">
        <v>0</v>
      </c>
      <c r="Q104" s="16">
        <v>0</v>
      </c>
      <c r="R104" s="17">
        <v>46</v>
      </c>
      <c r="S104" s="18">
        <v>71</v>
      </c>
      <c r="T104" s="15">
        <v>67</v>
      </c>
      <c r="U104" s="16">
        <v>2</v>
      </c>
      <c r="V104" s="16">
        <v>0</v>
      </c>
      <c r="W104" s="16">
        <v>1</v>
      </c>
      <c r="X104" s="17">
        <v>64</v>
      </c>
      <c r="Y104" s="15">
        <v>995</v>
      </c>
      <c r="Z104" s="17">
        <v>526</v>
      </c>
      <c r="AA104" s="15">
        <v>1003</v>
      </c>
      <c r="AB104" s="17">
        <v>485</v>
      </c>
      <c r="AC104" s="15">
        <v>1054</v>
      </c>
      <c r="AD104" s="132">
        <v>527</v>
      </c>
      <c r="AE104" s="15">
        <v>615</v>
      </c>
      <c r="AF104" s="16">
        <v>271</v>
      </c>
      <c r="AG104" s="17">
        <v>140</v>
      </c>
      <c r="AH104" s="133">
        <v>8.0402010050251264E-3</v>
      </c>
      <c r="AI104" s="19">
        <v>5.92964824120603E-2</v>
      </c>
      <c r="AJ104" s="19">
        <v>5.0847457627118647E-2</v>
      </c>
      <c r="AK104" s="19">
        <v>-7.7946768060836502E-2</v>
      </c>
      <c r="AL104" s="19">
        <v>1.9011406844106464E-3</v>
      </c>
      <c r="AM104" s="19">
        <v>8.6597938144329895E-2</v>
      </c>
      <c r="AN104" s="20">
        <v>0.95905368516833489</v>
      </c>
      <c r="AO104" s="19">
        <v>0.47952684258416745</v>
      </c>
      <c r="AP104" s="19">
        <v>0.24658780709736125</v>
      </c>
      <c r="AQ104" s="19">
        <v>0.12738853503184713</v>
      </c>
      <c r="AR104" s="21">
        <v>4.017467248908297E-2</v>
      </c>
      <c r="AS104" s="247">
        <f t="shared" si="2"/>
        <v>6.4604185623293897E-2</v>
      </c>
      <c r="AT104" s="248">
        <f t="shared" si="3"/>
        <v>3.6396724294813468E-3</v>
      </c>
      <c r="AU104" s="15">
        <v>377</v>
      </c>
      <c r="AV104" s="16">
        <v>412</v>
      </c>
      <c r="AW104" s="17">
        <v>458</v>
      </c>
      <c r="AX104" s="133">
        <v>9.2838196286472149E-2</v>
      </c>
      <c r="AY104" s="19">
        <v>0.21485411140583555</v>
      </c>
      <c r="AZ104" s="21">
        <v>0.11165048543689321</v>
      </c>
      <c r="BA104" s="15">
        <v>45</v>
      </c>
      <c r="BB104" s="17">
        <v>41</v>
      </c>
      <c r="BC104" s="15">
        <v>5</v>
      </c>
      <c r="BD104" s="17">
        <v>4</v>
      </c>
      <c r="BE104" s="15">
        <v>673</v>
      </c>
      <c r="BF104" s="16">
        <v>1054</v>
      </c>
      <c r="BG104" s="19">
        <v>0.63851992409867175</v>
      </c>
      <c r="BH104" s="16">
        <v>297</v>
      </c>
      <c r="BI104" s="16">
        <v>458</v>
      </c>
      <c r="BJ104" s="21">
        <v>0.64847161572052403</v>
      </c>
    </row>
    <row r="105" spans="1:62" x14ac:dyDescent="0.25">
      <c r="E105" t="s">
        <v>68</v>
      </c>
      <c r="F105" s="32">
        <v>1112</v>
      </c>
      <c r="G105" s="29">
        <v>1064</v>
      </c>
      <c r="H105" s="30">
        <v>0</v>
      </c>
      <c r="I105" s="30">
        <v>1064</v>
      </c>
      <c r="J105" s="31">
        <v>0</v>
      </c>
      <c r="K105" s="29">
        <v>0</v>
      </c>
      <c r="L105" s="30">
        <v>0</v>
      </c>
      <c r="M105" s="30">
        <v>1</v>
      </c>
      <c r="N105" s="30">
        <v>0</v>
      </c>
      <c r="O105" s="30">
        <v>0</v>
      </c>
      <c r="P105" s="30">
        <v>0</v>
      </c>
      <c r="Q105" s="30">
        <v>0</v>
      </c>
      <c r="R105" s="31">
        <v>46</v>
      </c>
      <c r="S105" s="32">
        <v>56</v>
      </c>
      <c r="T105" s="29">
        <v>44</v>
      </c>
      <c r="U105" s="30">
        <v>2</v>
      </c>
      <c r="V105" s="30">
        <v>0</v>
      </c>
      <c r="W105" s="30">
        <v>1</v>
      </c>
      <c r="X105" s="31">
        <v>41</v>
      </c>
      <c r="Y105" s="29">
        <v>856</v>
      </c>
      <c r="Z105" s="31">
        <v>496</v>
      </c>
      <c r="AA105" s="29">
        <v>906</v>
      </c>
      <c r="AB105" s="31">
        <v>459</v>
      </c>
      <c r="AC105" s="29">
        <v>974</v>
      </c>
      <c r="AD105">
        <v>502</v>
      </c>
      <c r="AE105" s="29">
        <v>602</v>
      </c>
      <c r="AF105" s="30">
        <v>265</v>
      </c>
      <c r="AG105" s="31">
        <v>131</v>
      </c>
      <c r="AH105" s="136">
        <v>5.8411214953271028E-2</v>
      </c>
      <c r="AI105" s="33">
        <v>0.13785046728971961</v>
      </c>
      <c r="AJ105" s="33">
        <v>7.505518763796909E-2</v>
      </c>
      <c r="AK105" s="33">
        <v>-7.459677419354839E-2</v>
      </c>
      <c r="AL105" s="33">
        <v>1.2096774193548387E-2</v>
      </c>
      <c r="AM105" s="33">
        <v>9.3681917211328972E-2</v>
      </c>
      <c r="AN105" s="34">
        <v>0.91541353383458646</v>
      </c>
      <c r="AO105" s="33">
        <v>0.4718045112781955</v>
      </c>
      <c r="AP105" s="33">
        <v>0.24906015037593984</v>
      </c>
      <c r="AQ105" s="33">
        <v>0.1231203007518797</v>
      </c>
      <c r="AR105" s="35">
        <v>4.1441441441441441E-2</v>
      </c>
      <c r="AS105" s="251">
        <f t="shared" si="2"/>
        <v>5.2631578947368418E-2</v>
      </c>
      <c r="AT105" s="252">
        <f t="shared" si="3"/>
        <v>1.1278195488721804E-2</v>
      </c>
      <c r="AU105" s="29">
        <v>358</v>
      </c>
      <c r="AV105" s="30">
        <v>393</v>
      </c>
      <c r="AW105" s="31">
        <v>437</v>
      </c>
      <c r="AX105" s="136">
        <v>9.7765363128491614E-2</v>
      </c>
      <c r="AY105" s="33">
        <v>0.2206703910614525</v>
      </c>
      <c r="AZ105" s="35">
        <v>0.11195928753180662</v>
      </c>
      <c r="BA105" s="29">
        <v>44</v>
      </c>
      <c r="BB105" s="31">
        <v>41</v>
      </c>
      <c r="BC105" s="29">
        <v>4.5</v>
      </c>
      <c r="BD105" s="31">
        <v>4</v>
      </c>
      <c r="BE105" s="29">
        <v>643</v>
      </c>
      <c r="BF105" s="30">
        <v>974</v>
      </c>
      <c r="BG105" s="33">
        <v>0.66016427104722797</v>
      </c>
      <c r="BH105" s="30">
        <v>287</v>
      </c>
      <c r="BI105" s="30">
        <v>437</v>
      </c>
      <c r="BJ105" s="35">
        <v>0.65675057208237986</v>
      </c>
    </row>
    <row r="106" spans="1:62" x14ac:dyDescent="0.25">
      <c r="E106" t="s">
        <v>148</v>
      </c>
      <c r="F106" s="32">
        <v>31</v>
      </c>
      <c r="G106" s="29">
        <v>26</v>
      </c>
      <c r="H106" s="30">
        <v>5</v>
      </c>
      <c r="I106" s="30">
        <v>31</v>
      </c>
      <c r="J106" s="31">
        <v>0</v>
      </c>
      <c r="K106" s="29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1">
        <v>0</v>
      </c>
      <c r="S106" s="32">
        <v>15</v>
      </c>
      <c r="T106" s="29">
        <v>21</v>
      </c>
      <c r="U106" s="30">
        <v>0</v>
      </c>
      <c r="V106" s="30">
        <v>0</v>
      </c>
      <c r="W106" s="30">
        <v>0</v>
      </c>
      <c r="X106" s="31">
        <v>21</v>
      </c>
      <c r="Y106" s="29">
        <v>130</v>
      </c>
      <c r="Z106" s="31">
        <v>25</v>
      </c>
      <c r="AA106" s="29">
        <v>95</v>
      </c>
      <c r="AB106" s="31">
        <v>24</v>
      </c>
      <c r="AC106" s="29">
        <v>80</v>
      </c>
      <c r="AD106">
        <v>25</v>
      </c>
      <c r="AE106" s="29">
        <v>4</v>
      </c>
      <c r="AF106" s="30">
        <v>2</v>
      </c>
      <c r="AG106" s="31">
        <v>9</v>
      </c>
      <c r="AH106" s="136">
        <v>-0.26923076923076922</v>
      </c>
      <c r="AI106" s="33">
        <v>-0.38461538461538464</v>
      </c>
      <c r="AJ106" s="33">
        <v>-0.15789473684210525</v>
      </c>
      <c r="AK106" s="33">
        <v>-0.04</v>
      </c>
      <c r="AL106" s="33">
        <v>0</v>
      </c>
      <c r="AM106" s="33">
        <v>4.1666666666666664E-2</v>
      </c>
      <c r="AN106" s="34">
        <v>3.0769230769230771</v>
      </c>
      <c r="AO106" s="33">
        <v>0.96153846153846156</v>
      </c>
      <c r="AP106" s="33">
        <v>7.6923076923076927E-2</v>
      </c>
      <c r="AQ106" s="33">
        <v>0.34615384615384615</v>
      </c>
      <c r="AR106" s="35">
        <v>0</v>
      </c>
      <c r="AS106" s="251">
        <f t="shared" si="2"/>
        <v>0.57692307692307687</v>
      </c>
      <c r="AT106" s="252">
        <f t="shared" si="3"/>
        <v>-0.23076923076923078</v>
      </c>
      <c r="AU106" s="29">
        <v>28</v>
      </c>
      <c r="AV106" s="30">
        <v>33</v>
      </c>
      <c r="AW106" s="31">
        <v>33</v>
      </c>
      <c r="AX106" s="136">
        <v>0.17857142857142858</v>
      </c>
      <c r="AY106" s="33">
        <v>0.17857142857142858</v>
      </c>
      <c r="AZ106" s="35">
        <v>0</v>
      </c>
      <c r="BA106" s="29">
        <v>58</v>
      </c>
      <c r="BB106" s="31">
        <v>45</v>
      </c>
      <c r="BC106" s="29">
        <v>12</v>
      </c>
      <c r="BD106" s="31">
        <v>10</v>
      </c>
      <c r="BE106" s="29">
        <v>30</v>
      </c>
      <c r="BF106" s="30">
        <v>80</v>
      </c>
      <c r="BG106" s="33">
        <v>0.375</v>
      </c>
      <c r="BH106" s="30">
        <v>16</v>
      </c>
      <c r="BI106" s="30">
        <v>33</v>
      </c>
      <c r="BJ106" s="35">
        <v>0.48484848484848486</v>
      </c>
    </row>
    <row r="107" spans="1:62" x14ac:dyDescent="0.25">
      <c r="A107" s="132"/>
      <c r="B107" s="132"/>
      <c r="C107" s="132" t="s">
        <v>176</v>
      </c>
      <c r="D107" s="132"/>
      <c r="E107" s="132"/>
      <c r="F107" s="18">
        <v>169</v>
      </c>
      <c r="G107" s="15">
        <v>142</v>
      </c>
      <c r="H107" s="16">
        <v>7</v>
      </c>
      <c r="I107" s="16">
        <v>149</v>
      </c>
      <c r="J107" s="17">
        <v>0</v>
      </c>
      <c r="K107" s="15">
        <v>0</v>
      </c>
      <c r="L107" s="16">
        <v>0</v>
      </c>
      <c r="M107" s="16">
        <v>1</v>
      </c>
      <c r="N107" s="16">
        <v>0</v>
      </c>
      <c r="O107" s="16">
        <v>0</v>
      </c>
      <c r="P107" s="16">
        <v>0</v>
      </c>
      <c r="Q107" s="16">
        <v>0</v>
      </c>
      <c r="R107" s="17">
        <v>19</v>
      </c>
      <c r="S107" s="18">
        <v>80</v>
      </c>
      <c r="T107" s="15">
        <v>121</v>
      </c>
      <c r="U107" s="16">
        <v>0</v>
      </c>
      <c r="V107" s="16">
        <v>0</v>
      </c>
      <c r="W107" s="16">
        <v>1</v>
      </c>
      <c r="X107" s="17">
        <v>120</v>
      </c>
      <c r="Y107" s="15">
        <v>388</v>
      </c>
      <c r="Z107" s="17">
        <v>144</v>
      </c>
      <c r="AA107" s="15">
        <v>604</v>
      </c>
      <c r="AB107" s="17">
        <v>177</v>
      </c>
      <c r="AC107" s="15">
        <v>498</v>
      </c>
      <c r="AD107" s="132">
        <v>166</v>
      </c>
      <c r="AE107" s="15">
        <v>55</v>
      </c>
      <c r="AF107" s="16">
        <v>36</v>
      </c>
      <c r="AG107" s="17">
        <v>51</v>
      </c>
      <c r="AH107" s="133">
        <v>0.55670103092783507</v>
      </c>
      <c r="AI107" s="19">
        <v>0.28350515463917525</v>
      </c>
      <c r="AJ107" s="19">
        <v>-0.17549668874172186</v>
      </c>
      <c r="AK107" s="19">
        <v>0.22916666666666666</v>
      </c>
      <c r="AL107" s="19">
        <v>0.15277777777777779</v>
      </c>
      <c r="AM107" s="19">
        <v>-6.2146892655367235E-2</v>
      </c>
      <c r="AN107" s="20">
        <v>3.507042253521127</v>
      </c>
      <c r="AO107" s="19">
        <v>1.1690140845070423</v>
      </c>
      <c r="AP107" s="19">
        <v>0.25352112676056338</v>
      </c>
      <c r="AQ107" s="19">
        <v>0.35915492957746481</v>
      </c>
      <c r="AR107" s="21">
        <v>0.11801242236024845</v>
      </c>
      <c r="AS107" s="247">
        <f t="shared" si="2"/>
        <v>0.56338028169014087</v>
      </c>
      <c r="AT107" s="248">
        <f t="shared" si="3"/>
        <v>-0.28873239436619719</v>
      </c>
      <c r="AU107" s="15">
        <v>137</v>
      </c>
      <c r="AV107" s="16">
        <v>182</v>
      </c>
      <c r="AW107" s="17">
        <v>152</v>
      </c>
      <c r="AX107" s="133">
        <v>0.32846715328467152</v>
      </c>
      <c r="AY107" s="19">
        <v>0.10948905109489052</v>
      </c>
      <c r="AZ107" s="21">
        <v>-0.16483516483516483</v>
      </c>
      <c r="BA107" s="15">
        <v>16</v>
      </c>
      <c r="BB107" s="17">
        <v>18</v>
      </c>
      <c r="BC107" s="15">
        <v>8</v>
      </c>
      <c r="BD107" s="17">
        <v>7</v>
      </c>
      <c r="BE107" s="15">
        <v>299</v>
      </c>
      <c r="BF107" s="16">
        <v>498</v>
      </c>
      <c r="BG107" s="19">
        <v>0.60040160642570284</v>
      </c>
      <c r="BH107" s="16">
        <v>90</v>
      </c>
      <c r="BI107" s="16">
        <v>152</v>
      </c>
      <c r="BJ107" s="21">
        <v>0.59210526315789469</v>
      </c>
    </row>
    <row r="108" spans="1:62" x14ac:dyDescent="0.25">
      <c r="E108" t="s">
        <v>148</v>
      </c>
      <c r="F108" s="32">
        <v>169</v>
      </c>
      <c r="G108" s="29">
        <v>142</v>
      </c>
      <c r="H108" s="30">
        <v>7</v>
      </c>
      <c r="I108" s="30">
        <v>149</v>
      </c>
      <c r="J108" s="31">
        <v>0</v>
      </c>
      <c r="K108" s="29">
        <v>0</v>
      </c>
      <c r="L108" s="30">
        <v>0</v>
      </c>
      <c r="M108" s="30">
        <v>1</v>
      </c>
      <c r="N108" s="30">
        <v>0</v>
      </c>
      <c r="O108" s="30">
        <v>0</v>
      </c>
      <c r="P108" s="30">
        <v>0</v>
      </c>
      <c r="Q108" s="30">
        <v>0</v>
      </c>
      <c r="R108" s="31">
        <v>19</v>
      </c>
      <c r="S108" s="32">
        <v>80</v>
      </c>
      <c r="T108" s="29">
        <v>121</v>
      </c>
      <c r="U108" s="30">
        <v>0</v>
      </c>
      <c r="V108" s="30">
        <v>0</v>
      </c>
      <c r="W108" s="30">
        <v>1</v>
      </c>
      <c r="X108" s="31">
        <v>120</v>
      </c>
      <c r="Y108" s="29">
        <v>388</v>
      </c>
      <c r="Z108" s="31">
        <v>144</v>
      </c>
      <c r="AA108" s="29">
        <v>604</v>
      </c>
      <c r="AB108" s="31">
        <v>177</v>
      </c>
      <c r="AC108" s="29">
        <v>498</v>
      </c>
      <c r="AD108">
        <v>166</v>
      </c>
      <c r="AE108" s="29">
        <v>55</v>
      </c>
      <c r="AF108" s="30">
        <v>36</v>
      </c>
      <c r="AG108" s="31">
        <v>51</v>
      </c>
      <c r="AH108" s="136">
        <v>0.55670103092783507</v>
      </c>
      <c r="AI108" s="33">
        <v>0.28350515463917525</v>
      </c>
      <c r="AJ108" s="33">
        <v>-0.17549668874172186</v>
      </c>
      <c r="AK108" s="33">
        <v>0.22916666666666666</v>
      </c>
      <c r="AL108" s="33">
        <v>0.15277777777777779</v>
      </c>
      <c r="AM108" s="33">
        <v>-6.2146892655367235E-2</v>
      </c>
      <c r="AN108" s="34">
        <v>3.507042253521127</v>
      </c>
      <c r="AO108" s="33">
        <v>1.1690140845070423</v>
      </c>
      <c r="AP108" s="33">
        <v>0.25352112676056338</v>
      </c>
      <c r="AQ108" s="33">
        <v>0.35915492957746481</v>
      </c>
      <c r="AR108" s="35">
        <v>0.11801242236024845</v>
      </c>
      <c r="AS108" s="251">
        <f t="shared" si="2"/>
        <v>0.56338028169014087</v>
      </c>
      <c r="AT108" s="252">
        <f t="shared" si="3"/>
        <v>-0.28873239436619719</v>
      </c>
      <c r="AU108" s="29">
        <v>137</v>
      </c>
      <c r="AV108" s="30">
        <v>182</v>
      </c>
      <c r="AW108" s="31">
        <v>152</v>
      </c>
      <c r="AX108" s="136">
        <v>0.32846715328467152</v>
      </c>
      <c r="AY108" s="33">
        <v>0.10948905109489052</v>
      </c>
      <c r="AZ108" s="35">
        <v>-0.16483516483516483</v>
      </c>
      <c r="BA108" s="29">
        <v>16</v>
      </c>
      <c r="BB108" s="31">
        <v>18</v>
      </c>
      <c r="BC108" s="29">
        <v>8</v>
      </c>
      <c r="BD108" s="31">
        <v>7</v>
      </c>
      <c r="BE108" s="29">
        <v>299</v>
      </c>
      <c r="BF108" s="30">
        <v>498</v>
      </c>
      <c r="BG108" s="33">
        <v>0.60040160642570284</v>
      </c>
      <c r="BH108" s="30">
        <v>90</v>
      </c>
      <c r="BI108" s="30">
        <v>152</v>
      </c>
      <c r="BJ108" s="35">
        <v>0.59210526315789469</v>
      </c>
    </row>
    <row r="109" spans="1:62" x14ac:dyDescent="0.25">
      <c r="A109" s="132"/>
      <c r="B109" s="132"/>
      <c r="C109" s="132" t="s">
        <v>123</v>
      </c>
      <c r="D109" s="132"/>
      <c r="E109" s="132"/>
      <c r="F109" s="18">
        <v>1219</v>
      </c>
      <c r="G109" s="15">
        <v>965</v>
      </c>
      <c r="H109" s="16">
        <v>55</v>
      </c>
      <c r="I109" s="16">
        <v>1020</v>
      </c>
      <c r="J109" s="17">
        <v>0</v>
      </c>
      <c r="K109" s="15">
        <v>0</v>
      </c>
      <c r="L109" s="16">
        <v>0</v>
      </c>
      <c r="M109" s="16">
        <v>9</v>
      </c>
      <c r="N109" s="16">
        <v>0</v>
      </c>
      <c r="O109" s="16">
        <v>0</v>
      </c>
      <c r="P109" s="16">
        <v>0</v>
      </c>
      <c r="Q109" s="16">
        <v>2</v>
      </c>
      <c r="R109" s="17">
        <v>42</v>
      </c>
      <c r="S109" s="18">
        <v>809</v>
      </c>
      <c r="T109" s="15">
        <v>1061</v>
      </c>
      <c r="U109" s="16">
        <v>7</v>
      </c>
      <c r="V109" s="16">
        <v>4</v>
      </c>
      <c r="W109" s="16">
        <v>9</v>
      </c>
      <c r="X109" s="17">
        <v>1041</v>
      </c>
      <c r="Y109" s="15">
        <v>4863</v>
      </c>
      <c r="Z109" s="17">
        <v>1377</v>
      </c>
      <c r="AA109" s="15">
        <v>4230</v>
      </c>
      <c r="AB109" s="17">
        <v>1238</v>
      </c>
      <c r="AC109" s="15">
        <v>4462</v>
      </c>
      <c r="AD109" s="132">
        <v>1275</v>
      </c>
      <c r="AE109" s="15">
        <v>230</v>
      </c>
      <c r="AF109" s="16">
        <v>153</v>
      </c>
      <c r="AG109" s="17">
        <v>336</v>
      </c>
      <c r="AH109" s="133">
        <v>-0.13016656384947564</v>
      </c>
      <c r="AI109" s="19">
        <v>-8.2459387209541435E-2</v>
      </c>
      <c r="AJ109" s="19">
        <v>5.484633569739953E-2</v>
      </c>
      <c r="AK109" s="19">
        <v>-0.1009440813362382</v>
      </c>
      <c r="AL109" s="19">
        <v>-7.407407407407407E-2</v>
      </c>
      <c r="AM109" s="19">
        <v>2.9886914378029081E-2</v>
      </c>
      <c r="AN109" s="20">
        <v>4.6238341968911918</v>
      </c>
      <c r="AO109" s="19">
        <v>1.3212435233160622</v>
      </c>
      <c r="AP109" s="19">
        <v>0.15854922279792746</v>
      </c>
      <c r="AQ109" s="19">
        <v>0.34818652849740933</v>
      </c>
      <c r="AR109" s="21">
        <v>4.1708043694141016E-2</v>
      </c>
      <c r="AS109" s="247">
        <f t="shared" si="2"/>
        <v>0.83834196891191715</v>
      </c>
      <c r="AT109" s="248">
        <f t="shared" si="3"/>
        <v>-0.26113989637305701</v>
      </c>
      <c r="AU109" s="15">
        <v>776</v>
      </c>
      <c r="AV109" s="16">
        <v>730</v>
      </c>
      <c r="AW109" s="17">
        <v>740</v>
      </c>
      <c r="AX109" s="133">
        <v>-5.9278350515463915E-2</v>
      </c>
      <c r="AY109" s="19">
        <v>-4.6391752577319589E-2</v>
      </c>
      <c r="AZ109" s="21">
        <v>1.3698630136986301E-2</v>
      </c>
      <c r="BA109" s="15">
        <v>54</v>
      </c>
      <c r="BB109" s="17">
        <v>45</v>
      </c>
      <c r="BC109" s="15">
        <v>10</v>
      </c>
      <c r="BD109" s="17">
        <v>7</v>
      </c>
      <c r="BE109" s="15">
        <v>2648</v>
      </c>
      <c r="BF109" s="16">
        <v>4462</v>
      </c>
      <c r="BG109" s="19">
        <v>0.59345584939489016</v>
      </c>
      <c r="BH109" s="16">
        <v>409</v>
      </c>
      <c r="BI109" s="16">
        <v>740</v>
      </c>
      <c r="BJ109" s="21">
        <v>0.55270270270270272</v>
      </c>
    </row>
    <row r="110" spans="1:62" x14ac:dyDescent="0.25">
      <c r="E110" t="s">
        <v>68</v>
      </c>
      <c r="F110" s="32">
        <v>58</v>
      </c>
      <c r="G110" s="29">
        <v>54</v>
      </c>
      <c r="H110" s="30">
        <v>1</v>
      </c>
      <c r="I110" s="30">
        <v>55</v>
      </c>
      <c r="J110" s="31">
        <v>0</v>
      </c>
      <c r="K110" s="29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1">
        <v>3</v>
      </c>
      <c r="S110" s="32">
        <v>4</v>
      </c>
      <c r="T110" s="29">
        <v>2</v>
      </c>
      <c r="U110" s="30">
        <v>0</v>
      </c>
      <c r="V110" s="30">
        <v>0</v>
      </c>
      <c r="W110" s="30">
        <v>0</v>
      </c>
      <c r="X110" s="31">
        <v>2</v>
      </c>
      <c r="Y110" s="29">
        <v>58</v>
      </c>
      <c r="Z110" s="31">
        <v>27</v>
      </c>
      <c r="AA110" s="29">
        <v>34</v>
      </c>
      <c r="AB110" s="31">
        <v>14</v>
      </c>
      <c r="AC110" s="29">
        <v>54</v>
      </c>
      <c r="AD110">
        <v>14</v>
      </c>
      <c r="AE110" s="29">
        <v>44</v>
      </c>
      <c r="AF110" s="30">
        <v>31</v>
      </c>
      <c r="AG110" s="31">
        <v>4</v>
      </c>
      <c r="AH110" s="136">
        <v>-0.41379310344827586</v>
      </c>
      <c r="AI110" s="33">
        <v>-6.8965517241379309E-2</v>
      </c>
      <c r="AJ110" s="33">
        <v>0.58823529411764708</v>
      </c>
      <c r="AK110" s="33">
        <v>-0.48148148148148145</v>
      </c>
      <c r="AL110" s="33">
        <v>-0.48148148148148145</v>
      </c>
      <c r="AM110" s="33">
        <v>0</v>
      </c>
      <c r="AN110" s="34">
        <v>1</v>
      </c>
      <c r="AO110" s="33">
        <v>0.25925925925925924</v>
      </c>
      <c r="AP110" s="33">
        <v>0.57407407407407407</v>
      </c>
      <c r="AQ110" s="33">
        <v>7.407407407407407E-2</v>
      </c>
      <c r="AR110" s="35">
        <v>5.2631578947368418E-2</v>
      </c>
      <c r="AS110" s="251">
        <f t="shared" si="2"/>
        <v>7.407407407407407E-2</v>
      </c>
      <c r="AT110" s="252">
        <f t="shared" si="3"/>
        <v>3.7037037037037035E-2</v>
      </c>
      <c r="AU110" s="29">
        <v>44</v>
      </c>
      <c r="AV110" s="30">
        <v>30</v>
      </c>
      <c r="AW110" s="31">
        <v>39</v>
      </c>
      <c r="AX110" s="136">
        <v>-0.31818181818181818</v>
      </c>
      <c r="AY110" s="33">
        <v>-0.11363636363636363</v>
      </c>
      <c r="AZ110" s="35">
        <v>0.3</v>
      </c>
      <c r="BA110" s="29">
        <v>54</v>
      </c>
      <c r="BB110" s="31">
        <v>49</v>
      </c>
      <c r="BC110" s="29">
        <v>7.5</v>
      </c>
      <c r="BD110" s="31">
        <v>8</v>
      </c>
      <c r="BE110" s="29">
        <v>18</v>
      </c>
      <c r="BF110" s="30">
        <v>54</v>
      </c>
      <c r="BG110" s="33">
        <v>0.33333333333333331</v>
      </c>
      <c r="BH110" s="30">
        <v>17</v>
      </c>
      <c r="BI110" s="30">
        <v>39</v>
      </c>
      <c r="BJ110" s="35">
        <v>0.4358974358974359</v>
      </c>
    </row>
    <row r="111" spans="1:62" x14ac:dyDescent="0.25">
      <c r="E111" t="s">
        <v>148</v>
      </c>
      <c r="F111" s="32">
        <v>1161</v>
      </c>
      <c r="G111" s="29">
        <v>911</v>
      </c>
      <c r="H111" s="30">
        <v>54</v>
      </c>
      <c r="I111" s="30">
        <v>965</v>
      </c>
      <c r="J111" s="31">
        <v>0</v>
      </c>
      <c r="K111" s="29">
        <v>0</v>
      </c>
      <c r="L111" s="30">
        <v>0</v>
      </c>
      <c r="M111" s="30">
        <v>9</v>
      </c>
      <c r="N111" s="30">
        <v>0</v>
      </c>
      <c r="O111" s="30">
        <v>0</v>
      </c>
      <c r="P111" s="30">
        <v>0</v>
      </c>
      <c r="Q111" s="30">
        <v>2</v>
      </c>
      <c r="R111" s="31">
        <v>39</v>
      </c>
      <c r="S111" s="32">
        <v>805</v>
      </c>
      <c r="T111" s="29">
        <v>1059</v>
      </c>
      <c r="U111" s="30">
        <v>7</v>
      </c>
      <c r="V111" s="30">
        <v>4</v>
      </c>
      <c r="W111" s="30">
        <v>9</v>
      </c>
      <c r="X111" s="31">
        <v>1039</v>
      </c>
      <c r="Y111" s="29">
        <v>4805</v>
      </c>
      <c r="Z111" s="31">
        <v>1350</v>
      </c>
      <c r="AA111" s="29">
        <v>4196</v>
      </c>
      <c r="AB111" s="31">
        <v>1224</v>
      </c>
      <c r="AC111" s="29">
        <v>4408</v>
      </c>
      <c r="AD111">
        <v>1261</v>
      </c>
      <c r="AE111" s="29">
        <v>186</v>
      </c>
      <c r="AF111" s="30">
        <v>122</v>
      </c>
      <c r="AG111" s="31">
        <v>332</v>
      </c>
      <c r="AH111" s="136">
        <v>-0.12674297606659729</v>
      </c>
      <c r="AI111" s="33">
        <v>-8.2622268470343388E-2</v>
      </c>
      <c r="AJ111" s="33">
        <v>5.0524308865586273E-2</v>
      </c>
      <c r="AK111" s="33">
        <v>-9.3333333333333338E-2</v>
      </c>
      <c r="AL111" s="33">
        <v>-6.5925925925925929E-2</v>
      </c>
      <c r="AM111" s="33">
        <v>3.0228758169934641E-2</v>
      </c>
      <c r="AN111" s="34">
        <v>4.8386388583973652</v>
      </c>
      <c r="AO111" s="33">
        <v>1.3841931942919867</v>
      </c>
      <c r="AP111" s="33">
        <v>0.13391877058177826</v>
      </c>
      <c r="AQ111" s="33">
        <v>0.36443468715697036</v>
      </c>
      <c r="AR111" s="35">
        <v>4.1052631578947368E-2</v>
      </c>
      <c r="AS111" s="251">
        <f t="shared" si="2"/>
        <v>0.88364434687156967</v>
      </c>
      <c r="AT111" s="252">
        <f t="shared" si="3"/>
        <v>-0.27881448957189903</v>
      </c>
      <c r="AU111" s="29">
        <v>749</v>
      </c>
      <c r="AV111" s="30">
        <v>718</v>
      </c>
      <c r="AW111" s="31">
        <v>725</v>
      </c>
      <c r="AX111" s="136">
        <v>-4.1388518024032039E-2</v>
      </c>
      <c r="AY111" s="33">
        <v>-3.2042723631508681E-2</v>
      </c>
      <c r="AZ111" s="35">
        <v>9.7493036211699167E-3</v>
      </c>
      <c r="BA111" s="29">
        <v>54</v>
      </c>
      <c r="BB111" s="31">
        <v>45</v>
      </c>
      <c r="BC111" s="29">
        <v>10</v>
      </c>
      <c r="BD111" s="31">
        <v>7</v>
      </c>
      <c r="BE111" s="29">
        <v>2630</v>
      </c>
      <c r="BF111" s="30">
        <v>4408</v>
      </c>
      <c r="BG111" s="33">
        <v>0.59664246823956446</v>
      </c>
      <c r="BH111" s="30">
        <v>403</v>
      </c>
      <c r="BI111" s="30">
        <v>725</v>
      </c>
      <c r="BJ111" s="35">
        <v>0.55586206896551726</v>
      </c>
    </row>
    <row r="112" spans="1:62" x14ac:dyDescent="0.25">
      <c r="A112" s="132"/>
      <c r="B112" s="132"/>
      <c r="C112" s="132" t="s">
        <v>177</v>
      </c>
      <c r="D112" s="132"/>
      <c r="E112" s="132"/>
      <c r="F112" s="18">
        <v>1339</v>
      </c>
      <c r="G112" s="15">
        <v>1276</v>
      </c>
      <c r="H112" s="16">
        <v>1</v>
      </c>
      <c r="I112" s="16">
        <v>1277</v>
      </c>
      <c r="J112" s="17">
        <v>0</v>
      </c>
      <c r="K112" s="15">
        <v>0</v>
      </c>
      <c r="L112" s="16">
        <v>0</v>
      </c>
      <c r="M112" s="16">
        <v>6</v>
      </c>
      <c r="N112" s="16">
        <v>0</v>
      </c>
      <c r="O112" s="16">
        <v>0</v>
      </c>
      <c r="P112" s="16">
        <v>0</v>
      </c>
      <c r="Q112" s="16">
        <v>3</v>
      </c>
      <c r="R112" s="17">
        <v>52</v>
      </c>
      <c r="S112" s="18">
        <v>87</v>
      </c>
      <c r="T112" s="15">
        <v>78</v>
      </c>
      <c r="U112" s="16">
        <v>0</v>
      </c>
      <c r="V112" s="16">
        <v>3</v>
      </c>
      <c r="W112" s="16">
        <v>3</v>
      </c>
      <c r="X112" s="17">
        <v>72</v>
      </c>
      <c r="Y112" s="15">
        <v>1459</v>
      </c>
      <c r="Z112" s="17">
        <v>628</v>
      </c>
      <c r="AA112" s="15">
        <v>1581</v>
      </c>
      <c r="AB112" s="17">
        <v>691</v>
      </c>
      <c r="AC112" s="15">
        <v>1488</v>
      </c>
      <c r="AD112" s="132">
        <v>658</v>
      </c>
      <c r="AE112" s="15">
        <v>676</v>
      </c>
      <c r="AF112" s="16">
        <v>271</v>
      </c>
      <c r="AG112" s="17">
        <v>164</v>
      </c>
      <c r="AH112" s="133">
        <v>8.3618917066483889E-2</v>
      </c>
      <c r="AI112" s="19">
        <v>1.9876627827278958E-2</v>
      </c>
      <c r="AJ112" s="19">
        <v>-5.8823529411764705E-2</v>
      </c>
      <c r="AK112" s="19">
        <v>0.10031847133757962</v>
      </c>
      <c r="AL112" s="19">
        <v>4.7770700636942678E-2</v>
      </c>
      <c r="AM112" s="19">
        <v>-4.7756874095513747E-2</v>
      </c>
      <c r="AN112" s="20">
        <v>1.1661442006269593</v>
      </c>
      <c r="AO112" s="19">
        <v>0.51567398119122254</v>
      </c>
      <c r="AP112" s="19">
        <v>0.21238244514106583</v>
      </c>
      <c r="AQ112" s="19">
        <v>0.12852664576802508</v>
      </c>
      <c r="AR112" s="21">
        <v>3.9156626506024098E-2</v>
      </c>
      <c r="AS112" s="247">
        <f t="shared" si="2"/>
        <v>6.8181818181818177E-2</v>
      </c>
      <c r="AT112" s="248">
        <f t="shared" si="3"/>
        <v>7.0532915360501571E-3</v>
      </c>
      <c r="AU112" s="15">
        <v>561</v>
      </c>
      <c r="AV112" s="16">
        <v>561</v>
      </c>
      <c r="AW112" s="17">
        <v>541</v>
      </c>
      <c r="AX112" s="133">
        <v>0</v>
      </c>
      <c r="AY112" s="19">
        <v>-3.5650623885918005E-2</v>
      </c>
      <c r="AZ112" s="21">
        <v>-3.5650623885918005E-2</v>
      </c>
      <c r="BA112" s="15">
        <v>45</v>
      </c>
      <c r="BB112" s="17">
        <v>40</v>
      </c>
      <c r="BC112" s="15">
        <v>5</v>
      </c>
      <c r="BD112" s="17">
        <v>4</v>
      </c>
      <c r="BE112" s="15">
        <v>861</v>
      </c>
      <c r="BF112" s="16">
        <v>1488</v>
      </c>
      <c r="BG112" s="19">
        <v>0.5786290322580645</v>
      </c>
      <c r="BH112" s="16">
        <v>321</v>
      </c>
      <c r="BI112" s="16">
        <v>541</v>
      </c>
      <c r="BJ112" s="21">
        <v>0.59334565619223656</v>
      </c>
    </row>
    <row r="113" spans="1:62" x14ac:dyDescent="0.25">
      <c r="E113" t="s">
        <v>68</v>
      </c>
      <c r="F113" s="32">
        <v>1231</v>
      </c>
      <c r="G113" s="29">
        <v>1171</v>
      </c>
      <c r="H113" s="30">
        <v>0</v>
      </c>
      <c r="I113" s="30">
        <v>1171</v>
      </c>
      <c r="J113" s="31">
        <v>0</v>
      </c>
      <c r="K113" s="29">
        <v>0</v>
      </c>
      <c r="L113" s="30">
        <v>0</v>
      </c>
      <c r="M113" s="30">
        <v>6</v>
      </c>
      <c r="N113" s="30">
        <v>0</v>
      </c>
      <c r="O113" s="30">
        <v>0</v>
      </c>
      <c r="P113" s="30">
        <v>0</v>
      </c>
      <c r="Q113" s="30">
        <v>3</v>
      </c>
      <c r="R113" s="31">
        <v>51</v>
      </c>
      <c r="S113" s="32">
        <v>77</v>
      </c>
      <c r="T113" s="29">
        <v>20</v>
      </c>
      <c r="U113" s="30">
        <v>0</v>
      </c>
      <c r="V113" s="30">
        <v>2</v>
      </c>
      <c r="W113" s="30">
        <v>3</v>
      </c>
      <c r="X113" s="31">
        <v>15</v>
      </c>
      <c r="Y113" s="29">
        <v>1342</v>
      </c>
      <c r="Z113" s="31">
        <v>584</v>
      </c>
      <c r="AA113" s="29">
        <v>1455</v>
      </c>
      <c r="AB113" s="31">
        <v>612</v>
      </c>
      <c r="AC113" s="29">
        <v>1377</v>
      </c>
      <c r="AD113">
        <v>603</v>
      </c>
      <c r="AE113" s="29">
        <v>621</v>
      </c>
      <c r="AF113" s="30">
        <v>267</v>
      </c>
      <c r="AG113" s="31">
        <v>160</v>
      </c>
      <c r="AH113" s="136">
        <v>8.4202682563338307E-2</v>
      </c>
      <c r="AI113" s="33">
        <v>2.608047690014903E-2</v>
      </c>
      <c r="AJ113" s="33">
        <v>-5.3608247422680409E-2</v>
      </c>
      <c r="AK113" s="33">
        <v>4.7945205479452052E-2</v>
      </c>
      <c r="AL113" s="33">
        <v>3.2534246575342464E-2</v>
      </c>
      <c r="AM113" s="33">
        <v>-1.4705882352941176E-2</v>
      </c>
      <c r="AN113" s="34">
        <v>1.1759180187873612</v>
      </c>
      <c r="AO113" s="33">
        <v>0.51494449188727587</v>
      </c>
      <c r="AP113" s="33">
        <v>0.22801024765157984</v>
      </c>
      <c r="AQ113" s="33">
        <v>0.13663535439795046</v>
      </c>
      <c r="AR113" s="35">
        <v>4.1734860883797055E-2</v>
      </c>
      <c r="AS113" s="251">
        <f t="shared" si="2"/>
        <v>6.575576430401367E-2</v>
      </c>
      <c r="AT113" s="252">
        <f t="shared" si="3"/>
        <v>4.8676345004269858E-2</v>
      </c>
      <c r="AU113" s="29">
        <v>544</v>
      </c>
      <c r="AV113" s="30">
        <v>548</v>
      </c>
      <c r="AW113" s="31">
        <v>523</v>
      </c>
      <c r="AX113" s="136">
        <v>7.3529411764705881E-3</v>
      </c>
      <c r="AY113" s="33">
        <v>-3.860294117647059E-2</v>
      </c>
      <c r="AZ113" s="35">
        <v>-4.5620437956204379E-2</v>
      </c>
      <c r="BA113" s="29">
        <v>44</v>
      </c>
      <c r="BB113" s="31">
        <v>40</v>
      </c>
      <c r="BC113" s="29">
        <v>4</v>
      </c>
      <c r="BD113" s="31">
        <v>4</v>
      </c>
      <c r="BE113" s="29">
        <v>790</v>
      </c>
      <c r="BF113" s="30">
        <v>1377</v>
      </c>
      <c r="BG113" s="33">
        <v>0.57371096586782866</v>
      </c>
      <c r="BH113" s="30">
        <v>312</v>
      </c>
      <c r="BI113" s="30">
        <v>523</v>
      </c>
      <c r="BJ113" s="35">
        <v>0.59655831739961762</v>
      </c>
    </row>
    <row r="114" spans="1:62" x14ac:dyDescent="0.25">
      <c r="E114" t="s">
        <v>148</v>
      </c>
      <c r="F114" s="32">
        <v>62</v>
      </c>
      <c r="G114" s="29">
        <v>60</v>
      </c>
      <c r="H114" s="30">
        <v>1</v>
      </c>
      <c r="I114" s="30">
        <v>61</v>
      </c>
      <c r="J114" s="31">
        <v>0</v>
      </c>
      <c r="K114" s="29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1">
        <v>0</v>
      </c>
      <c r="S114" s="32">
        <v>9</v>
      </c>
      <c r="T114" s="29">
        <v>58</v>
      </c>
      <c r="U114" s="30">
        <v>0</v>
      </c>
      <c r="V114" s="30">
        <v>1</v>
      </c>
      <c r="W114" s="30">
        <v>0</v>
      </c>
      <c r="X114" s="31">
        <v>57</v>
      </c>
      <c r="Y114" s="29">
        <v>57</v>
      </c>
      <c r="Z114" s="31">
        <v>16</v>
      </c>
      <c r="AA114" s="29">
        <v>71</v>
      </c>
      <c r="AB114" s="31">
        <v>51</v>
      </c>
      <c r="AC114" s="29">
        <v>55</v>
      </c>
      <c r="AD114">
        <v>26</v>
      </c>
      <c r="AE114" s="29">
        <v>40</v>
      </c>
      <c r="AF114" s="30">
        <v>1</v>
      </c>
      <c r="AG114" s="31">
        <v>1</v>
      </c>
      <c r="AH114" s="136">
        <v>0.24561403508771928</v>
      </c>
      <c r="AI114" s="33">
        <v>-3.5087719298245612E-2</v>
      </c>
      <c r="AJ114" s="33">
        <v>-0.22535211267605634</v>
      </c>
      <c r="AK114" s="33">
        <v>2.1875</v>
      </c>
      <c r="AL114" s="33">
        <v>0.625</v>
      </c>
      <c r="AM114" s="33">
        <v>-0.49019607843137253</v>
      </c>
      <c r="AN114" s="34">
        <v>0.91666666666666663</v>
      </c>
      <c r="AO114" s="33">
        <v>0.43333333333333335</v>
      </c>
      <c r="AP114" s="33">
        <v>1.6666666666666666E-2</v>
      </c>
      <c r="AQ114" s="33">
        <v>1.6666666666666666E-2</v>
      </c>
      <c r="AR114" s="35">
        <v>0</v>
      </c>
      <c r="AS114" s="251">
        <f t="shared" si="2"/>
        <v>0.15</v>
      </c>
      <c r="AT114" s="252">
        <f t="shared" si="3"/>
        <v>-0.81666666666666665</v>
      </c>
      <c r="AU114" s="29">
        <v>17</v>
      </c>
      <c r="AV114" s="30">
        <v>17</v>
      </c>
      <c r="AW114" s="31">
        <v>21</v>
      </c>
      <c r="AX114" s="136">
        <v>0</v>
      </c>
      <c r="AY114" s="33">
        <v>0.23529411764705882</v>
      </c>
      <c r="AZ114" s="35">
        <v>0.23529411764705882</v>
      </c>
      <c r="BA114" s="29">
        <v>58</v>
      </c>
      <c r="BB114" s="31">
        <v>44</v>
      </c>
      <c r="BC114" s="29">
        <v>12</v>
      </c>
      <c r="BD114" s="31">
        <v>12</v>
      </c>
      <c r="BE114" s="29">
        <v>29</v>
      </c>
      <c r="BF114" s="30">
        <v>55</v>
      </c>
      <c r="BG114" s="33">
        <v>0.52727272727272723</v>
      </c>
      <c r="BH114" s="30">
        <v>10</v>
      </c>
      <c r="BI114" s="30">
        <v>21</v>
      </c>
      <c r="BJ114" s="35">
        <v>0.47619047619047616</v>
      </c>
    </row>
    <row r="115" spans="1:62" x14ac:dyDescent="0.25">
      <c r="E115" t="s">
        <v>97</v>
      </c>
      <c r="F115" s="32">
        <v>46</v>
      </c>
      <c r="G115" s="29">
        <v>45</v>
      </c>
      <c r="H115" s="30">
        <v>0</v>
      </c>
      <c r="I115" s="30">
        <v>45</v>
      </c>
      <c r="J115" s="31">
        <v>0</v>
      </c>
      <c r="K115" s="29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1">
        <v>1</v>
      </c>
      <c r="S115" s="32">
        <v>1</v>
      </c>
      <c r="T115" s="29"/>
      <c r="U115" s="30"/>
      <c r="V115" s="30"/>
      <c r="W115" s="30"/>
      <c r="X115" s="31"/>
      <c r="Y115" s="29">
        <v>60</v>
      </c>
      <c r="Z115" s="31">
        <v>28</v>
      </c>
      <c r="AA115" s="29">
        <v>55</v>
      </c>
      <c r="AB115" s="31">
        <v>28</v>
      </c>
      <c r="AC115" s="29">
        <v>56</v>
      </c>
      <c r="AD115">
        <v>29</v>
      </c>
      <c r="AE115" s="29">
        <v>15</v>
      </c>
      <c r="AF115" s="30">
        <v>3</v>
      </c>
      <c r="AG115" s="31">
        <v>3</v>
      </c>
      <c r="AH115" s="136">
        <v>-8.3333333333333329E-2</v>
      </c>
      <c r="AI115" s="33">
        <v>-6.6666666666666666E-2</v>
      </c>
      <c r="AJ115" s="33">
        <v>1.8181818181818181E-2</v>
      </c>
      <c r="AK115" s="33">
        <v>0</v>
      </c>
      <c r="AL115" s="33">
        <v>3.5714285714285712E-2</v>
      </c>
      <c r="AM115" s="33">
        <v>3.5714285714285712E-2</v>
      </c>
      <c r="AN115" s="34">
        <v>1.2444444444444445</v>
      </c>
      <c r="AO115" s="33">
        <v>0.64444444444444449</v>
      </c>
      <c r="AP115" s="33">
        <v>6.6666666666666666E-2</v>
      </c>
      <c r="AQ115" s="33">
        <v>6.6666666666666666E-2</v>
      </c>
      <c r="AR115" s="35">
        <v>2.1739130434782608E-2</v>
      </c>
      <c r="AS115" s="251">
        <f t="shared" si="2"/>
        <v>2.2222222222222223E-2</v>
      </c>
      <c r="AT115" s="252">
        <f t="shared" si="3"/>
        <v>2.2222222222222223E-2</v>
      </c>
      <c r="AU115" s="29">
        <v>20</v>
      </c>
      <c r="AV115" s="30">
        <v>23</v>
      </c>
      <c r="AW115" s="31">
        <v>21</v>
      </c>
      <c r="AX115" s="136">
        <v>0.15</v>
      </c>
      <c r="AY115" s="33">
        <v>0.05</v>
      </c>
      <c r="AZ115" s="35">
        <v>-8.6956521739130432E-2</v>
      </c>
      <c r="BA115" s="29">
        <v>56</v>
      </c>
      <c r="BB115" s="31">
        <v>52</v>
      </c>
      <c r="BC115" s="29">
        <v>1</v>
      </c>
      <c r="BD115" s="31">
        <v>4</v>
      </c>
      <c r="BE115" s="29">
        <v>42</v>
      </c>
      <c r="BF115" s="30">
        <v>56</v>
      </c>
      <c r="BG115" s="33">
        <v>0.75</v>
      </c>
      <c r="BH115" s="30">
        <v>13</v>
      </c>
      <c r="BI115" s="30">
        <v>21</v>
      </c>
      <c r="BJ115" s="35">
        <v>0.61904761904761907</v>
      </c>
    </row>
    <row r="116" spans="1:62" x14ac:dyDescent="0.25">
      <c r="A116" s="132"/>
      <c r="B116" s="132"/>
      <c r="C116" s="132" t="s">
        <v>178</v>
      </c>
      <c r="D116" s="132"/>
      <c r="E116" s="132"/>
      <c r="F116" s="18">
        <v>957</v>
      </c>
      <c r="G116" s="15">
        <v>800</v>
      </c>
      <c r="H116" s="16">
        <v>10</v>
      </c>
      <c r="I116" s="16">
        <v>810</v>
      </c>
      <c r="J116" s="17">
        <v>0</v>
      </c>
      <c r="K116" s="15">
        <v>0</v>
      </c>
      <c r="L116" s="16">
        <v>0</v>
      </c>
      <c r="M116" s="16">
        <v>7</v>
      </c>
      <c r="N116" s="16">
        <v>2</v>
      </c>
      <c r="O116" s="16">
        <v>0</v>
      </c>
      <c r="P116" s="16">
        <v>0</v>
      </c>
      <c r="Q116" s="16">
        <v>16</v>
      </c>
      <c r="R116" s="17">
        <v>110</v>
      </c>
      <c r="S116" s="18">
        <v>117</v>
      </c>
      <c r="T116" s="15">
        <v>58</v>
      </c>
      <c r="U116" s="16">
        <v>2</v>
      </c>
      <c r="V116" s="16">
        <v>11</v>
      </c>
      <c r="W116" s="16">
        <v>4</v>
      </c>
      <c r="X116" s="17">
        <v>41</v>
      </c>
      <c r="Y116" s="15">
        <v>2219</v>
      </c>
      <c r="Z116" s="17">
        <v>660</v>
      </c>
      <c r="AA116" s="15">
        <v>2076</v>
      </c>
      <c r="AB116" s="17">
        <v>678</v>
      </c>
      <c r="AC116" s="15">
        <v>1945</v>
      </c>
      <c r="AD116" s="132">
        <v>662</v>
      </c>
      <c r="AE116" s="15">
        <v>293</v>
      </c>
      <c r="AF116" s="16">
        <v>103</v>
      </c>
      <c r="AG116" s="17">
        <v>305</v>
      </c>
      <c r="AH116" s="133">
        <v>-6.4443442992338895E-2</v>
      </c>
      <c r="AI116" s="19">
        <v>-0.12347904461469131</v>
      </c>
      <c r="AJ116" s="19">
        <v>-6.3102119460500969E-2</v>
      </c>
      <c r="AK116" s="19">
        <v>2.7272727272727271E-2</v>
      </c>
      <c r="AL116" s="19">
        <v>3.0303030303030303E-3</v>
      </c>
      <c r="AM116" s="19">
        <v>-2.359882005899705E-2</v>
      </c>
      <c r="AN116" s="20">
        <v>2.4312499999999999</v>
      </c>
      <c r="AO116" s="19">
        <v>0.82750000000000001</v>
      </c>
      <c r="AP116" s="19">
        <v>0.12875</v>
      </c>
      <c r="AQ116" s="19">
        <v>0.38124999999999998</v>
      </c>
      <c r="AR116" s="21">
        <v>0.12087912087912088</v>
      </c>
      <c r="AS116" s="247">
        <f t="shared" si="2"/>
        <v>0.14624999999999999</v>
      </c>
      <c r="AT116" s="248">
        <f t="shared" si="3"/>
        <v>7.3749999999999996E-2</v>
      </c>
      <c r="AU116" s="15">
        <v>709</v>
      </c>
      <c r="AV116" s="16">
        <v>716</v>
      </c>
      <c r="AW116" s="17">
        <v>666</v>
      </c>
      <c r="AX116" s="133">
        <v>9.8730606488011286E-3</v>
      </c>
      <c r="AY116" s="19">
        <v>-6.0648801128349791E-2</v>
      </c>
      <c r="AZ116" s="21">
        <v>-6.9832402234636867E-2</v>
      </c>
      <c r="BA116" s="15">
        <v>26</v>
      </c>
      <c r="BB116" s="17">
        <v>27</v>
      </c>
      <c r="BC116" s="15">
        <v>3</v>
      </c>
      <c r="BD116" s="17">
        <v>3</v>
      </c>
      <c r="BE116" s="15">
        <v>1426</v>
      </c>
      <c r="BF116" s="16">
        <v>1945</v>
      </c>
      <c r="BG116" s="19">
        <v>0.73316195372750648</v>
      </c>
      <c r="BH116" s="16">
        <v>461</v>
      </c>
      <c r="BI116" s="16">
        <v>666</v>
      </c>
      <c r="BJ116" s="21">
        <v>0.69219219219219219</v>
      </c>
    </row>
    <row r="117" spans="1:62" x14ac:dyDescent="0.25">
      <c r="E117" t="s">
        <v>68</v>
      </c>
      <c r="F117" s="32">
        <v>806</v>
      </c>
      <c r="G117" s="29">
        <v>666</v>
      </c>
      <c r="H117" s="30">
        <v>6</v>
      </c>
      <c r="I117" s="30">
        <v>672</v>
      </c>
      <c r="J117" s="31">
        <v>0</v>
      </c>
      <c r="K117" s="29">
        <v>0</v>
      </c>
      <c r="L117" s="30">
        <v>0</v>
      </c>
      <c r="M117" s="30">
        <v>7</v>
      </c>
      <c r="N117" s="30">
        <v>2</v>
      </c>
      <c r="O117" s="30">
        <v>0</v>
      </c>
      <c r="P117" s="30">
        <v>0</v>
      </c>
      <c r="Q117" s="30">
        <v>16</v>
      </c>
      <c r="R117" s="31">
        <v>106</v>
      </c>
      <c r="S117" s="32">
        <v>68</v>
      </c>
      <c r="T117" s="29">
        <v>24</v>
      </c>
      <c r="U117" s="30">
        <v>1</v>
      </c>
      <c r="V117" s="30">
        <v>11</v>
      </c>
      <c r="W117" s="30">
        <v>4</v>
      </c>
      <c r="X117" s="31">
        <v>8</v>
      </c>
      <c r="Y117" s="29">
        <v>1991</v>
      </c>
      <c r="Z117" s="31">
        <v>560</v>
      </c>
      <c r="AA117" s="29">
        <v>1886</v>
      </c>
      <c r="AB117" s="31">
        <v>579</v>
      </c>
      <c r="AC117" s="29">
        <v>1738</v>
      </c>
      <c r="AD117">
        <v>567</v>
      </c>
      <c r="AE117" s="29">
        <v>233</v>
      </c>
      <c r="AF117" s="30">
        <v>73</v>
      </c>
      <c r="AG117" s="31">
        <v>289</v>
      </c>
      <c r="AH117" s="136">
        <v>-5.2737317930688095E-2</v>
      </c>
      <c r="AI117" s="33">
        <v>-0.1270718232044199</v>
      </c>
      <c r="AJ117" s="33">
        <v>-7.8472958642629903E-2</v>
      </c>
      <c r="AK117" s="33">
        <v>3.3928571428571426E-2</v>
      </c>
      <c r="AL117" s="33">
        <v>1.2500000000000001E-2</v>
      </c>
      <c r="AM117" s="33">
        <v>-2.072538860103627E-2</v>
      </c>
      <c r="AN117" s="34">
        <v>2.6096096096096097</v>
      </c>
      <c r="AO117" s="33">
        <v>0.85135135135135132</v>
      </c>
      <c r="AP117" s="33">
        <v>0.10960960960960961</v>
      </c>
      <c r="AQ117" s="33">
        <v>0.43393393393393392</v>
      </c>
      <c r="AR117" s="35">
        <v>0.13730569948186527</v>
      </c>
      <c r="AS117" s="251">
        <f t="shared" si="2"/>
        <v>0.1021021021021021</v>
      </c>
      <c r="AT117" s="252">
        <f t="shared" si="3"/>
        <v>6.6066066066066062E-2</v>
      </c>
      <c r="AU117" s="29">
        <v>681</v>
      </c>
      <c r="AV117" s="30">
        <v>686</v>
      </c>
      <c r="AW117" s="31">
        <v>635</v>
      </c>
      <c r="AX117" s="136">
        <v>7.3421439060205578E-3</v>
      </c>
      <c r="AY117" s="33">
        <v>-6.7547723935389131E-2</v>
      </c>
      <c r="AZ117" s="35">
        <v>-7.4344023323615158E-2</v>
      </c>
      <c r="BA117" s="29">
        <v>28</v>
      </c>
      <c r="BB117" s="31">
        <v>27</v>
      </c>
      <c r="BC117" s="29">
        <v>3</v>
      </c>
      <c r="BD117" s="31">
        <v>3</v>
      </c>
      <c r="BE117" s="29">
        <v>1279</v>
      </c>
      <c r="BF117" s="30">
        <v>1738</v>
      </c>
      <c r="BG117" s="33">
        <v>0.7359033371691599</v>
      </c>
      <c r="BH117" s="30">
        <v>437</v>
      </c>
      <c r="BI117" s="30">
        <v>635</v>
      </c>
      <c r="BJ117" s="35">
        <v>0.68818897637795273</v>
      </c>
    </row>
    <row r="118" spans="1:62" x14ac:dyDescent="0.25">
      <c r="E118" t="s">
        <v>148</v>
      </c>
      <c r="F118" s="32">
        <v>141</v>
      </c>
      <c r="G118" s="29">
        <v>125</v>
      </c>
      <c r="H118" s="30">
        <v>4</v>
      </c>
      <c r="I118" s="30">
        <v>129</v>
      </c>
      <c r="J118" s="31">
        <v>0</v>
      </c>
      <c r="K118" s="29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1">
        <v>3</v>
      </c>
      <c r="S118" s="32">
        <v>49</v>
      </c>
      <c r="T118" s="29">
        <v>34</v>
      </c>
      <c r="U118" s="30">
        <v>1</v>
      </c>
      <c r="V118" s="30">
        <v>0</v>
      </c>
      <c r="W118" s="30">
        <v>0</v>
      </c>
      <c r="X118" s="31">
        <v>33</v>
      </c>
      <c r="Y118" s="29">
        <v>218</v>
      </c>
      <c r="Z118" s="31">
        <v>95</v>
      </c>
      <c r="AA118" s="29">
        <v>187</v>
      </c>
      <c r="AB118" s="31">
        <v>96</v>
      </c>
      <c r="AC118" s="29">
        <v>202</v>
      </c>
      <c r="AD118">
        <v>91</v>
      </c>
      <c r="AE118" s="29">
        <v>54</v>
      </c>
      <c r="AF118" s="30">
        <v>29</v>
      </c>
      <c r="AG118" s="31">
        <v>15</v>
      </c>
      <c r="AH118" s="136">
        <v>-0.14220183486238533</v>
      </c>
      <c r="AI118" s="33">
        <v>-7.3394495412844041E-2</v>
      </c>
      <c r="AJ118" s="33">
        <v>8.0213903743315509E-2</v>
      </c>
      <c r="AK118" s="33">
        <v>1.0526315789473684E-2</v>
      </c>
      <c r="AL118" s="33">
        <v>-4.2105263157894736E-2</v>
      </c>
      <c r="AM118" s="33">
        <v>-5.2083333333333336E-2</v>
      </c>
      <c r="AN118" s="34">
        <v>1.6160000000000001</v>
      </c>
      <c r="AO118" s="33">
        <v>0.72799999999999998</v>
      </c>
      <c r="AP118" s="33">
        <v>0.23200000000000001</v>
      </c>
      <c r="AQ118" s="33">
        <v>0.12</v>
      </c>
      <c r="AR118" s="35">
        <v>2.34375E-2</v>
      </c>
      <c r="AS118" s="251">
        <f t="shared" si="2"/>
        <v>0.39200000000000002</v>
      </c>
      <c r="AT118" s="252">
        <f t="shared" si="3"/>
        <v>0.12</v>
      </c>
      <c r="AU118" s="29">
        <v>94</v>
      </c>
      <c r="AV118" s="30">
        <v>85</v>
      </c>
      <c r="AW118" s="31">
        <v>83</v>
      </c>
      <c r="AX118" s="136">
        <v>-9.5744680851063829E-2</v>
      </c>
      <c r="AY118" s="33">
        <v>-0.11702127659574468</v>
      </c>
      <c r="AZ118" s="35">
        <v>-2.3529411764705882E-2</v>
      </c>
      <c r="BA118" s="29">
        <v>18</v>
      </c>
      <c r="BB118" s="31">
        <v>19</v>
      </c>
      <c r="BC118" s="29">
        <v>5</v>
      </c>
      <c r="BD118" s="31">
        <v>5</v>
      </c>
      <c r="BE118" s="29">
        <v>143</v>
      </c>
      <c r="BF118" s="30">
        <v>202</v>
      </c>
      <c r="BG118" s="33">
        <v>0.70792079207920788</v>
      </c>
      <c r="BH118" s="30">
        <v>59</v>
      </c>
      <c r="BI118" s="30">
        <v>83</v>
      </c>
      <c r="BJ118" s="35">
        <v>0.71084337349397586</v>
      </c>
    </row>
    <row r="119" spans="1:62" x14ac:dyDescent="0.25">
      <c r="A119" s="132"/>
      <c r="B119" s="132"/>
      <c r="C119" s="132" t="s">
        <v>124</v>
      </c>
      <c r="D119" s="132"/>
      <c r="E119" s="132"/>
      <c r="F119" s="18">
        <v>2041</v>
      </c>
      <c r="G119" s="15">
        <v>1887</v>
      </c>
      <c r="H119" s="16">
        <v>37</v>
      </c>
      <c r="I119" s="16">
        <v>1924</v>
      </c>
      <c r="J119" s="17">
        <v>0</v>
      </c>
      <c r="K119" s="15">
        <v>0</v>
      </c>
      <c r="L119" s="16">
        <v>0</v>
      </c>
      <c r="M119" s="16">
        <v>11</v>
      </c>
      <c r="N119" s="16">
        <v>0</v>
      </c>
      <c r="O119" s="16">
        <v>1</v>
      </c>
      <c r="P119" s="16">
        <v>0</v>
      </c>
      <c r="Q119" s="16">
        <v>8</v>
      </c>
      <c r="R119" s="17">
        <v>55</v>
      </c>
      <c r="S119" s="18">
        <v>251</v>
      </c>
      <c r="T119" s="15">
        <v>155</v>
      </c>
      <c r="U119" s="16">
        <v>2</v>
      </c>
      <c r="V119" s="16">
        <v>6</v>
      </c>
      <c r="W119" s="16">
        <v>5</v>
      </c>
      <c r="X119" s="17">
        <v>142</v>
      </c>
      <c r="Y119" s="15">
        <v>2455</v>
      </c>
      <c r="Z119" s="17">
        <v>1057</v>
      </c>
      <c r="AA119" s="15">
        <v>2202</v>
      </c>
      <c r="AB119" s="17">
        <v>959</v>
      </c>
      <c r="AC119" s="15">
        <v>2324</v>
      </c>
      <c r="AD119" s="132">
        <v>992</v>
      </c>
      <c r="AE119" s="15">
        <v>1046</v>
      </c>
      <c r="AF119" s="16">
        <v>453</v>
      </c>
      <c r="AG119" s="17">
        <v>272</v>
      </c>
      <c r="AH119" s="133">
        <v>-0.10305498981670061</v>
      </c>
      <c r="AI119" s="19">
        <v>-5.3360488798370673E-2</v>
      </c>
      <c r="AJ119" s="19">
        <v>5.5404178019981834E-2</v>
      </c>
      <c r="AK119" s="19">
        <v>-9.2715231788079472E-2</v>
      </c>
      <c r="AL119" s="19">
        <v>-6.1494796594134343E-2</v>
      </c>
      <c r="AM119" s="19">
        <v>3.4410844629822732E-2</v>
      </c>
      <c r="AN119" s="20">
        <v>1.2315845257021727</v>
      </c>
      <c r="AO119" s="19">
        <v>0.52570217276099629</v>
      </c>
      <c r="AP119" s="19">
        <v>0.24006359300476948</v>
      </c>
      <c r="AQ119" s="19">
        <v>0.14414414414414414</v>
      </c>
      <c r="AR119" s="21">
        <v>2.8321318228630279E-2</v>
      </c>
      <c r="AS119" s="247">
        <f t="shared" si="2"/>
        <v>0.13301536830948596</v>
      </c>
      <c r="AT119" s="248">
        <f t="shared" si="3"/>
        <v>5.0874403815580289E-2</v>
      </c>
      <c r="AU119" s="15">
        <v>658</v>
      </c>
      <c r="AV119" s="16">
        <v>648</v>
      </c>
      <c r="AW119" s="17">
        <v>648</v>
      </c>
      <c r="AX119" s="133">
        <v>-1.5197568389057751E-2</v>
      </c>
      <c r="AY119" s="19">
        <v>-1.5197568389057751E-2</v>
      </c>
      <c r="AZ119" s="21">
        <v>0</v>
      </c>
      <c r="BA119" s="15">
        <v>46</v>
      </c>
      <c r="BB119" s="17">
        <v>37</v>
      </c>
      <c r="BC119" s="15">
        <v>7</v>
      </c>
      <c r="BD119" s="17">
        <v>4</v>
      </c>
      <c r="BE119" s="15">
        <v>1437</v>
      </c>
      <c r="BF119" s="16">
        <v>2324</v>
      </c>
      <c r="BG119" s="19">
        <v>0.61833046471600683</v>
      </c>
      <c r="BH119" s="16">
        <v>398</v>
      </c>
      <c r="BI119" s="16">
        <v>648</v>
      </c>
      <c r="BJ119" s="21">
        <v>0.61419753086419748</v>
      </c>
    </row>
    <row r="120" spans="1:62" x14ac:dyDescent="0.25">
      <c r="E120" t="s">
        <v>68</v>
      </c>
      <c r="F120" s="32">
        <v>1506</v>
      </c>
      <c r="G120" s="29">
        <v>1418</v>
      </c>
      <c r="H120" s="30">
        <v>0</v>
      </c>
      <c r="I120" s="30">
        <v>1418</v>
      </c>
      <c r="J120" s="31">
        <v>0</v>
      </c>
      <c r="K120" s="29">
        <v>0</v>
      </c>
      <c r="L120" s="30">
        <v>0</v>
      </c>
      <c r="M120" s="30">
        <v>9</v>
      </c>
      <c r="N120" s="30">
        <v>0</v>
      </c>
      <c r="O120" s="30">
        <v>1</v>
      </c>
      <c r="P120" s="30">
        <v>0</v>
      </c>
      <c r="Q120" s="30">
        <v>6</v>
      </c>
      <c r="R120" s="31">
        <v>45</v>
      </c>
      <c r="S120" s="32">
        <v>67</v>
      </c>
      <c r="T120" s="29">
        <v>67</v>
      </c>
      <c r="U120" s="30">
        <v>2</v>
      </c>
      <c r="V120" s="30">
        <v>4</v>
      </c>
      <c r="W120" s="30">
        <v>4</v>
      </c>
      <c r="X120" s="31">
        <v>57</v>
      </c>
      <c r="Y120" s="29">
        <v>1243</v>
      </c>
      <c r="Z120" s="31">
        <v>673</v>
      </c>
      <c r="AA120" s="29">
        <v>1164</v>
      </c>
      <c r="AB120" s="31">
        <v>616</v>
      </c>
      <c r="AC120" s="29">
        <v>1279</v>
      </c>
      <c r="AD120">
        <v>639</v>
      </c>
      <c r="AE120" s="29">
        <v>863</v>
      </c>
      <c r="AF120" s="30">
        <v>377</v>
      </c>
      <c r="AG120" s="31">
        <v>177</v>
      </c>
      <c r="AH120" s="136">
        <v>-6.3555913113435239E-2</v>
      </c>
      <c r="AI120" s="33">
        <v>2.8962188254223652E-2</v>
      </c>
      <c r="AJ120" s="33">
        <v>9.8797250859106525E-2</v>
      </c>
      <c r="AK120" s="33">
        <v>-8.469539375928678E-2</v>
      </c>
      <c r="AL120" s="33">
        <v>-5.0520059435364043E-2</v>
      </c>
      <c r="AM120" s="33">
        <v>3.7337662337662336E-2</v>
      </c>
      <c r="AN120" s="34">
        <v>0.90197461212976027</v>
      </c>
      <c r="AO120" s="33">
        <v>0.45063469675599438</v>
      </c>
      <c r="AP120" s="33">
        <v>0.26586741889985893</v>
      </c>
      <c r="AQ120" s="33">
        <v>0.12482369534555712</v>
      </c>
      <c r="AR120" s="35">
        <v>3.0758714969241284E-2</v>
      </c>
      <c r="AS120" s="251">
        <f t="shared" si="2"/>
        <v>4.7249647390691117E-2</v>
      </c>
      <c r="AT120" s="252">
        <f t="shared" si="3"/>
        <v>0</v>
      </c>
      <c r="AU120" s="29">
        <v>468</v>
      </c>
      <c r="AV120" s="30">
        <v>481</v>
      </c>
      <c r="AW120" s="31">
        <v>469</v>
      </c>
      <c r="AX120" s="136">
        <v>2.7777777777777776E-2</v>
      </c>
      <c r="AY120" s="33">
        <v>2.136752136752137E-3</v>
      </c>
      <c r="AZ120" s="35">
        <v>-2.4948024948024949E-2</v>
      </c>
      <c r="BA120" s="29">
        <v>38</v>
      </c>
      <c r="BB120" s="31">
        <v>34</v>
      </c>
      <c r="BC120" s="29">
        <v>4</v>
      </c>
      <c r="BD120" s="31">
        <v>3</v>
      </c>
      <c r="BE120" s="29">
        <v>863</v>
      </c>
      <c r="BF120" s="30">
        <v>1279</v>
      </c>
      <c r="BG120" s="33">
        <v>0.67474589523064898</v>
      </c>
      <c r="BH120" s="30">
        <v>302</v>
      </c>
      <c r="BI120" s="30">
        <v>469</v>
      </c>
      <c r="BJ120" s="35">
        <v>0.64392324093816633</v>
      </c>
    </row>
    <row r="121" spans="1:62" x14ac:dyDescent="0.25">
      <c r="E121" t="s">
        <v>148</v>
      </c>
      <c r="F121" s="32">
        <v>370</v>
      </c>
      <c r="G121" s="29">
        <v>313</v>
      </c>
      <c r="H121" s="30">
        <v>37</v>
      </c>
      <c r="I121" s="30">
        <v>350</v>
      </c>
      <c r="J121" s="31">
        <v>0</v>
      </c>
      <c r="K121" s="29">
        <v>0</v>
      </c>
      <c r="L121" s="30">
        <v>0</v>
      </c>
      <c r="M121" s="30">
        <v>1</v>
      </c>
      <c r="N121" s="30">
        <v>0</v>
      </c>
      <c r="O121" s="30">
        <v>0</v>
      </c>
      <c r="P121" s="30">
        <v>0</v>
      </c>
      <c r="Q121" s="30">
        <v>1</v>
      </c>
      <c r="R121" s="31">
        <v>9</v>
      </c>
      <c r="S121" s="32">
        <v>179</v>
      </c>
      <c r="T121" s="29">
        <v>81</v>
      </c>
      <c r="U121" s="30">
        <v>0</v>
      </c>
      <c r="V121" s="30">
        <v>1</v>
      </c>
      <c r="W121" s="30">
        <v>1</v>
      </c>
      <c r="X121" s="31">
        <v>79</v>
      </c>
      <c r="Y121" s="29">
        <v>1067</v>
      </c>
      <c r="Z121" s="31">
        <v>314</v>
      </c>
      <c r="AA121" s="29">
        <v>932</v>
      </c>
      <c r="AB121" s="31">
        <v>274</v>
      </c>
      <c r="AC121" s="29">
        <v>931</v>
      </c>
      <c r="AD121">
        <v>288</v>
      </c>
      <c r="AE121" s="29">
        <v>84</v>
      </c>
      <c r="AF121" s="30">
        <v>40</v>
      </c>
      <c r="AG121" s="31">
        <v>79</v>
      </c>
      <c r="AH121" s="136">
        <v>-0.12652296157450796</v>
      </c>
      <c r="AI121" s="33">
        <v>-0.12746016869728211</v>
      </c>
      <c r="AJ121" s="33">
        <v>-1.0729613733905579E-3</v>
      </c>
      <c r="AK121" s="33">
        <v>-0.12738853503184713</v>
      </c>
      <c r="AL121" s="33">
        <v>-8.2802547770700632E-2</v>
      </c>
      <c r="AM121" s="33">
        <v>5.1094890510948905E-2</v>
      </c>
      <c r="AN121" s="34">
        <v>2.9744408945686902</v>
      </c>
      <c r="AO121" s="33">
        <v>0.92012779552715651</v>
      </c>
      <c r="AP121" s="33">
        <v>0.12779552715654952</v>
      </c>
      <c r="AQ121" s="33">
        <v>0.25239616613418531</v>
      </c>
      <c r="AR121" s="35">
        <v>2.7950310559006212E-2</v>
      </c>
      <c r="AS121" s="251">
        <f t="shared" si="2"/>
        <v>0.5718849840255591</v>
      </c>
      <c r="AT121" s="252">
        <f t="shared" si="3"/>
        <v>0.31309904153354634</v>
      </c>
      <c r="AU121" s="29">
        <v>237</v>
      </c>
      <c r="AV121" s="30">
        <v>207</v>
      </c>
      <c r="AW121" s="31">
        <v>207</v>
      </c>
      <c r="AX121" s="136">
        <v>-0.12658227848101267</v>
      </c>
      <c r="AY121" s="33">
        <v>-0.12658227848101267</v>
      </c>
      <c r="AZ121" s="35">
        <v>0</v>
      </c>
      <c r="BA121" s="29">
        <v>56</v>
      </c>
      <c r="BB121" s="31">
        <v>44</v>
      </c>
      <c r="BC121" s="29">
        <v>13</v>
      </c>
      <c r="BD121" s="31">
        <v>7</v>
      </c>
      <c r="BE121" s="29">
        <v>500</v>
      </c>
      <c r="BF121" s="30">
        <v>931</v>
      </c>
      <c r="BG121" s="33">
        <v>0.53705692803437166</v>
      </c>
      <c r="BH121" s="30">
        <v>107</v>
      </c>
      <c r="BI121" s="30">
        <v>207</v>
      </c>
      <c r="BJ121" s="35">
        <v>0.51690821256038644</v>
      </c>
    </row>
    <row r="122" spans="1:62" x14ac:dyDescent="0.25">
      <c r="E122" t="s">
        <v>97</v>
      </c>
      <c r="F122" s="32">
        <v>165</v>
      </c>
      <c r="G122" s="29">
        <v>156</v>
      </c>
      <c r="H122" s="30">
        <v>0</v>
      </c>
      <c r="I122" s="30">
        <v>156</v>
      </c>
      <c r="J122" s="31">
        <v>0</v>
      </c>
      <c r="K122" s="29">
        <v>0</v>
      </c>
      <c r="L122" s="30">
        <v>0</v>
      </c>
      <c r="M122" s="30">
        <v>1</v>
      </c>
      <c r="N122" s="30">
        <v>0</v>
      </c>
      <c r="O122" s="30">
        <v>0</v>
      </c>
      <c r="P122" s="30">
        <v>0</v>
      </c>
      <c r="Q122" s="30">
        <v>1</v>
      </c>
      <c r="R122" s="31">
        <v>1</v>
      </c>
      <c r="S122" s="32">
        <v>5</v>
      </c>
      <c r="T122" s="29">
        <v>7</v>
      </c>
      <c r="U122" s="30">
        <v>0</v>
      </c>
      <c r="V122" s="30">
        <v>1</v>
      </c>
      <c r="W122" s="30">
        <v>0</v>
      </c>
      <c r="X122" s="31">
        <v>6</v>
      </c>
      <c r="Y122" s="29">
        <v>145</v>
      </c>
      <c r="Z122" s="31">
        <v>70</v>
      </c>
      <c r="AA122" s="29">
        <v>106</v>
      </c>
      <c r="AB122" s="31">
        <v>69</v>
      </c>
      <c r="AC122" s="29">
        <v>114</v>
      </c>
      <c r="AD122">
        <v>65</v>
      </c>
      <c r="AE122" s="29">
        <v>99</v>
      </c>
      <c r="AF122" s="30">
        <v>36</v>
      </c>
      <c r="AG122" s="31">
        <v>16</v>
      </c>
      <c r="AH122" s="136">
        <v>-0.26896551724137929</v>
      </c>
      <c r="AI122" s="33">
        <v>-0.21379310344827587</v>
      </c>
      <c r="AJ122" s="33">
        <v>7.5471698113207544E-2</v>
      </c>
      <c r="AK122" s="33">
        <v>-1.4285714285714285E-2</v>
      </c>
      <c r="AL122" s="33">
        <v>-7.1428571428571425E-2</v>
      </c>
      <c r="AM122" s="33">
        <v>-5.7971014492753624E-2</v>
      </c>
      <c r="AN122" s="34">
        <v>0.73076923076923073</v>
      </c>
      <c r="AO122" s="33">
        <v>0.41666666666666669</v>
      </c>
      <c r="AP122" s="33">
        <v>0.23076923076923078</v>
      </c>
      <c r="AQ122" s="33">
        <v>0.10256410256410256</v>
      </c>
      <c r="AR122" s="35">
        <v>6.369426751592357E-3</v>
      </c>
      <c r="AS122" s="251">
        <f t="shared" si="2"/>
        <v>3.2051282051282048E-2</v>
      </c>
      <c r="AT122" s="252">
        <f t="shared" si="3"/>
        <v>-1.282051282051282E-2</v>
      </c>
      <c r="AU122" s="29">
        <v>49</v>
      </c>
      <c r="AV122" s="30">
        <v>51</v>
      </c>
      <c r="AW122" s="31">
        <v>45</v>
      </c>
      <c r="AX122" s="136">
        <v>4.0816326530612242E-2</v>
      </c>
      <c r="AY122" s="33">
        <v>-8.1632653061224483E-2</v>
      </c>
      <c r="AZ122" s="35">
        <v>-0.11764705882352941</v>
      </c>
      <c r="BA122" s="29">
        <v>46</v>
      </c>
      <c r="BB122" s="31">
        <v>44</v>
      </c>
      <c r="BC122" s="29">
        <v>4</v>
      </c>
      <c r="BD122" s="31">
        <v>3</v>
      </c>
      <c r="BE122" s="29">
        <v>74</v>
      </c>
      <c r="BF122" s="30">
        <v>114</v>
      </c>
      <c r="BG122" s="33">
        <v>0.64912280701754388</v>
      </c>
      <c r="BH122" s="30">
        <v>31</v>
      </c>
      <c r="BI122" s="30">
        <v>45</v>
      </c>
      <c r="BJ122" s="35">
        <v>0.68888888888888888</v>
      </c>
    </row>
    <row r="123" spans="1:62" x14ac:dyDescent="0.25">
      <c r="A123" s="132"/>
      <c r="B123" s="132"/>
      <c r="C123" s="132" t="s">
        <v>179</v>
      </c>
      <c r="D123" s="132"/>
      <c r="E123" s="132"/>
      <c r="F123" s="18">
        <v>5562</v>
      </c>
      <c r="G123" s="15">
        <v>5232</v>
      </c>
      <c r="H123" s="16">
        <v>9</v>
      </c>
      <c r="I123" s="16">
        <v>5219</v>
      </c>
      <c r="J123" s="17">
        <v>22</v>
      </c>
      <c r="K123" s="15">
        <v>0</v>
      </c>
      <c r="L123" s="16">
        <v>2</v>
      </c>
      <c r="M123" s="16">
        <v>10</v>
      </c>
      <c r="N123" s="16">
        <v>1</v>
      </c>
      <c r="O123" s="16">
        <v>2</v>
      </c>
      <c r="P123" s="16">
        <v>0</v>
      </c>
      <c r="Q123" s="16">
        <v>17</v>
      </c>
      <c r="R123" s="17">
        <v>282</v>
      </c>
      <c r="S123" s="18">
        <v>290</v>
      </c>
      <c r="T123" s="15">
        <v>2959</v>
      </c>
      <c r="U123" s="16">
        <v>4</v>
      </c>
      <c r="V123" s="16">
        <v>9</v>
      </c>
      <c r="W123" s="16">
        <v>3</v>
      </c>
      <c r="X123" s="17">
        <v>2943</v>
      </c>
      <c r="Y123" s="15">
        <v>4643</v>
      </c>
      <c r="Z123" s="17">
        <v>2360</v>
      </c>
      <c r="AA123" s="15">
        <v>4608</v>
      </c>
      <c r="AB123" s="17">
        <v>2358</v>
      </c>
      <c r="AC123" s="15">
        <v>4982</v>
      </c>
      <c r="AD123" s="132">
        <v>2383</v>
      </c>
      <c r="AE123" s="15">
        <v>3171</v>
      </c>
      <c r="AF123" s="16">
        <v>1384</v>
      </c>
      <c r="AG123" s="17">
        <v>718</v>
      </c>
      <c r="AH123" s="133">
        <v>-7.5382295929356021E-3</v>
      </c>
      <c r="AI123" s="19">
        <v>7.3013138057290539E-2</v>
      </c>
      <c r="AJ123" s="19">
        <v>8.1163194444444448E-2</v>
      </c>
      <c r="AK123" s="19">
        <v>-8.4745762711864404E-4</v>
      </c>
      <c r="AL123" s="19">
        <v>9.7457627118644075E-3</v>
      </c>
      <c r="AM123" s="19">
        <v>1.0602205258693808E-2</v>
      </c>
      <c r="AN123" s="20">
        <v>0.952217125382263</v>
      </c>
      <c r="AO123" s="19">
        <v>0.45546636085626913</v>
      </c>
      <c r="AP123" s="19">
        <v>0.26452599388379205</v>
      </c>
      <c r="AQ123" s="19">
        <v>0.13723241590214066</v>
      </c>
      <c r="AR123" s="21">
        <v>5.1142546245919476E-2</v>
      </c>
      <c r="AS123" s="247">
        <f t="shared" si="2"/>
        <v>5.5428134556574922E-2</v>
      </c>
      <c r="AT123" s="248">
        <f t="shared" si="3"/>
        <v>-0.51012996941896027</v>
      </c>
      <c r="AU123" s="15">
        <v>1382</v>
      </c>
      <c r="AV123" s="16">
        <v>1371</v>
      </c>
      <c r="AW123" s="17">
        <v>1388</v>
      </c>
      <c r="AX123" s="133">
        <v>-7.9594790159189573E-3</v>
      </c>
      <c r="AY123" s="19">
        <v>4.3415340086830683E-3</v>
      </c>
      <c r="AZ123" s="21">
        <v>1.2399708242159009E-2</v>
      </c>
      <c r="BA123" s="15">
        <v>38</v>
      </c>
      <c r="BB123" s="17">
        <v>35</v>
      </c>
      <c r="BC123" s="15">
        <v>4</v>
      </c>
      <c r="BD123" s="17">
        <v>3</v>
      </c>
      <c r="BE123" s="15">
        <v>2944</v>
      </c>
      <c r="BF123" s="16">
        <v>4982</v>
      </c>
      <c r="BG123" s="19">
        <v>0.59092733841830591</v>
      </c>
      <c r="BH123" s="16">
        <v>865</v>
      </c>
      <c r="BI123" s="16">
        <v>1388</v>
      </c>
      <c r="BJ123" s="21">
        <v>0.62319884726224783</v>
      </c>
    </row>
    <row r="124" spans="1:62" x14ac:dyDescent="0.25">
      <c r="E124" t="s">
        <v>68</v>
      </c>
      <c r="F124" s="32">
        <v>5156</v>
      </c>
      <c r="G124" s="29">
        <v>4841</v>
      </c>
      <c r="H124" s="30">
        <v>0</v>
      </c>
      <c r="I124" s="30">
        <v>4819</v>
      </c>
      <c r="J124" s="31">
        <v>22</v>
      </c>
      <c r="K124" s="29">
        <v>0</v>
      </c>
      <c r="L124" s="30">
        <v>0</v>
      </c>
      <c r="M124" s="30">
        <v>9</v>
      </c>
      <c r="N124" s="30">
        <v>1</v>
      </c>
      <c r="O124" s="30">
        <v>2</v>
      </c>
      <c r="P124" s="30">
        <v>0</v>
      </c>
      <c r="Q124" s="30">
        <v>17</v>
      </c>
      <c r="R124" s="31">
        <v>279</v>
      </c>
      <c r="S124" s="32">
        <v>264</v>
      </c>
      <c r="T124" s="29">
        <v>2821</v>
      </c>
      <c r="U124" s="30">
        <v>2</v>
      </c>
      <c r="V124" s="30">
        <v>9</v>
      </c>
      <c r="W124" s="30">
        <v>2</v>
      </c>
      <c r="X124" s="31">
        <v>2808</v>
      </c>
      <c r="Y124" s="29">
        <v>4322</v>
      </c>
      <c r="Z124" s="31">
        <v>2222</v>
      </c>
      <c r="AA124" s="29">
        <v>4329</v>
      </c>
      <c r="AB124" s="31">
        <v>2201</v>
      </c>
      <c r="AC124" s="29">
        <v>4667</v>
      </c>
      <c r="AD124">
        <v>2219</v>
      </c>
      <c r="AE124" s="29">
        <v>2940</v>
      </c>
      <c r="AF124" s="30">
        <v>1269</v>
      </c>
      <c r="AG124" s="31">
        <v>705</v>
      </c>
      <c r="AH124" s="136">
        <v>1.6196205460434984E-3</v>
      </c>
      <c r="AI124" s="33">
        <v>7.9824155483572426E-2</v>
      </c>
      <c r="AJ124" s="33">
        <v>7.8078078078078081E-2</v>
      </c>
      <c r="AK124" s="33">
        <v>-9.4509450945094511E-3</v>
      </c>
      <c r="AL124" s="33">
        <v>-1.3501350135013501E-3</v>
      </c>
      <c r="AM124" s="33">
        <v>8.1781008632439804E-3</v>
      </c>
      <c r="AN124" s="34">
        <v>0.96405701301384017</v>
      </c>
      <c r="AO124" s="33">
        <v>0.45837636851890107</v>
      </c>
      <c r="AP124" s="33">
        <v>0.26213592233009708</v>
      </c>
      <c r="AQ124" s="33">
        <v>0.14563106796116504</v>
      </c>
      <c r="AR124" s="35">
        <v>5.4492187499999997E-2</v>
      </c>
      <c r="AS124" s="251">
        <f t="shared" si="2"/>
        <v>5.4534187151414996E-2</v>
      </c>
      <c r="AT124" s="252">
        <f t="shared" si="3"/>
        <v>-0.52819665358397028</v>
      </c>
      <c r="AU124" s="29">
        <v>1329</v>
      </c>
      <c r="AV124" s="30">
        <v>1321</v>
      </c>
      <c r="AW124" s="31">
        <v>1341</v>
      </c>
      <c r="AX124" s="136">
        <v>-6.0195635816403309E-3</v>
      </c>
      <c r="AY124" s="33">
        <v>9.0293453724604959E-3</v>
      </c>
      <c r="AZ124" s="35">
        <v>1.514004542013626E-2</v>
      </c>
      <c r="BA124" s="29">
        <v>37</v>
      </c>
      <c r="BB124" s="31">
        <v>35</v>
      </c>
      <c r="BC124" s="29">
        <v>4</v>
      </c>
      <c r="BD124" s="31">
        <v>3</v>
      </c>
      <c r="BE124" s="29">
        <v>2763</v>
      </c>
      <c r="BF124" s="30">
        <v>4667</v>
      </c>
      <c r="BG124" s="33">
        <v>0.59202914077565894</v>
      </c>
      <c r="BH124" s="30">
        <v>839</v>
      </c>
      <c r="BI124" s="30">
        <v>1341</v>
      </c>
      <c r="BJ124" s="35">
        <v>0.62565249813571966</v>
      </c>
    </row>
    <row r="125" spans="1:62" x14ac:dyDescent="0.25">
      <c r="E125" t="s">
        <v>148</v>
      </c>
      <c r="F125" s="32">
        <v>59</v>
      </c>
      <c r="G125" s="29">
        <v>47</v>
      </c>
      <c r="H125" s="30">
        <v>9</v>
      </c>
      <c r="I125" s="30">
        <v>56</v>
      </c>
      <c r="J125" s="31">
        <v>0</v>
      </c>
      <c r="K125" s="29">
        <v>0</v>
      </c>
      <c r="L125" s="30">
        <v>0</v>
      </c>
      <c r="M125" s="30">
        <v>1</v>
      </c>
      <c r="N125" s="30">
        <v>0</v>
      </c>
      <c r="O125" s="30">
        <v>0</v>
      </c>
      <c r="P125" s="30">
        <v>0</v>
      </c>
      <c r="Q125" s="30">
        <v>0</v>
      </c>
      <c r="R125" s="31">
        <v>2</v>
      </c>
      <c r="S125" s="32">
        <v>17</v>
      </c>
      <c r="T125" s="29">
        <v>26</v>
      </c>
      <c r="U125" s="30">
        <v>2</v>
      </c>
      <c r="V125" s="30">
        <v>0</v>
      </c>
      <c r="W125" s="30">
        <v>1</v>
      </c>
      <c r="X125" s="31">
        <v>23</v>
      </c>
      <c r="Y125" s="29">
        <v>105</v>
      </c>
      <c r="Z125" s="31">
        <v>30</v>
      </c>
      <c r="AA125" s="29">
        <v>83</v>
      </c>
      <c r="AB125" s="31">
        <v>31</v>
      </c>
      <c r="AC125" s="29">
        <v>76</v>
      </c>
      <c r="AD125">
        <v>27</v>
      </c>
      <c r="AE125" s="29">
        <v>24</v>
      </c>
      <c r="AF125" s="30">
        <v>17</v>
      </c>
      <c r="AG125" s="31">
        <v>5</v>
      </c>
      <c r="AH125" s="136">
        <v>-0.20952380952380953</v>
      </c>
      <c r="AI125" s="33">
        <v>-0.27619047619047621</v>
      </c>
      <c r="AJ125" s="33">
        <v>-8.4337349397590355E-2</v>
      </c>
      <c r="AK125" s="33">
        <v>3.3333333333333333E-2</v>
      </c>
      <c r="AL125" s="33">
        <v>-0.1</v>
      </c>
      <c r="AM125" s="33">
        <v>-0.12903225806451613</v>
      </c>
      <c r="AN125" s="34">
        <v>1.6170212765957446</v>
      </c>
      <c r="AO125" s="33">
        <v>0.57446808510638303</v>
      </c>
      <c r="AP125" s="33">
        <v>0.36170212765957449</v>
      </c>
      <c r="AQ125" s="33">
        <v>0.10638297872340426</v>
      </c>
      <c r="AR125" s="35">
        <v>4.0816326530612242E-2</v>
      </c>
      <c r="AS125" s="251">
        <f t="shared" si="2"/>
        <v>0.36170212765957449</v>
      </c>
      <c r="AT125" s="252">
        <f t="shared" si="3"/>
        <v>-0.19148936170212766</v>
      </c>
      <c r="AU125" s="29">
        <v>37</v>
      </c>
      <c r="AV125" s="30">
        <v>42</v>
      </c>
      <c r="AW125" s="31">
        <v>48</v>
      </c>
      <c r="AX125" s="136">
        <v>0.13513513513513514</v>
      </c>
      <c r="AY125" s="33">
        <v>0.29729729729729731</v>
      </c>
      <c r="AZ125" s="35">
        <v>0.14285714285714285</v>
      </c>
      <c r="BA125" s="29">
        <v>41</v>
      </c>
      <c r="BB125" s="31">
        <v>37</v>
      </c>
      <c r="BC125" s="29">
        <v>9.5</v>
      </c>
      <c r="BD125" s="31">
        <v>7.5</v>
      </c>
      <c r="BE125" s="29">
        <v>28</v>
      </c>
      <c r="BF125" s="30">
        <v>76</v>
      </c>
      <c r="BG125" s="33">
        <v>0.36842105263157893</v>
      </c>
      <c r="BH125" s="30">
        <v>23</v>
      </c>
      <c r="BI125" s="30">
        <v>48</v>
      </c>
      <c r="BJ125" s="35">
        <v>0.47916666666666669</v>
      </c>
    </row>
    <row r="126" spans="1:62" x14ac:dyDescent="0.25">
      <c r="E126" t="s">
        <v>97</v>
      </c>
      <c r="F126" s="32">
        <v>346</v>
      </c>
      <c r="G126" s="29">
        <v>343</v>
      </c>
      <c r="H126" s="30">
        <v>0</v>
      </c>
      <c r="I126" s="30">
        <v>343</v>
      </c>
      <c r="J126" s="31">
        <v>0</v>
      </c>
      <c r="K126" s="29">
        <v>0</v>
      </c>
      <c r="L126" s="30">
        <v>2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1">
        <v>1</v>
      </c>
      <c r="S126" s="32">
        <v>9</v>
      </c>
      <c r="T126" s="29">
        <v>112</v>
      </c>
      <c r="U126" s="30">
        <v>0</v>
      </c>
      <c r="V126" s="30">
        <v>0</v>
      </c>
      <c r="W126" s="30">
        <v>0</v>
      </c>
      <c r="X126" s="31">
        <v>112</v>
      </c>
      <c r="Y126" s="29">
        <v>216</v>
      </c>
      <c r="Z126" s="31">
        <v>108</v>
      </c>
      <c r="AA126" s="29">
        <v>195</v>
      </c>
      <c r="AB126" s="31">
        <v>125</v>
      </c>
      <c r="AC126" s="29">
        <v>239</v>
      </c>
      <c r="AD126">
        <v>137</v>
      </c>
      <c r="AE126" s="29">
        <v>206</v>
      </c>
      <c r="AF126" s="30">
        <v>98</v>
      </c>
      <c r="AG126" s="31">
        <v>8</v>
      </c>
      <c r="AH126" s="136">
        <v>-9.7222222222222224E-2</v>
      </c>
      <c r="AI126" s="33">
        <v>0.10648148148148148</v>
      </c>
      <c r="AJ126" s="33">
        <v>0.22564102564102564</v>
      </c>
      <c r="AK126" s="33">
        <v>0.15740740740740741</v>
      </c>
      <c r="AL126" s="33">
        <v>0.26851851851851855</v>
      </c>
      <c r="AM126" s="33">
        <v>9.6000000000000002E-2</v>
      </c>
      <c r="AN126" s="34">
        <v>0.69679300291545188</v>
      </c>
      <c r="AO126" s="33">
        <v>0.39941690962099125</v>
      </c>
      <c r="AP126" s="33">
        <v>0.2857142857142857</v>
      </c>
      <c r="AQ126" s="33">
        <v>2.3323615160349854E-2</v>
      </c>
      <c r="AR126" s="35">
        <v>2.9069767441860465E-3</v>
      </c>
      <c r="AS126" s="251">
        <f t="shared" si="2"/>
        <v>2.6239067055393587E-2</v>
      </c>
      <c r="AT126" s="252">
        <f t="shared" si="3"/>
        <v>-0.30029154518950435</v>
      </c>
      <c r="AU126" s="29">
        <v>90</v>
      </c>
      <c r="AV126" s="30">
        <v>77</v>
      </c>
      <c r="AW126" s="31">
        <v>61</v>
      </c>
      <c r="AX126" s="136">
        <v>-0.14444444444444443</v>
      </c>
      <c r="AY126" s="33">
        <v>-0.32222222222222224</v>
      </c>
      <c r="AZ126" s="35">
        <v>-0.20779220779220781</v>
      </c>
      <c r="BA126" s="29">
        <v>45</v>
      </c>
      <c r="BB126" s="31">
        <v>49</v>
      </c>
      <c r="BC126" s="29">
        <v>1</v>
      </c>
      <c r="BD126" s="31">
        <v>5</v>
      </c>
      <c r="BE126" s="29">
        <v>153</v>
      </c>
      <c r="BF126" s="30">
        <v>239</v>
      </c>
      <c r="BG126" s="33">
        <v>0.64016736401673635</v>
      </c>
      <c r="BH126" s="30">
        <v>36</v>
      </c>
      <c r="BI126" s="30">
        <v>61</v>
      </c>
      <c r="BJ126" s="35">
        <v>0.5901639344262295</v>
      </c>
    </row>
    <row r="127" spans="1:62" x14ac:dyDescent="0.25">
      <c r="A127" s="132"/>
      <c r="B127" s="132"/>
      <c r="C127" s="132" t="s">
        <v>180</v>
      </c>
      <c r="D127" s="132"/>
      <c r="E127" s="132"/>
      <c r="F127" s="18">
        <v>1885</v>
      </c>
      <c r="G127" s="15">
        <v>5</v>
      </c>
      <c r="H127" s="16">
        <v>1800</v>
      </c>
      <c r="I127" s="16">
        <v>1805</v>
      </c>
      <c r="J127" s="17">
        <v>0</v>
      </c>
      <c r="K127" s="15">
        <v>0</v>
      </c>
      <c r="L127" s="16">
        <v>23</v>
      </c>
      <c r="M127" s="16">
        <v>0</v>
      </c>
      <c r="N127" s="16">
        <v>0</v>
      </c>
      <c r="O127" s="16">
        <v>45</v>
      </c>
      <c r="P127" s="16">
        <v>0</v>
      </c>
      <c r="Q127" s="16">
        <v>6</v>
      </c>
      <c r="R127" s="17">
        <v>2</v>
      </c>
      <c r="S127" s="18">
        <v>56</v>
      </c>
      <c r="T127" s="15">
        <v>38</v>
      </c>
      <c r="U127" s="16">
        <v>0</v>
      </c>
      <c r="V127" s="16">
        <v>0</v>
      </c>
      <c r="W127" s="16">
        <v>0</v>
      </c>
      <c r="X127" s="17">
        <v>38</v>
      </c>
      <c r="Y127" s="15">
        <v>62</v>
      </c>
      <c r="Z127" s="17">
        <v>46</v>
      </c>
      <c r="AA127" s="15">
        <v>3</v>
      </c>
      <c r="AB127" s="17">
        <v>2</v>
      </c>
      <c r="AC127" s="15">
        <v>4</v>
      </c>
      <c r="AD127" s="132">
        <v>4</v>
      </c>
      <c r="AE127" s="15">
        <v>61</v>
      </c>
      <c r="AF127" s="16">
        <v>60</v>
      </c>
      <c r="AG127" s="17">
        <v>2</v>
      </c>
      <c r="AH127" s="133">
        <v>-0.95161290322580649</v>
      </c>
      <c r="AI127" s="19">
        <v>-0.93548387096774188</v>
      </c>
      <c r="AJ127" s="19">
        <v>0.33333333333333331</v>
      </c>
      <c r="AK127" s="19">
        <v>-0.95652173913043481</v>
      </c>
      <c r="AL127" s="19">
        <v>-0.91304347826086951</v>
      </c>
      <c r="AM127" s="19">
        <v>1</v>
      </c>
      <c r="AN127" s="20">
        <v>0.8</v>
      </c>
      <c r="AO127" s="19">
        <v>0.8</v>
      </c>
      <c r="AP127" s="19">
        <v>12</v>
      </c>
      <c r="AQ127" s="19">
        <v>0.4</v>
      </c>
      <c r="AR127" s="21">
        <v>0.2857142857142857</v>
      </c>
      <c r="AS127" s="247">
        <f t="shared" si="2"/>
        <v>11.2</v>
      </c>
      <c r="AT127" s="248">
        <f t="shared" si="3"/>
        <v>3.6</v>
      </c>
      <c r="AU127" s="15">
        <v>55</v>
      </c>
      <c r="AV127" s="16">
        <v>3</v>
      </c>
      <c r="AW127" s="17">
        <v>4</v>
      </c>
      <c r="AX127" s="133">
        <v>-0.94545454545454544</v>
      </c>
      <c r="AY127" s="19">
        <v>-0.92727272727272725</v>
      </c>
      <c r="AZ127" s="21">
        <v>0.33333333333333331</v>
      </c>
      <c r="BA127" s="15">
        <v>31.5</v>
      </c>
      <c r="BB127" s="17">
        <v>31.5</v>
      </c>
      <c r="BC127" s="15">
        <v>2</v>
      </c>
      <c r="BD127" s="17">
        <v>2</v>
      </c>
      <c r="BE127" s="15">
        <v>3</v>
      </c>
      <c r="BF127" s="16">
        <v>4</v>
      </c>
      <c r="BG127" s="19">
        <v>0.75</v>
      </c>
      <c r="BH127" s="16">
        <v>3</v>
      </c>
      <c r="BI127" s="16">
        <v>4</v>
      </c>
      <c r="BJ127" s="21">
        <v>0.75</v>
      </c>
    </row>
    <row r="128" spans="1:62" x14ac:dyDescent="0.25">
      <c r="E128" t="s">
        <v>68</v>
      </c>
      <c r="F128" s="32">
        <v>1879</v>
      </c>
      <c r="G128" s="29">
        <v>5</v>
      </c>
      <c r="H128" s="30">
        <v>1794</v>
      </c>
      <c r="I128" s="30">
        <v>1799</v>
      </c>
      <c r="J128" s="31">
        <v>0</v>
      </c>
      <c r="K128" s="29">
        <v>0</v>
      </c>
      <c r="L128" s="30">
        <v>23</v>
      </c>
      <c r="M128" s="30">
        <v>0</v>
      </c>
      <c r="N128" s="30">
        <v>0</v>
      </c>
      <c r="O128" s="30">
        <v>45</v>
      </c>
      <c r="P128" s="30">
        <v>0</v>
      </c>
      <c r="Q128" s="30">
        <v>6</v>
      </c>
      <c r="R128" s="31">
        <v>2</v>
      </c>
      <c r="S128" s="32">
        <v>56</v>
      </c>
      <c r="T128" s="29">
        <v>38</v>
      </c>
      <c r="U128" s="30">
        <v>0</v>
      </c>
      <c r="V128" s="30">
        <v>0</v>
      </c>
      <c r="W128" s="30">
        <v>0</v>
      </c>
      <c r="X128" s="31">
        <v>38</v>
      </c>
      <c r="Y128" s="29">
        <v>62</v>
      </c>
      <c r="Z128" s="31">
        <v>46</v>
      </c>
      <c r="AA128" s="29">
        <v>3</v>
      </c>
      <c r="AB128" s="31">
        <v>2</v>
      </c>
      <c r="AC128" s="29">
        <v>3</v>
      </c>
      <c r="AD128">
        <v>4</v>
      </c>
      <c r="AE128" s="29">
        <v>61</v>
      </c>
      <c r="AF128" s="30">
        <v>60</v>
      </c>
      <c r="AG128" s="31">
        <v>2</v>
      </c>
      <c r="AH128" s="136">
        <v>-0.95161290322580649</v>
      </c>
      <c r="AI128" s="33">
        <v>-0.95161290322580649</v>
      </c>
      <c r="AJ128" s="33">
        <v>0</v>
      </c>
      <c r="AK128" s="33">
        <v>-0.95652173913043481</v>
      </c>
      <c r="AL128" s="33">
        <v>-0.91304347826086951</v>
      </c>
      <c r="AM128" s="33">
        <v>1</v>
      </c>
      <c r="AN128" s="34">
        <v>0.6</v>
      </c>
      <c r="AO128" s="33">
        <v>0.8</v>
      </c>
      <c r="AP128" s="33">
        <v>12</v>
      </c>
      <c r="AQ128" s="33">
        <v>0.4</v>
      </c>
      <c r="AR128" s="35">
        <v>0.2857142857142857</v>
      </c>
      <c r="AS128" s="251">
        <f t="shared" si="2"/>
        <v>11.2</v>
      </c>
      <c r="AT128" s="252">
        <f t="shared" si="3"/>
        <v>3.6</v>
      </c>
      <c r="AU128" s="29">
        <v>55</v>
      </c>
      <c r="AV128" s="30">
        <v>3</v>
      </c>
      <c r="AW128" s="31">
        <v>3</v>
      </c>
      <c r="AX128" s="136">
        <v>-0.94545454545454544</v>
      </c>
      <c r="AY128" s="33">
        <v>-0.94545454545454544</v>
      </c>
      <c r="AZ128" s="35">
        <v>0</v>
      </c>
      <c r="BA128" s="29">
        <v>21</v>
      </c>
      <c r="BB128" s="31">
        <v>21</v>
      </c>
      <c r="BC128" s="29">
        <v>1</v>
      </c>
      <c r="BD128" s="31">
        <v>1</v>
      </c>
      <c r="BE128" s="29">
        <v>2</v>
      </c>
      <c r="BF128" s="30">
        <v>3</v>
      </c>
      <c r="BG128" s="33">
        <v>0.66666666666666663</v>
      </c>
      <c r="BH128" s="30">
        <v>2</v>
      </c>
      <c r="BI128" s="30">
        <v>3</v>
      </c>
      <c r="BJ128" s="35">
        <v>0.66666666666666663</v>
      </c>
    </row>
    <row r="129" spans="1:62" x14ac:dyDescent="0.25">
      <c r="E129" t="s">
        <v>181</v>
      </c>
      <c r="F129" s="32">
        <v>126</v>
      </c>
      <c r="G129" s="29">
        <v>5</v>
      </c>
      <c r="H129" s="30">
        <v>121</v>
      </c>
      <c r="I129" s="30">
        <v>0</v>
      </c>
      <c r="J129" s="31">
        <v>126</v>
      </c>
      <c r="K129" s="29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1">
        <v>0</v>
      </c>
      <c r="S129" s="32">
        <v>0</v>
      </c>
      <c r="T129" s="29"/>
      <c r="U129" s="30"/>
      <c r="V129" s="30"/>
      <c r="W129" s="30"/>
      <c r="X129" s="31"/>
      <c r="Y129" s="29">
        <v>0</v>
      </c>
      <c r="Z129" s="31">
        <v>0</v>
      </c>
      <c r="AA129" s="29">
        <v>1</v>
      </c>
      <c r="AB129" s="31">
        <v>1</v>
      </c>
      <c r="AC129" s="29">
        <v>0</v>
      </c>
      <c r="AD129">
        <v>3</v>
      </c>
      <c r="AE129" s="29">
        <v>5</v>
      </c>
      <c r="AF129" s="30">
        <v>4</v>
      </c>
      <c r="AG129" s="31">
        <v>0</v>
      </c>
      <c r="AH129" s="136"/>
      <c r="AI129" s="33"/>
      <c r="AJ129" s="33">
        <v>-1</v>
      </c>
      <c r="AK129" s="33"/>
      <c r="AL129" s="33"/>
      <c r="AM129" s="33">
        <v>2</v>
      </c>
      <c r="AN129" s="34">
        <v>0</v>
      </c>
      <c r="AO129" s="33">
        <v>0.6</v>
      </c>
      <c r="AP129" s="33">
        <v>0.8</v>
      </c>
      <c r="AQ129" s="33">
        <v>0</v>
      </c>
      <c r="AR129" s="35">
        <v>0</v>
      </c>
      <c r="AS129" s="251">
        <f t="shared" si="2"/>
        <v>0</v>
      </c>
      <c r="AT129" s="252">
        <f t="shared" si="3"/>
        <v>0</v>
      </c>
      <c r="AU129" s="29">
        <v>0</v>
      </c>
      <c r="AV129" s="30">
        <v>0</v>
      </c>
      <c r="AW129" s="31">
        <v>0</v>
      </c>
      <c r="AX129" s="136"/>
      <c r="AY129" s="33"/>
      <c r="AZ129" s="35"/>
      <c r="BA129" s="29"/>
      <c r="BB129" s="31"/>
      <c r="BC129" s="29"/>
      <c r="BD129" s="31"/>
      <c r="BE129" s="29">
        <v>0</v>
      </c>
      <c r="BF129" s="30">
        <v>0</v>
      </c>
      <c r="BG129" s="33"/>
      <c r="BH129" s="30">
        <v>0</v>
      </c>
      <c r="BI129" s="30">
        <v>0</v>
      </c>
      <c r="BJ129" s="35"/>
    </row>
    <row r="130" spans="1:62" x14ac:dyDescent="0.25">
      <c r="A130" s="130"/>
      <c r="B130" s="130" t="s">
        <v>182</v>
      </c>
      <c r="C130" s="130"/>
      <c r="D130" s="130"/>
      <c r="E130" s="130"/>
      <c r="F130" s="11">
        <v>27857</v>
      </c>
      <c r="G130" s="8">
        <v>27675</v>
      </c>
      <c r="H130" s="9">
        <v>3</v>
      </c>
      <c r="I130" s="9">
        <v>11</v>
      </c>
      <c r="J130" s="10">
        <v>27667</v>
      </c>
      <c r="K130" s="8">
        <v>0</v>
      </c>
      <c r="L130" s="9">
        <v>0</v>
      </c>
      <c r="M130" s="9">
        <v>11</v>
      </c>
      <c r="N130" s="9">
        <v>36</v>
      </c>
      <c r="O130" s="9">
        <v>78</v>
      </c>
      <c r="P130" s="9">
        <v>0</v>
      </c>
      <c r="Q130" s="9">
        <v>13</v>
      </c>
      <c r="R130" s="10">
        <v>41</v>
      </c>
      <c r="S130" s="11">
        <v>3</v>
      </c>
      <c r="T130" s="8">
        <v>16</v>
      </c>
      <c r="U130" s="9">
        <v>1</v>
      </c>
      <c r="V130" s="9">
        <v>11</v>
      </c>
      <c r="W130" s="9">
        <v>2</v>
      </c>
      <c r="X130" s="10">
        <v>2</v>
      </c>
      <c r="Y130" s="8">
        <v>877</v>
      </c>
      <c r="Z130" s="10">
        <v>724</v>
      </c>
      <c r="AA130" s="8">
        <v>910</v>
      </c>
      <c r="AB130" s="10">
        <v>715</v>
      </c>
      <c r="AC130" s="8">
        <v>848</v>
      </c>
      <c r="AD130" s="130">
        <v>667</v>
      </c>
      <c r="AE130" s="8">
        <v>27180</v>
      </c>
      <c r="AF130" s="9">
        <v>26005</v>
      </c>
      <c r="AG130" s="10">
        <v>102</v>
      </c>
      <c r="AH130" s="131">
        <v>3.7628278221208664E-2</v>
      </c>
      <c r="AI130" s="12">
        <v>-3.3067274800456098E-2</v>
      </c>
      <c r="AJ130" s="12">
        <v>-6.8131868131868126E-2</v>
      </c>
      <c r="AK130" s="12">
        <v>-1.2430939226519336E-2</v>
      </c>
      <c r="AL130" s="12">
        <v>-7.8729281767955794E-2</v>
      </c>
      <c r="AM130" s="12">
        <v>-6.7132867132867133E-2</v>
      </c>
      <c r="AN130" s="13">
        <v>3.0641373080397469E-2</v>
      </c>
      <c r="AO130" s="12">
        <v>2.4101174345076783E-2</v>
      </c>
      <c r="AP130" s="12">
        <v>0.93965672990063231</v>
      </c>
      <c r="AQ130" s="12">
        <v>3.6856368563685637E-3</v>
      </c>
      <c r="AR130" s="14">
        <v>1.4792899408284023E-3</v>
      </c>
      <c r="AS130" s="245">
        <f t="shared" si="2"/>
        <v>1.0840108401084011E-4</v>
      </c>
      <c r="AT130" s="246">
        <f t="shared" si="3"/>
        <v>-4.6973803071364049E-4</v>
      </c>
      <c r="AU130" s="8">
        <v>454</v>
      </c>
      <c r="AV130" s="9">
        <v>461</v>
      </c>
      <c r="AW130" s="10">
        <v>419</v>
      </c>
      <c r="AX130" s="131">
        <v>1.5418502202643172E-2</v>
      </c>
      <c r="AY130" s="12">
        <v>-7.7092511013215861E-2</v>
      </c>
      <c r="AZ130" s="14">
        <v>-9.1106290672451198E-2</v>
      </c>
      <c r="BA130" s="8">
        <v>42</v>
      </c>
      <c r="BB130" s="10">
        <v>37</v>
      </c>
      <c r="BC130" s="8">
        <v>7</v>
      </c>
      <c r="BD130" s="10">
        <v>4</v>
      </c>
      <c r="BE130" s="8">
        <v>449</v>
      </c>
      <c r="BF130" s="9">
        <v>848</v>
      </c>
      <c r="BG130" s="12">
        <v>0.52948113207547165</v>
      </c>
      <c r="BH130" s="9">
        <v>247</v>
      </c>
      <c r="BI130" s="9">
        <v>419</v>
      </c>
      <c r="BJ130" s="14">
        <v>0.58949880668257759</v>
      </c>
    </row>
    <row r="131" spans="1:62" x14ac:dyDescent="0.25">
      <c r="E131" t="s">
        <v>68</v>
      </c>
      <c r="F131" s="32">
        <v>27857</v>
      </c>
      <c r="G131" s="29">
        <v>27675</v>
      </c>
      <c r="H131" s="30">
        <v>3</v>
      </c>
      <c r="I131" s="30">
        <v>11</v>
      </c>
      <c r="J131" s="31">
        <v>27667</v>
      </c>
      <c r="K131" s="29">
        <v>0</v>
      </c>
      <c r="L131" s="30">
        <v>0</v>
      </c>
      <c r="M131" s="30">
        <v>11</v>
      </c>
      <c r="N131" s="30">
        <v>36</v>
      </c>
      <c r="O131" s="30">
        <v>78</v>
      </c>
      <c r="P131" s="30">
        <v>0</v>
      </c>
      <c r="Q131" s="30">
        <v>13</v>
      </c>
      <c r="R131" s="31">
        <v>41</v>
      </c>
      <c r="S131" s="32">
        <v>3</v>
      </c>
      <c r="T131" s="29">
        <v>16</v>
      </c>
      <c r="U131" s="30">
        <v>1</v>
      </c>
      <c r="V131" s="30">
        <v>11</v>
      </c>
      <c r="W131" s="30">
        <v>2</v>
      </c>
      <c r="X131" s="31">
        <v>2</v>
      </c>
      <c r="Y131" s="29">
        <v>877</v>
      </c>
      <c r="Z131" s="31">
        <v>724</v>
      </c>
      <c r="AA131" s="29">
        <v>910</v>
      </c>
      <c r="AB131" s="31">
        <v>715</v>
      </c>
      <c r="AC131" s="29">
        <v>848</v>
      </c>
      <c r="AD131">
        <v>667</v>
      </c>
      <c r="AE131" s="29">
        <v>27180</v>
      </c>
      <c r="AF131" s="30">
        <v>26005</v>
      </c>
      <c r="AG131" s="31">
        <v>102</v>
      </c>
      <c r="AH131" s="136">
        <v>3.7628278221208664E-2</v>
      </c>
      <c r="AI131" s="33">
        <v>-3.3067274800456098E-2</v>
      </c>
      <c r="AJ131" s="33">
        <v>-6.8131868131868126E-2</v>
      </c>
      <c r="AK131" s="33">
        <v>-1.2430939226519336E-2</v>
      </c>
      <c r="AL131" s="33">
        <v>-7.8729281767955794E-2</v>
      </c>
      <c r="AM131" s="33">
        <v>-6.7132867132867133E-2</v>
      </c>
      <c r="AN131" s="34">
        <v>3.0641373080397469E-2</v>
      </c>
      <c r="AO131" s="33">
        <v>2.4101174345076783E-2</v>
      </c>
      <c r="AP131" s="33">
        <v>0.93965672990063231</v>
      </c>
      <c r="AQ131" s="33">
        <v>3.6856368563685637E-3</v>
      </c>
      <c r="AR131" s="35">
        <v>1.4792899408284023E-3</v>
      </c>
      <c r="AS131" s="251">
        <f t="shared" si="2"/>
        <v>1.0840108401084011E-4</v>
      </c>
      <c r="AT131" s="252">
        <f t="shared" si="3"/>
        <v>-4.6973803071364049E-4</v>
      </c>
      <c r="AU131" s="29">
        <v>454</v>
      </c>
      <c r="AV131" s="30">
        <v>461</v>
      </c>
      <c r="AW131" s="31">
        <v>419</v>
      </c>
      <c r="AX131" s="136">
        <v>1.5418502202643172E-2</v>
      </c>
      <c r="AY131" s="33">
        <v>-7.7092511013215861E-2</v>
      </c>
      <c r="AZ131" s="35">
        <v>-9.1106290672451198E-2</v>
      </c>
      <c r="BA131" s="29">
        <v>42</v>
      </c>
      <c r="BB131" s="31">
        <v>37</v>
      </c>
      <c r="BC131" s="29">
        <v>7</v>
      </c>
      <c r="BD131" s="31">
        <v>4</v>
      </c>
      <c r="BE131" s="29">
        <v>449</v>
      </c>
      <c r="BF131" s="30">
        <v>848</v>
      </c>
      <c r="BG131" s="33">
        <v>0.52948113207547165</v>
      </c>
      <c r="BH131" s="30">
        <v>247</v>
      </c>
      <c r="BI131" s="30">
        <v>419</v>
      </c>
      <c r="BJ131" s="35">
        <v>0.58949880668257759</v>
      </c>
    </row>
    <row r="132" spans="1:62" x14ac:dyDescent="0.25">
      <c r="A132" s="130"/>
      <c r="B132" s="130" t="s">
        <v>125</v>
      </c>
      <c r="C132" s="130"/>
      <c r="D132" s="130"/>
      <c r="E132" s="130"/>
      <c r="F132" s="11">
        <v>33802</v>
      </c>
      <c r="G132" s="8">
        <v>31115</v>
      </c>
      <c r="H132" s="9">
        <v>19</v>
      </c>
      <c r="I132" s="9">
        <v>31127</v>
      </c>
      <c r="J132" s="10">
        <v>7</v>
      </c>
      <c r="K132" s="8">
        <v>77</v>
      </c>
      <c r="L132" s="9">
        <v>234</v>
      </c>
      <c r="M132" s="9">
        <v>987</v>
      </c>
      <c r="N132" s="9">
        <v>66</v>
      </c>
      <c r="O132" s="9">
        <v>158</v>
      </c>
      <c r="P132" s="9">
        <v>0</v>
      </c>
      <c r="Q132" s="9">
        <v>249</v>
      </c>
      <c r="R132" s="10">
        <v>662</v>
      </c>
      <c r="S132" s="11">
        <v>1765</v>
      </c>
      <c r="T132" s="8">
        <v>4401</v>
      </c>
      <c r="U132" s="9">
        <v>16</v>
      </c>
      <c r="V132" s="9">
        <v>229</v>
      </c>
      <c r="W132" s="9">
        <v>871</v>
      </c>
      <c r="X132" s="10">
        <v>3285</v>
      </c>
      <c r="Y132" s="8">
        <v>49242</v>
      </c>
      <c r="Z132" s="10">
        <v>18622</v>
      </c>
      <c r="AA132" s="8">
        <v>51340</v>
      </c>
      <c r="AB132" s="10">
        <v>18029</v>
      </c>
      <c r="AC132" s="8">
        <v>52023</v>
      </c>
      <c r="AD132" s="130">
        <v>18163</v>
      </c>
      <c r="AE132" s="8">
        <v>15829</v>
      </c>
      <c r="AF132" s="9">
        <v>6152</v>
      </c>
      <c r="AG132" s="10">
        <v>4276</v>
      </c>
      <c r="AH132" s="131">
        <v>4.2605905527801469E-2</v>
      </c>
      <c r="AI132" s="12">
        <v>5.6476178871694892E-2</v>
      </c>
      <c r="AJ132" s="12">
        <v>1.3303467082197117E-2</v>
      </c>
      <c r="AK132" s="12">
        <v>-3.1844055418322414E-2</v>
      </c>
      <c r="AL132" s="12">
        <v>-2.4648265492428309E-2</v>
      </c>
      <c r="AM132" s="12">
        <v>7.4324699095901052E-3</v>
      </c>
      <c r="AN132" s="13">
        <v>1.6719588622850714</v>
      </c>
      <c r="AO132" s="12">
        <v>0.58373774706733084</v>
      </c>
      <c r="AP132" s="12">
        <v>0.19771814237506027</v>
      </c>
      <c r="AQ132" s="12">
        <v>0.13742567893299051</v>
      </c>
      <c r="AR132" s="14">
        <v>2.0832677722881329E-2</v>
      </c>
      <c r="AS132" s="245">
        <f t="shared" si="2"/>
        <v>5.6725052225614657E-2</v>
      </c>
      <c r="AT132" s="246">
        <f t="shared" si="3"/>
        <v>-8.4717981680861323E-2</v>
      </c>
      <c r="AU132" s="8">
        <v>4228</v>
      </c>
      <c r="AV132" s="9">
        <v>4338</v>
      </c>
      <c r="AW132" s="10">
        <v>4265</v>
      </c>
      <c r="AX132" s="131">
        <v>2.6017029328287606E-2</v>
      </c>
      <c r="AY132" s="12">
        <v>8.7511825922421942E-3</v>
      </c>
      <c r="AZ132" s="14">
        <v>-1.6828031350852927E-2</v>
      </c>
      <c r="BA132" s="8">
        <v>55</v>
      </c>
      <c r="BB132" s="10">
        <v>37</v>
      </c>
      <c r="BC132" s="8">
        <v>7</v>
      </c>
      <c r="BD132" s="10">
        <v>3</v>
      </c>
      <c r="BE132" s="8">
        <v>29001</v>
      </c>
      <c r="BF132" s="9">
        <v>52023</v>
      </c>
      <c r="BG132" s="12">
        <v>0.55746496741825735</v>
      </c>
      <c r="BH132" s="9">
        <v>2581</v>
      </c>
      <c r="BI132" s="9">
        <v>4265</v>
      </c>
      <c r="BJ132" s="14">
        <v>0.60515826494724501</v>
      </c>
    </row>
    <row r="133" spans="1:62" x14ac:dyDescent="0.25">
      <c r="A133" s="132"/>
      <c r="B133" s="132"/>
      <c r="C133" s="132" t="s">
        <v>183</v>
      </c>
      <c r="D133" s="132"/>
      <c r="E133" s="132"/>
      <c r="F133" s="18">
        <v>1448</v>
      </c>
      <c r="G133" s="15">
        <v>1427</v>
      </c>
      <c r="H133" s="16">
        <v>0</v>
      </c>
      <c r="I133" s="16">
        <v>1427</v>
      </c>
      <c r="J133" s="17">
        <v>0</v>
      </c>
      <c r="K133" s="15">
        <v>0</v>
      </c>
      <c r="L133" s="16">
        <v>1</v>
      </c>
      <c r="M133" s="16">
        <v>4</v>
      </c>
      <c r="N133" s="16">
        <v>1</v>
      </c>
      <c r="O133" s="16">
        <v>1</v>
      </c>
      <c r="P133" s="16">
        <v>0</v>
      </c>
      <c r="Q133" s="16">
        <v>1</v>
      </c>
      <c r="R133" s="17">
        <v>13</v>
      </c>
      <c r="S133" s="18">
        <v>18</v>
      </c>
      <c r="T133" s="15">
        <v>47</v>
      </c>
      <c r="U133" s="16">
        <v>0</v>
      </c>
      <c r="V133" s="16">
        <v>1</v>
      </c>
      <c r="W133" s="16">
        <v>3</v>
      </c>
      <c r="X133" s="17">
        <v>43</v>
      </c>
      <c r="Y133" s="15">
        <v>821</v>
      </c>
      <c r="Z133" s="17">
        <v>480</v>
      </c>
      <c r="AA133" s="15">
        <v>947</v>
      </c>
      <c r="AB133" s="17">
        <v>506</v>
      </c>
      <c r="AC133" s="15">
        <v>832</v>
      </c>
      <c r="AD133" s="132">
        <v>445</v>
      </c>
      <c r="AE133" s="15">
        <v>998</v>
      </c>
      <c r="AF133" s="16">
        <v>548</v>
      </c>
      <c r="AG133" s="17">
        <v>83</v>
      </c>
      <c r="AH133" s="133">
        <v>0.15347137637028013</v>
      </c>
      <c r="AI133" s="19">
        <v>1.3398294762484775E-2</v>
      </c>
      <c r="AJ133" s="19">
        <v>-0.12143611404435058</v>
      </c>
      <c r="AK133" s="19">
        <v>5.4166666666666669E-2</v>
      </c>
      <c r="AL133" s="19">
        <v>-7.2916666666666671E-2</v>
      </c>
      <c r="AM133" s="19">
        <v>-0.12055335968379446</v>
      </c>
      <c r="AN133" s="20">
        <v>0.58304134548002806</v>
      </c>
      <c r="AO133" s="19">
        <v>0.31184302733006308</v>
      </c>
      <c r="AP133" s="19">
        <v>0.38402242466713382</v>
      </c>
      <c r="AQ133" s="19">
        <v>5.8163980378416261E-2</v>
      </c>
      <c r="AR133" s="21">
        <v>9.0277777777777769E-3</v>
      </c>
      <c r="AS133" s="247">
        <f t="shared" ref="AS133:AS183" si="4">S133/G133</f>
        <v>1.2613875262789068E-2</v>
      </c>
      <c r="AT133" s="248">
        <f t="shared" ref="AT133:AT183" si="5">(S133-T133)/G133</f>
        <v>-2.0322354590049056E-2</v>
      </c>
      <c r="AU133" s="15">
        <v>413</v>
      </c>
      <c r="AV133" s="16">
        <v>478</v>
      </c>
      <c r="AW133" s="17">
        <v>469</v>
      </c>
      <c r="AX133" s="133">
        <v>0.15738498789346247</v>
      </c>
      <c r="AY133" s="19">
        <v>0.13559322033898305</v>
      </c>
      <c r="AZ133" s="21">
        <v>-1.8828451882845189E-2</v>
      </c>
      <c r="BA133" s="15">
        <v>47</v>
      </c>
      <c r="BB133" s="17">
        <v>42</v>
      </c>
      <c r="BC133" s="15">
        <v>5</v>
      </c>
      <c r="BD133" s="17">
        <v>4</v>
      </c>
      <c r="BE133" s="15">
        <v>483</v>
      </c>
      <c r="BF133" s="16">
        <v>832</v>
      </c>
      <c r="BG133" s="19">
        <v>0.58052884615384615</v>
      </c>
      <c r="BH133" s="16">
        <v>265</v>
      </c>
      <c r="BI133" s="16">
        <v>469</v>
      </c>
      <c r="BJ133" s="21">
        <v>0.56503198294243073</v>
      </c>
    </row>
    <row r="134" spans="1:62" x14ac:dyDescent="0.25">
      <c r="A134" s="134"/>
      <c r="B134" s="134"/>
      <c r="C134" s="134"/>
      <c r="D134" s="134" t="s">
        <v>184</v>
      </c>
      <c r="E134" s="134"/>
      <c r="F134" s="25">
        <v>182</v>
      </c>
      <c r="G134" s="22">
        <v>178</v>
      </c>
      <c r="H134" s="23">
        <v>0</v>
      </c>
      <c r="I134" s="23">
        <v>178</v>
      </c>
      <c r="J134" s="24">
        <v>0</v>
      </c>
      <c r="K134" s="22">
        <v>0</v>
      </c>
      <c r="L134" s="23">
        <v>0</v>
      </c>
      <c r="M134" s="23">
        <v>1</v>
      </c>
      <c r="N134" s="23">
        <v>0</v>
      </c>
      <c r="O134" s="23">
        <v>0</v>
      </c>
      <c r="P134" s="23">
        <v>0</v>
      </c>
      <c r="Q134" s="23">
        <v>1</v>
      </c>
      <c r="R134" s="24">
        <v>2</v>
      </c>
      <c r="S134" s="25">
        <v>2</v>
      </c>
      <c r="T134" s="22">
        <v>45</v>
      </c>
      <c r="U134" s="23">
        <v>0</v>
      </c>
      <c r="V134" s="23">
        <v>1</v>
      </c>
      <c r="W134" s="23">
        <v>1</v>
      </c>
      <c r="X134" s="24">
        <v>43</v>
      </c>
      <c r="Y134" s="22">
        <v>216</v>
      </c>
      <c r="Z134" s="24">
        <v>117</v>
      </c>
      <c r="AA134" s="22">
        <v>205</v>
      </c>
      <c r="AB134" s="24">
        <v>113</v>
      </c>
      <c r="AC134" s="22">
        <v>197</v>
      </c>
      <c r="AD134" s="134">
        <v>93</v>
      </c>
      <c r="AE134" s="22">
        <v>89</v>
      </c>
      <c r="AF134" s="23">
        <v>12</v>
      </c>
      <c r="AG134" s="24">
        <v>30</v>
      </c>
      <c r="AH134" s="135">
        <v>-5.0925925925925923E-2</v>
      </c>
      <c r="AI134" s="26">
        <v>-8.7962962962962965E-2</v>
      </c>
      <c r="AJ134" s="26">
        <v>-3.9024390243902439E-2</v>
      </c>
      <c r="AK134" s="26">
        <v>-3.4188034188034191E-2</v>
      </c>
      <c r="AL134" s="26">
        <v>-0.20512820512820512</v>
      </c>
      <c r="AM134" s="26">
        <v>-0.17699115044247787</v>
      </c>
      <c r="AN134" s="27">
        <v>1.1067415730337078</v>
      </c>
      <c r="AO134" s="26">
        <v>0.52247191011235961</v>
      </c>
      <c r="AP134" s="26">
        <v>6.741573033707865E-2</v>
      </c>
      <c r="AQ134" s="26">
        <v>0.16853932584269662</v>
      </c>
      <c r="AR134" s="28">
        <v>1.1111111111111112E-2</v>
      </c>
      <c r="AS134" s="249">
        <f t="shared" si="4"/>
        <v>1.1235955056179775E-2</v>
      </c>
      <c r="AT134" s="250">
        <f t="shared" si="5"/>
        <v>-0.24157303370786518</v>
      </c>
      <c r="AU134" s="22">
        <v>110</v>
      </c>
      <c r="AV134" s="23">
        <v>124</v>
      </c>
      <c r="AW134" s="24">
        <v>122</v>
      </c>
      <c r="AX134" s="135">
        <v>0.12727272727272726</v>
      </c>
      <c r="AY134" s="26">
        <v>0.10909090909090909</v>
      </c>
      <c r="AZ134" s="28">
        <v>-1.6129032258064516E-2</v>
      </c>
      <c r="BA134" s="22">
        <v>30.5</v>
      </c>
      <c r="BB134" s="24">
        <v>34.5</v>
      </c>
      <c r="BC134" s="22">
        <v>3</v>
      </c>
      <c r="BD134" s="24">
        <v>3</v>
      </c>
      <c r="BE134" s="22">
        <v>98</v>
      </c>
      <c r="BF134" s="23">
        <v>197</v>
      </c>
      <c r="BG134" s="26">
        <v>0.49746192893401014</v>
      </c>
      <c r="BH134" s="23">
        <v>64</v>
      </c>
      <c r="BI134" s="23">
        <v>122</v>
      </c>
      <c r="BJ134" s="28">
        <v>0.52459016393442626</v>
      </c>
    </row>
    <row r="135" spans="1:62" x14ac:dyDescent="0.25">
      <c r="E135" t="s">
        <v>68</v>
      </c>
      <c r="F135" s="32">
        <v>180</v>
      </c>
      <c r="G135" s="29">
        <v>176</v>
      </c>
      <c r="H135" s="30">
        <v>0</v>
      </c>
      <c r="I135" s="30">
        <v>176</v>
      </c>
      <c r="J135" s="31">
        <v>0</v>
      </c>
      <c r="K135" s="29">
        <v>0</v>
      </c>
      <c r="L135" s="30">
        <v>0</v>
      </c>
      <c r="M135" s="30">
        <v>1</v>
      </c>
      <c r="N135" s="30">
        <v>0</v>
      </c>
      <c r="O135" s="30">
        <v>0</v>
      </c>
      <c r="P135" s="30">
        <v>0</v>
      </c>
      <c r="Q135" s="30">
        <v>1</v>
      </c>
      <c r="R135" s="31">
        <v>2</v>
      </c>
      <c r="S135" s="32">
        <v>2</v>
      </c>
      <c r="T135" s="29">
        <v>45</v>
      </c>
      <c r="U135" s="30">
        <v>0</v>
      </c>
      <c r="V135" s="30">
        <v>1</v>
      </c>
      <c r="W135" s="30">
        <v>1</v>
      </c>
      <c r="X135" s="31">
        <v>43</v>
      </c>
      <c r="Y135" s="29">
        <v>215</v>
      </c>
      <c r="Z135" s="31">
        <v>116</v>
      </c>
      <c r="AA135" s="29">
        <v>204</v>
      </c>
      <c r="AB135" s="31">
        <v>112</v>
      </c>
      <c r="AC135" s="29">
        <v>196</v>
      </c>
      <c r="AD135">
        <v>92</v>
      </c>
      <c r="AE135" s="29">
        <v>88</v>
      </c>
      <c r="AF135" s="30">
        <v>12</v>
      </c>
      <c r="AG135" s="31">
        <v>29</v>
      </c>
      <c r="AH135" s="136">
        <v>-5.1162790697674418E-2</v>
      </c>
      <c r="AI135" s="33">
        <v>-8.8372093023255813E-2</v>
      </c>
      <c r="AJ135" s="33">
        <v>-3.9215686274509803E-2</v>
      </c>
      <c r="AK135" s="33">
        <v>-3.4482758620689655E-2</v>
      </c>
      <c r="AL135" s="33">
        <v>-0.20689655172413793</v>
      </c>
      <c r="AM135" s="33">
        <v>-0.17857142857142858</v>
      </c>
      <c r="AN135" s="34">
        <v>1.1136363636363635</v>
      </c>
      <c r="AO135" s="33">
        <v>0.52272727272727271</v>
      </c>
      <c r="AP135" s="33">
        <v>6.8181818181818177E-2</v>
      </c>
      <c r="AQ135" s="33">
        <v>0.16477272727272727</v>
      </c>
      <c r="AR135" s="35">
        <v>1.1235955056179775E-2</v>
      </c>
      <c r="AS135" s="251">
        <f t="shared" si="4"/>
        <v>1.1363636363636364E-2</v>
      </c>
      <c r="AT135" s="252">
        <f t="shared" si="5"/>
        <v>-0.24431818181818182</v>
      </c>
      <c r="AU135" s="29">
        <v>109</v>
      </c>
      <c r="AV135" s="30">
        <v>124</v>
      </c>
      <c r="AW135" s="31">
        <v>121</v>
      </c>
      <c r="AX135" s="136">
        <v>0.13761467889908258</v>
      </c>
      <c r="AY135" s="33">
        <v>0.11009174311926606</v>
      </c>
      <c r="AZ135" s="35">
        <v>-2.4193548387096774E-2</v>
      </c>
      <c r="BA135" s="29">
        <v>30</v>
      </c>
      <c r="BB135" s="31">
        <v>34</v>
      </c>
      <c r="BC135" s="29">
        <v>3</v>
      </c>
      <c r="BD135" s="31">
        <v>3</v>
      </c>
      <c r="BE135" s="29">
        <v>98</v>
      </c>
      <c r="BF135" s="30">
        <v>196</v>
      </c>
      <c r="BG135" s="33">
        <v>0.5</v>
      </c>
      <c r="BH135" s="30">
        <v>64</v>
      </c>
      <c r="BI135" s="30">
        <v>121</v>
      </c>
      <c r="BJ135" s="35">
        <v>0.52892561983471076</v>
      </c>
    </row>
    <row r="136" spans="1:62" x14ac:dyDescent="0.25">
      <c r="A136" s="134"/>
      <c r="B136" s="134"/>
      <c r="C136" s="134"/>
      <c r="D136" s="134" t="s">
        <v>185</v>
      </c>
      <c r="E136" s="134"/>
      <c r="F136" s="25">
        <v>1266</v>
      </c>
      <c r="G136" s="22">
        <v>1249</v>
      </c>
      <c r="H136" s="23">
        <v>0</v>
      </c>
      <c r="I136" s="23">
        <v>1249</v>
      </c>
      <c r="J136" s="24">
        <v>0</v>
      </c>
      <c r="K136" s="22">
        <v>0</v>
      </c>
      <c r="L136" s="23">
        <v>1</v>
      </c>
      <c r="M136" s="23">
        <v>3</v>
      </c>
      <c r="N136" s="23">
        <v>1</v>
      </c>
      <c r="O136" s="23">
        <v>1</v>
      </c>
      <c r="P136" s="23">
        <v>0</v>
      </c>
      <c r="Q136" s="23">
        <v>0</v>
      </c>
      <c r="R136" s="24">
        <v>11</v>
      </c>
      <c r="S136" s="25">
        <v>16</v>
      </c>
      <c r="T136" s="22">
        <v>2</v>
      </c>
      <c r="U136" s="23">
        <v>0</v>
      </c>
      <c r="V136" s="23">
        <v>0</v>
      </c>
      <c r="W136" s="23">
        <v>2</v>
      </c>
      <c r="X136" s="24">
        <v>0</v>
      </c>
      <c r="Y136" s="22">
        <v>605</v>
      </c>
      <c r="Z136" s="24">
        <v>363</v>
      </c>
      <c r="AA136" s="22">
        <v>742</v>
      </c>
      <c r="AB136" s="24">
        <v>393</v>
      </c>
      <c r="AC136" s="22">
        <v>635</v>
      </c>
      <c r="AD136" s="134">
        <v>352</v>
      </c>
      <c r="AE136" s="22">
        <v>909</v>
      </c>
      <c r="AF136" s="23">
        <v>536</v>
      </c>
      <c r="AG136" s="24">
        <v>53</v>
      </c>
      <c r="AH136" s="135">
        <v>0.22644628099173553</v>
      </c>
      <c r="AI136" s="26">
        <v>4.9586776859504134E-2</v>
      </c>
      <c r="AJ136" s="26">
        <v>-0.14420485175202155</v>
      </c>
      <c r="AK136" s="26">
        <v>8.2644628099173556E-2</v>
      </c>
      <c r="AL136" s="26">
        <v>-3.0303030303030304E-2</v>
      </c>
      <c r="AM136" s="26">
        <v>-0.10432569974554708</v>
      </c>
      <c r="AN136" s="27">
        <v>0.50840672538030429</v>
      </c>
      <c r="AO136" s="26">
        <v>0.28182546036829464</v>
      </c>
      <c r="AP136" s="26">
        <v>0.4291433146517214</v>
      </c>
      <c r="AQ136" s="26">
        <v>4.2433947157726179E-2</v>
      </c>
      <c r="AR136" s="28">
        <v>8.7301587301587304E-3</v>
      </c>
      <c r="AS136" s="249">
        <f t="shared" si="4"/>
        <v>1.2810248198558846E-2</v>
      </c>
      <c r="AT136" s="250">
        <f t="shared" si="5"/>
        <v>1.120896717373899E-2</v>
      </c>
      <c r="AU136" s="22">
        <v>327</v>
      </c>
      <c r="AV136" s="23">
        <v>386</v>
      </c>
      <c r="AW136" s="24">
        <v>373</v>
      </c>
      <c r="AX136" s="135">
        <v>0.18042813455657492</v>
      </c>
      <c r="AY136" s="26">
        <v>0.14067278287461774</v>
      </c>
      <c r="AZ136" s="28">
        <v>-3.367875647668394E-2</v>
      </c>
      <c r="BA136" s="22">
        <v>51</v>
      </c>
      <c r="BB136" s="24">
        <v>45</v>
      </c>
      <c r="BC136" s="22">
        <v>7</v>
      </c>
      <c r="BD136" s="24">
        <v>5</v>
      </c>
      <c r="BE136" s="22">
        <v>385</v>
      </c>
      <c r="BF136" s="23">
        <v>635</v>
      </c>
      <c r="BG136" s="26">
        <v>0.60629921259842523</v>
      </c>
      <c r="BH136" s="23">
        <v>218</v>
      </c>
      <c r="BI136" s="23">
        <v>373</v>
      </c>
      <c r="BJ136" s="28">
        <v>0.58445040214477206</v>
      </c>
    </row>
    <row r="137" spans="1:62" x14ac:dyDescent="0.25">
      <c r="E137" t="s">
        <v>68</v>
      </c>
      <c r="F137" s="32">
        <v>1266</v>
      </c>
      <c r="G137" s="29">
        <v>1249</v>
      </c>
      <c r="H137" s="30">
        <v>0</v>
      </c>
      <c r="I137" s="30">
        <v>1249</v>
      </c>
      <c r="J137" s="31">
        <v>0</v>
      </c>
      <c r="K137" s="29">
        <v>0</v>
      </c>
      <c r="L137" s="30">
        <v>1</v>
      </c>
      <c r="M137" s="30">
        <v>3</v>
      </c>
      <c r="N137" s="30">
        <v>1</v>
      </c>
      <c r="O137" s="30">
        <v>1</v>
      </c>
      <c r="P137" s="30">
        <v>0</v>
      </c>
      <c r="Q137" s="30">
        <v>0</v>
      </c>
      <c r="R137" s="31">
        <v>11</v>
      </c>
      <c r="S137" s="32">
        <v>16</v>
      </c>
      <c r="T137" s="29">
        <v>2</v>
      </c>
      <c r="U137" s="30">
        <v>0</v>
      </c>
      <c r="V137" s="30">
        <v>0</v>
      </c>
      <c r="W137" s="30">
        <v>2</v>
      </c>
      <c r="X137" s="31">
        <v>0</v>
      </c>
      <c r="Y137" s="29">
        <v>605</v>
      </c>
      <c r="Z137" s="31">
        <v>363</v>
      </c>
      <c r="AA137" s="29">
        <v>742</v>
      </c>
      <c r="AB137" s="31">
        <v>393</v>
      </c>
      <c r="AC137" s="29">
        <v>635</v>
      </c>
      <c r="AD137">
        <v>352</v>
      </c>
      <c r="AE137" s="29">
        <v>909</v>
      </c>
      <c r="AF137" s="30">
        <v>536</v>
      </c>
      <c r="AG137" s="31">
        <v>53</v>
      </c>
      <c r="AH137" s="136">
        <v>0.22644628099173553</v>
      </c>
      <c r="AI137" s="33">
        <v>4.9586776859504134E-2</v>
      </c>
      <c r="AJ137" s="33">
        <v>-0.14420485175202155</v>
      </c>
      <c r="AK137" s="33">
        <v>8.2644628099173556E-2</v>
      </c>
      <c r="AL137" s="33">
        <v>-3.0303030303030304E-2</v>
      </c>
      <c r="AM137" s="33">
        <v>-0.10432569974554708</v>
      </c>
      <c r="AN137" s="34">
        <v>0.50840672538030429</v>
      </c>
      <c r="AO137" s="33">
        <v>0.28182546036829464</v>
      </c>
      <c r="AP137" s="33">
        <v>0.4291433146517214</v>
      </c>
      <c r="AQ137" s="33">
        <v>4.2433947157726179E-2</v>
      </c>
      <c r="AR137" s="35">
        <v>8.7301587301587304E-3</v>
      </c>
      <c r="AS137" s="251">
        <f t="shared" si="4"/>
        <v>1.2810248198558846E-2</v>
      </c>
      <c r="AT137" s="252">
        <f t="shared" si="5"/>
        <v>1.120896717373899E-2</v>
      </c>
      <c r="AU137" s="29">
        <v>327</v>
      </c>
      <c r="AV137" s="30">
        <v>386</v>
      </c>
      <c r="AW137" s="31">
        <v>373</v>
      </c>
      <c r="AX137" s="136">
        <v>0.18042813455657492</v>
      </c>
      <c r="AY137" s="33">
        <v>0.14067278287461774</v>
      </c>
      <c r="AZ137" s="35">
        <v>-3.367875647668394E-2</v>
      </c>
      <c r="BA137" s="29">
        <v>51</v>
      </c>
      <c r="BB137" s="31">
        <v>45</v>
      </c>
      <c r="BC137" s="29">
        <v>7</v>
      </c>
      <c r="BD137" s="31">
        <v>5</v>
      </c>
      <c r="BE137" s="29">
        <v>385</v>
      </c>
      <c r="BF137" s="30">
        <v>635</v>
      </c>
      <c r="BG137" s="33">
        <v>0.60629921259842523</v>
      </c>
      <c r="BH137" s="30">
        <v>218</v>
      </c>
      <c r="BI137" s="30">
        <v>373</v>
      </c>
      <c r="BJ137" s="35">
        <v>0.58445040214477206</v>
      </c>
    </row>
    <row r="138" spans="1:62" x14ac:dyDescent="0.25">
      <c r="A138" s="132"/>
      <c r="B138" s="132"/>
      <c r="C138" s="132" t="s">
        <v>126</v>
      </c>
      <c r="D138" s="132"/>
      <c r="E138" s="132"/>
      <c r="F138" s="18">
        <v>2480</v>
      </c>
      <c r="G138" s="15">
        <v>2328</v>
      </c>
      <c r="H138" s="16">
        <v>0</v>
      </c>
      <c r="I138" s="16">
        <v>2328</v>
      </c>
      <c r="J138" s="17">
        <v>0</v>
      </c>
      <c r="K138" s="15">
        <v>77</v>
      </c>
      <c r="L138" s="16">
        <v>2</v>
      </c>
      <c r="M138" s="16">
        <v>21</v>
      </c>
      <c r="N138" s="16">
        <v>10</v>
      </c>
      <c r="O138" s="16">
        <v>10</v>
      </c>
      <c r="P138" s="16">
        <v>0</v>
      </c>
      <c r="Q138" s="16">
        <v>7</v>
      </c>
      <c r="R138" s="17">
        <v>24</v>
      </c>
      <c r="S138" s="18">
        <v>120</v>
      </c>
      <c r="T138" s="15">
        <v>22</v>
      </c>
      <c r="U138" s="16">
        <v>2</v>
      </c>
      <c r="V138" s="16">
        <v>5</v>
      </c>
      <c r="W138" s="16">
        <v>10</v>
      </c>
      <c r="X138" s="17">
        <v>5</v>
      </c>
      <c r="Y138" s="15">
        <v>3849</v>
      </c>
      <c r="Z138" s="17">
        <v>1580</v>
      </c>
      <c r="AA138" s="15">
        <v>4223</v>
      </c>
      <c r="AB138" s="17">
        <v>1541</v>
      </c>
      <c r="AC138" s="15">
        <v>3734</v>
      </c>
      <c r="AD138" s="132">
        <v>1401</v>
      </c>
      <c r="AE138" s="15">
        <v>995</v>
      </c>
      <c r="AF138" s="16">
        <v>212</v>
      </c>
      <c r="AG138" s="17">
        <v>293</v>
      </c>
      <c r="AH138" s="133">
        <v>9.7168095609249161E-2</v>
      </c>
      <c r="AI138" s="19">
        <v>-2.9877890361132763E-2</v>
      </c>
      <c r="AJ138" s="19">
        <v>-0.11579445891546294</v>
      </c>
      <c r="AK138" s="19">
        <v>-2.4683544303797468E-2</v>
      </c>
      <c r="AL138" s="19">
        <v>-0.11329113924050632</v>
      </c>
      <c r="AM138" s="19">
        <v>-9.0850097339390007E-2</v>
      </c>
      <c r="AN138" s="20">
        <v>1.6039518900343643</v>
      </c>
      <c r="AO138" s="19">
        <v>0.60180412371134018</v>
      </c>
      <c r="AP138" s="19">
        <v>9.1065292096219927E-2</v>
      </c>
      <c r="AQ138" s="19">
        <v>0.12585910652920962</v>
      </c>
      <c r="AR138" s="21">
        <v>1.020408163265306E-2</v>
      </c>
      <c r="AS138" s="247">
        <f t="shared" si="4"/>
        <v>5.1546391752577317E-2</v>
      </c>
      <c r="AT138" s="248">
        <f t="shared" si="5"/>
        <v>4.2096219931271481E-2</v>
      </c>
      <c r="AU138" s="15">
        <v>680</v>
      </c>
      <c r="AV138" s="16">
        <v>760</v>
      </c>
      <c r="AW138" s="17">
        <v>744</v>
      </c>
      <c r="AX138" s="133">
        <v>0.11764705882352941</v>
      </c>
      <c r="AY138" s="19">
        <v>9.4117647058823528E-2</v>
      </c>
      <c r="AZ138" s="21">
        <v>-2.1052631578947368E-2</v>
      </c>
      <c r="BA138" s="15">
        <v>58</v>
      </c>
      <c r="BB138" s="17">
        <v>50</v>
      </c>
      <c r="BC138" s="15">
        <v>8</v>
      </c>
      <c r="BD138" s="17">
        <v>6</v>
      </c>
      <c r="BE138" s="15">
        <v>2085</v>
      </c>
      <c r="BF138" s="16">
        <v>3734</v>
      </c>
      <c r="BG138" s="19">
        <v>0.55838243170862345</v>
      </c>
      <c r="BH138" s="16">
        <v>396</v>
      </c>
      <c r="BI138" s="16">
        <v>744</v>
      </c>
      <c r="BJ138" s="21">
        <v>0.532258064516129</v>
      </c>
    </row>
    <row r="139" spans="1:62" x14ac:dyDescent="0.25">
      <c r="A139" s="134"/>
      <c r="B139" s="134"/>
      <c r="C139" s="134"/>
      <c r="D139" s="134" t="s">
        <v>186</v>
      </c>
      <c r="E139" s="134"/>
      <c r="F139" s="25">
        <v>1497</v>
      </c>
      <c r="G139" s="22">
        <v>1370</v>
      </c>
      <c r="H139" s="23">
        <v>0</v>
      </c>
      <c r="I139" s="23">
        <v>1370</v>
      </c>
      <c r="J139" s="24">
        <v>0</v>
      </c>
      <c r="K139" s="22">
        <v>77</v>
      </c>
      <c r="L139" s="23">
        <v>1</v>
      </c>
      <c r="M139" s="23">
        <v>19</v>
      </c>
      <c r="N139" s="23">
        <v>9</v>
      </c>
      <c r="O139" s="23">
        <v>10</v>
      </c>
      <c r="P139" s="23">
        <v>0</v>
      </c>
      <c r="Q139" s="23">
        <v>6</v>
      </c>
      <c r="R139" s="24">
        <v>4</v>
      </c>
      <c r="S139" s="25">
        <v>85</v>
      </c>
      <c r="T139" s="22">
        <v>16</v>
      </c>
      <c r="U139" s="23">
        <v>1</v>
      </c>
      <c r="V139" s="23">
        <v>4</v>
      </c>
      <c r="W139" s="23">
        <v>8</v>
      </c>
      <c r="X139" s="24">
        <v>3</v>
      </c>
      <c r="Y139" s="22">
        <v>2300</v>
      </c>
      <c r="Z139" s="24">
        <v>979</v>
      </c>
      <c r="AA139" s="22">
        <v>2184</v>
      </c>
      <c r="AB139" s="24">
        <v>903</v>
      </c>
      <c r="AC139" s="22">
        <v>1898</v>
      </c>
      <c r="AD139" s="134">
        <v>787</v>
      </c>
      <c r="AE139" s="22">
        <v>628</v>
      </c>
      <c r="AF139" s="23">
        <v>121</v>
      </c>
      <c r="AG139" s="24">
        <v>132</v>
      </c>
      <c r="AH139" s="135">
        <v>-5.0434782608695654E-2</v>
      </c>
      <c r="AI139" s="26">
        <v>-0.17478260869565218</v>
      </c>
      <c r="AJ139" s="26">
        <v>-0.13095238095238096</v>
      </c>
      <c r="AK139" s="26">
        <v>-7.7630234933605727E-2</v>
      </c>
      <c r="AL139" s="26">
        <v>-0.19611848825331971</v>
      </c>
      <c r="AM139" s="26">
        <v>-0.12846068660022147</v>
      </c>
      <c r="AN139" s="27">
        <v>1.3854014598540145</v>
      </c>
      <c r="AO139" s="26">
        <v>0.5744525547445255</v>
      </c>
      <c r="AP139" s="26">
        <v>8.8321167883211676E-2</v>
      </c>
      <c r="AQ139" s="26">
        <v>9.6350364963503646E-2</v>
      </c>
      <c r="AR139" s="28">
        <v>2.911208151382824E-3</v>
      </c>
      <c r="AS139" s="249">
        <f t="shared" si="4"/>
        <v>6.2043795620437957E-2</v>
      </c>
      <c r="AT139" s="250">
        <f t="shared" si="5"/>
        <v>5.0364963503649635E-2</v>
      </c>
      <c r="AU139" s="22">
        <v>345</v>
      </c>
      <c r="AV139" s="23">
        <v>355</v>
      </c>
      <c r="AW139" s="24">
        <v>345</v>
      </c>
      <c r="AX139" s="135">
        <v>2.8985507246376812E-2</v>
      </c>
      <c r="AY139" s="26">
        <v>0</v>
      </c>
      <c r="AZ139" s="28">
        <v>-2.8169014084507043E-2</v>
      </c>
      <c r="BA139" s="22">
        <v>53</v>
      </c>
      <c r="BB139" s="24">
        <v>45</v>
      </c>
      <c r="BC139" s="22">
        <v>8</v>
      </c>
      <c r="BD139" s="24">
        <v>6</v>
      </c>
      <c r="BE139" s="22">
        <v>1011</v>
      </c>
      <c r="BF139" s="23">
        <v>1898</v>
      </c>
      <c r="BG139" s="26">
        <v>0.53266596417281353</v>
      </c>
      <c r="BH139" s="23">
        <v>178</v>
      </c>
      <c r="BI139" s="23">
        <v>345</v>
      </c>
      <c r="BJ139" s="28">
        <v>0.51594202898550723</v>
      </c>
    </row>
    <row r="140" spans="1:62" x14ac:dyDescent="0.25">
      <c r="E140" t="s">
        <v>68</v>
      </c>
      <c r="F140" s="32">
        <v>14</v>
      </c>
      <c r="G140" s="29">
        <v>11</v>
      </c>
      <c r="H140" s="30">
        <v>0</v>
      </c>
      <c r="I140" s="30">
        <v>11</v>
      </c>
      <c r="J140" s="31">
        <v>0</v>
      </c>
      <c r="K140" s="29">
        <v>2</v>
      </c>
      <c r="L140" s="30">
        <v>0</v>
      </c>
      <c r="M140" s="30">
        <v>0</v>
      </c>
      <c r="N140" s="30">
        <v>1</v>
      </c>
      <c r="O140" s="30">
        <v>0</v>
      </c>
      <c r="P140" s="30">
        <v>0</v>
      </c>
      <c r="Q140" s="30">
        <v>0</v>
      </c>
      <c r="R140" s="31">
        <v>0</v>
      </c>
      <c r="S140" s="32">
        <v>9</v>
      </c>
      <c r="T140" s="29">
        <v>1</v>
      </c>
      <c r="U140" s="30">
        <v>0</v>
      </c>
      <c r="V140" s="30">
        <v>0</v>
      </c>
      <c r="W140" s="30">
        <v>0</v>
      </c>
      <c r="X140" s="31">
        <v>1</v>
      </c>
      <c r="Y140" s="29">
        <v>9</v>
      </c>
      <c r="Z140" s="31">
        <v>5</v>
      </c>
      <c r="AA140" s="29">
        <v>27</v>
      </c>
      <c r="AB140" s="31">
        <v>6</v>
      </c>
      <c r="AC140" s="29">
        <v>21</v>
      </c>
      <c r="AD140">
        <v>11</v>
      </c>
      <c r="AE140" s="29">
        <v>2</v>
      </c>
      <c r="AF140" s="30">
        <v>1</v>
      </c>
      <c r="AG140" s="31">
        <v>7</v>
      </c>
      <c r="AH140" s="136">
        <v>2</v>
      </c>
      <c r="AI140" s="33">
        <v>1.3333333333333333</v>
      </c>
      <c r="AJ140" s="33">
        <v>-0.22222222222222221</v>
      </c>
      <c r="AK140" s="33">
        <v>0.2</v>
      </c>
      <c r="AL140" s="33">
        <v>1.2</v>
      </c>
      <c r="AM140" s="33">
        <v>0.83333333333333337</v>
      </c>
      <c r="AN140" s="34">
        <v>1.9090909090909092</v>
      </c>
      <c r="AO140" s="33">
        <v>1</v>
      </c>
      <c r="AP140" s="33">
        <v>9.0909090909090912E-2</v>
      </c>
      <c r="AQ140" s="33">
        <v>0.63636363636363635</v>
      </c>
      <c r="AR140" s="35">
        <v>0</v>
      </c>
      <c r="AS140" s="251">
        <f t="shared" si="4"/>
        <v>0.81818181818181823</v>
      </c>
      <c r="AT140" s="252">
        <f t="shared" si="5"/>
        <v>0.72727272727272729</v>
      </c>
      <c r="AU140" s="29">
        <v>8</v>
      </c>
      <c r="AV140" s="30">
        <v>22</v>
      </c>
      <c r="AW140" s="31">
        <v>19</v>
      </c>
      <c r="AX140" s="136">
        <v>1.75</v>
      </c>
      <c r="AY140" s="33">
        <v>1.375</v>
      </c>
      <c r="AZ140" s="35">
        <v>-0.13636363636363635</v>
      </c>
      <c r="BA140" s="29">
        <v>48</v>
      </c>
      <c r="BB140" s="31">
        <v>48</v>
      </c>
      <c r="BC140" s="29">
        <v>8</v>
      </c>
      <c r="BD140" s="31">
        <v>8</v>
      </c>
      <c r="BE140" s="29">
        <v>10</v>
      </c>
      <c r="BF140" s="30">
        <v>21</v>
      </c>
      <c r="BG140" s="33">
        <v>0.47619047619047616</v>
      </c>
      <c r="BH140" s="30">
        <v>10</v>
      </c>
      <c r="BI140" s="30">
        <v>19</v>
      </c>
      <c r="BJ140" s="35">
        <v>0.52631578947368418</v>
      </c>
    </row>
    <row r="141" spans="1:62" x14ac:dyDescent="0.25">
      <c r="E141" t="s">
        <v>174</v>
      </c>
      <c r="F141" s="32">
        <v>1482</v>
      </c>
      <c r="G141" s="29">
        <v>1358</v>
      </c>
      <c r="H141" s="30">
        <v>0</v>
      </c>
      <c r="I141" s="30">
        <v>1358</v>
      </c>
      <c r="J141" s="31">
        <v>0</v>
      </c>
      <c r="K141" s="29">
        <v>75</v>
      </c>
      <c r="L141" s="30">
        <v>1</v>
      </c>
      <c r="M141" s="30">
        <v>19</v>
      </c>
      <c r="N141" s="30">
        <v>8</v>
      </c>
      <c r="O141" s="30">
        <v>10</v>
      </c>
      <c r="P141" s="30">
        <v>0</v>
      </c>
      <c r="Q141" s="30">
        <v>6</v>
      </c>
      <c r="R141" s="31">
        <v>4</v>
      </c>
      <c r="S141" s="32">
        <v>76</v>
      </c>
      <c r="T141" s="29">
        <v>15</v>
      </c>
      <c r="U141" s="30">
        <v>1</v>
      </c>
      <c r="V141" s="30">
        <v>4</v>
      </c>
      <c r="W141" s="30">
        <v>8</v>
      </c>
      <c r="X141" s="31">
        <v>2</v>
      </c>
      <c r="Y141" s="29">
        <v>2289</v>
      </c>
      <c r="Z141" s="31">
        <v>973</v>
      </c>
      <c r="AA141" s="29">
        <v>2154</v>
      </c>
      <c r="AB141" s="31">
        <v>896</v>
      </c>
      <c r="AC141" s="29">
        <v>1871</v>
      </c>
      <c r="AD141">
        <v>775</v>
      </c>
      <c r="AE141" s="29">
        <v>626</v>
      </c>
      <c r="AF141" s="30">
        <v>120</v>
      </c>
      <c r="AG141" s="31">
        <v>125</v>
      </c>
      <c r="AH141" s="136">
        <v>-5.8977719528178242E-2</v>
      </c>
      <c r="AI141" s="33">
        <v>-0.18261249453910006</v>
      </c>
      <c r="AJ141" s="33">
        <v>-0.13138347260909936</v>
      </c>
      <c r="AK141" s="33">
        <v>-7.9136690647482008E-2</v>
      </c>
      <c r="AL141" s="33">
        <v>-0.20349434737923947</v>
      </c>
      <c r="AM141" s="33">
        <v>-0.13504464285714285</v>
      </c>
      <c r="AN141" s="34">
        <v>1.3777614138438881</v>
      </c>
      <c r="AO141" s="33">
        <v>0.57069219440353458</v>
      </c>
      <c r="AP141" s="33">
        <v>8.8365243004418267E-2</v>
      </c>
      <c r="AQ141" s="33">
        <v>9.2047128129602362E-2</v>
      </c>
      <c r="AR141" s="35">
        <v>2.936857562408223E-3</v>
      </c>
      <c r="AS141" s="251">
        <f t="shared" si="4"/>
        <v>5.5964653902798235E-2</v>
      </c>
      <c r="AT141" s="252">
        <f t="shared" si="5"/>
        <v>4.491899852724595E-2</v>
      </c>
      <c r="AU141" s="29">
        <v>343</v>
      </c>
      <c r="AV141" s="30">
        <v>346</v>
      </c>
      <c r="AW141" s="31">
        <v>336</v>
      </c>
      <c r="AX141" s="136">
        <v>8.7463556851311956E-3</v>
      </c>
      <c r="AY141" s="33">
        <v>-2.0408163265306121E-2</v>
      </c>
      <c r="AZ141" s="35">
        <v>-2.8901734104046242E-2</v>
      </c>
      <c r="BA141" s="29">
        <v>53</v>
      </c>
      <c r="BB141" s="31">
        <v>45</v>
      </c>
      <c r="BC141" s="29">
        <v>8</v>
      </c>
      <c r="BD141" s="31">
        <v>6</v>
      </c>
      <c r="BE141" s="29">
        <v>996</v>
      </c>
      <c r="BF141" s="30">
        <v>1871</v>
      </c>
      <c r="BG141" s="33">
        <v>0.53233564938535538</v>
      </c>
      <c r="BH141" s="30">
        <v>172</v>
      </c>
      <c r="BI141" s="30">
        <v>336</v>
      </c>
      <c r="BJ141" s="35">
        <v>0.51190476190476186</v>
      </c>
    </row>
    <row r="142" spans="1:62" x14ac:dyDescent="0.25">
      <c r="A142" s="134"/>
      <c r="B142" s="134"/>
      <c r="C142" s="134"/>
      <c r="D142" s="134" t="s">
        <v>127</v>
      </c>
      <c r="E142" s="134"/>
      <c r="F142" s="25">
        <v>983</v>
      </c>
      <c r="G142" s="22">
        <v>958</v>
      </c>
      <c r="H142" s="23">
        <v>0</v>
      </c>
      <c r="I142" s="23">
        <v>958</v>
      </c>
      <c r="J142" s="24">
        <v>0</v>
      </c>
      <c r="K142" s="22">
        <v>0</v>
      </c>
      <c r="L142" s="23">
        <v>1</v>
      </c>
      <c r="M142" s="23">
        <v>2</v>
      </c>
      <c r="N142" s="23">
        <v>1</v>
      </c>
      <c r="O142" s="23">
        <v>0</v>
      </c>
      <c r="P142" s="23">
        <v>0</v>
      </c>
      <c r="Q142" s="23">
        <v>1</v>
      </c>
      <c r="R142" s="24">
        <v>20</v>
      </c>
      <c r="S142" s="25">
        <v>35</v>
      </c>
      <c r="T142" s="22">
        <v>6</v>
      </c>
      <c r="U142" s="23">
        <v>1</v>
      </c>
      <c r="V142" s="23">
        <v>1</v>
      </c>
      <c r="W142" s="23">
        <v>2</v>
      </c>
      <c r="X142" s="24">
        <v>2</v>
      </c>
      <c r="Y142" s="22">
        <v>1549</v>
      </c>
      <c r="Z142" s="24">
        <v>601</v>
      </c>
      <c r="AA142" s="22">
        <v>2039</v>
      </c>
      <c r="AB142" s="24">
        <v>638</v>
      </c>
      <c r="AC142" s="22">
        <v>1836</v>
      </c>
      <c r="AD142" s="134">
        <v>614</v>
      </c>
      <c r="AE142" s="22">
        <v>367</v>
      </c>
      <c r="AF142" s="23">
        <v>91</v>
      </c>
      <c r="AG142" s="24">
        <v>161</v>
      </c>
      <c r="AH142" s="135">
        <v>0.31633311814073595</v>
      </c>
      <c r="AI142" s="26">
        <v>0.18528082633957391</v>
      </c>
      <c r="AJ142" s="26">
        <v>-9.9558607160372736E-2</v>
      </c>
      <c r="AK142" s="26">
        <v>6.156405990016639E-2</v>
      </c>
      <c r="AL142" s="26">
        <v>2.1630615640599003E-2</v>
      </c>
      <c r="AM142" s="26">
        <v>-3.7617554858934171E-2</v>
      </c>
      <c r="AN142" s="27">
        <v>1.9164926931106472</v>
      </c>
      <c r="AO142" s="26">
        <v>0.64091858037578286</v>
      </c>
      <c r="AP142" s="26">
        <v>9.4989561586638835E-2</v>
      </c>
      <c r="AQ142" s="26">
        <v>0.16805845511482254</v>
      </c>
      <c r="AR142" s="28">
        <v>2.0449897750511249E-2</v>
      </c>
      <c r="AS142" s="249">
        <f t="shared" si="4"/>
        <v>3.6534446764091857E-2</v>
      </c>
      <c r="AT142" s="250">
        <f t="shared" si="5"/>
        <v>3.0271398747390398E-2</v>
      </c>
      <c r="AU142" s="22">
        <v>386</v>
      </c>
      <c r="AV142" s="23">
        <v>480</v>
      </c>
      <c r="AW142" s="24">
        <v>463</v>
      </c>
      <c r="AX142" s="135">
        <v>0.24352331606217617</v>
      </c>
      <c r="AY142" s="26">
        <v>0.19948186528497408</v>
      </c>
      <c r="AZ142" s="28">
        <v>-3.5416666666666666E-2</v>
      </c>
      <c r="BA142" s="22">
        <v>64</v>
      </c>
      <c r="BB142" s="24">
        <v>55</v>
      </c>
      <c r="BC142" s="22">
        <v>8</v>
      </c>
      <c r="BD142" s="24">
        <v>6</v>
      </c>
      <c r="BE142" s="22">
        <v>1074</v>
      </c>
      <c r="BF142" s="23">
        <v>1836</v>
      </c>
      <c r="BG142" s="26">
        <v>0.58496732026143794</v>
      </c>
      <c r="BH142" s="23">
        <v>246</v>
      </c>
      <c r="BI142" s="23">
        <v>463</v>
      </c>
      <c r="BJ142" s="28">
        <v>0.53131749460043198</v>
      </c>
    </row>
    <row r="143" spans="1:62" x14ac:dyDescent="0.25">
      <c r="E143" t="s">
        <v>128</v>
      </c>
      <c r="F143" s="32">
        <v>751</v>
      </c>
      <c r="G143" s="29">
        <v>736</v>
      </c>
      <c r="H143" s="30">
        <v>0</v>
      </c>
      <c r="I143" s="30">
        <v>736</v>
      </c>
      <c r="J143" s="31">
        <v>0</v>
      </c>
      <c r="K143" s="29">
        <v>0</v>
      </c>
      <c r="L143" s="30">
        <v>0</v>
      </c>
      <c r="M143" s="30">
        <v>1</v>
      </c>
      <c r="N143" s="30">
        <v>1</v>
      </c>
      <c r="O143" s="30">
        <v>0</v>
      </c>
      <c r="P143" s="30">
        <v>0</v>
      </c>
      <c r="Q143" s="30">
        <v>0</v>
      </c>
      <c r="R143" s="31">
        <v>13</v>
      </c>
      <c r="S143" s="32">
        <v>1</v>
      </c>
      <c r="T143" s="29">
        <v>3</v>
      </c>
      <c r="U143" s="30">
        <v>0</v>
      </c>
      <c r="V143" s="30">
        <v>0</v>
      </c>
      <c r="W143" s="30">
        <v>1</v>
      </c>
      <c r="X143" s="31">
        <v>2</v>
      </c>
      <c r="Y143" s="29">
        <v>1018</v>
      </c>
      <c r="Z143" s="31">
        <v>474</v>
      </c>
      <c r="AA143" s="29">
        <v>1141</v>
      </c>
      <c r="AB143" s="31">
        <v>472</v>
      </c>
      <c r="AC143" s="29">
        <v>1030</v>
      </c>
      <c r="AD143">
        <v>411</v>
      </c>
      <c r="AE143" s="29">
        <v>340</v>
      </c>
      <c r="AF143" s="30">
        <v>84</v>
      </c>
      <c r="AG143" s="31">
        <v>78</v>
      </c>
      <c r="AH143" s="136">
        <v>0.12082514734774066</v>
      </c>
      <c r="AI143" s="33">
        <v>1.1787819253438114E-2</v>
      </c>
      <c r="AJ143" s="33">
        <v>-9.7283085013146364E-2</v>
      </c>
      <c r="AK143" s="33">
        <v>-4.2194092827004216E-3</v>
      </c>
      <c r="AL143" s="33">
        <v>-0.13291139240506328</v>
      </c>
      <c r="AM143" s="33">
        <v>-0.12923728813559321</v>
      </c>
      <c r="AN143" s="34">
        <v>1.3994565217391304</v>
      </c>
      <c r="AO143" s="33">
        <v>0.55842391304347827</v>
      </c>
      <c r="AP143" s="33">
        <v>0.11413043478260869</v>
      </c>
      <c r="AQ143" s="33">
        <v>0.10597826086956522</v>
      </c>
      <c r="AR143" s="35">
        <v>1.7356475300400534E-2</v>
      </c>
      <c r="AS143" s="251">
        <f t="shared" si="4"/>
        <v>1.358695652173913E-3</v>
      </c>
      <c r="AT143" s="252">
        <f t="shared" si="5"/>
        <v>-2.717391304347826E-3</v>
      </c>
      <c r="AU143" s="29">
        <v>256</v>
      </c>
      <c r="AV143" s="30">
        <v>284</v>
      </c>
      <c r="AW143" s="31">
        <v>288</v>
      </c>
      <c r="AX143" s="136">
        <v>0.109375</v>
      </c>
      <c r="AY143" s="33">
        <v>0.125</v>
      </c>
      <c r="AZ143" s="35">
        <v>1.4084507042253521E-2</v>
      </c>
      <c r="BA143" s="29">
        <v>67</v>
      </c>
      <c r="BB143" s="31">
        <v>58</v>
      </c>
      <c r="BC143" s="29">
        <v>8</v>
      </c>
      <c r="BD143" s="31">
        <v>6</v>
      </c>
      <c r="BE143" s="29">
        <v>587</v>
      </c>
      <c r="BF143" s="30">
        <v>1030</v>
      </c>
      <c r="BG143" s="33">
        <v>0.56990291262135917</v>
      </c>
      <c r="BH143" s="30">
        <v>149</v>
      </c>
      <c r="BI143" s="30">
        <v>288</v>
      </c>
      <c r="BJ143" s="35">
        <v>0.51736111111111116</v>
      </c>
    </row>
    <row r="144" spans="1:62" x14ac:dyDescent="0.25">
      <c r="E144" t="s">
        <v>68</v>
      </c>
      <c r="F144" s="32">
        <v>216</v>
      </c>
      <c r="G144" s="29">
        <v>206</v>
      </c>
      <c r="H144" s="30">
        <v>0</v>
      </c>
      <c r="I144" s="30">
        <v>206</v>
      </c>
      <c r="J144" s="31">
        <v>0</v>
      </c>
      <c r="K144" s="29">
        <v>0</v>
      </c>
      <c r="L144" s="30">
        <v>1</v>
      </c>
      <c r="M144" s="30">
        <v>1</v>
      </c>
      <c r="N144" s="30">
        <v>0</v>
      </c>
      <c r="O144" s="30">
        <v>0</v>
      </c>
      <c r="P144" s="30">
        <v>0</v>
      </c>
      <c r="Q144" s="30">
        <v>1</v>
      </c>
      <c r="R144" s="31">
        <v>7</v>
      </c>
      <c r="S144" s="32">
        <v>33</v>
      </c>
      <c r="T144" s="29">
        <v>3</v>
      </c>
      <c r="U144" s="30">
        <v>1</v>
      </c>
      <c r="V144" s="30">
        <v>1</v>
      </c>
      <c r="W144" s="30">
        <v>1</v>
      </c>
      <c r="X144" s="31">
        <v>0</v>
      </c>
      <c r="Y144" s="29">
        <v>531</v>
      </c>
      <c r="Z144" s="31">
        <v>127</v>
      </c>
      <c r="AA144" s="29">
        <v>898</v>
      </c>
      <c r="AB144" s="31">
        <v>166</v>
      </c>
      <c r="AC144" s="29">
        <v>678</v>
      </c>
      <c r="AD144">
        <v>187</v>
      </c>
      <c r="AE144" s="29">
        <v>27</v>
      </c>
      <c r="AF144" s="30">
        <v>7</v>
      </c>
      <c r="AG144" s="31">
        <v>72</v>
      </c>
      <c r="AH144" s="136">
        <v>0.6911487758945386</v>
      </c>
      <c r="AI144" s="33">
        <v>0.2768361581920904</v>
      </c>
      <c r="AJ144" s="33">
        <v>-0.24498886414253898</v>
      </c>
      <c r="AK144" s="33">
        <v>0.30708661417322836</v>
      </c>
      <c r="AL144" s="33">
        <v>0.47244094488188976</v>
      </c>
      <c r="AM144" s="33">
        <v>0.12650602409638553</v>
      </c>
      <c r="AN144" s="34">
        <v>3.29126213592233</v>
      </c>
      <c r="AO144" s="33">
        <v>0.90776699029126218</v>
      </c>
      <c r="AP144" s="33">
        <v>3.3980582524271843E-2</v>
      </c>
      <c r="AQ144" s="33">
        <v>0.34951456310679613</v>
      </c>
      <c r="AR144" s="35">
        <v>3.2863849765258218E-2</v>
      </c>
      <c r="AS144" s="251">
        <f t="shared" si="4"/>
        <v>0.16019417475728157</v>
      </c>
      <c r="AT144" s="252">
        <f t="shared" si="5"/>
        <v>0.14563106796116504</v>
      </c>
      <c r="AU144" s="29">
        <v>236</v>
      </c>
      <c r="AV144" s="30">
        <v>342</v>
      </c>
      <c r="AW144" s="31">
        <v>289</v>
      </c>
      <c r="AX144" s="136">
        <v>0.44915254237288138</v>
      </c>
      <c r="AY144" s="33">
        <v>0.22457627118644069</v>
      </c>
      <c r="AZ144" s="35">
        <v>-0.15497076023391812</v>
      </c>
      <c r="BA144" s="29">
        <v>64</v>
      </c>
      <c r="BB144" s="31">
        <v>57</v>
      </c>
      <c r="BC144" s="29">
        <v>7</v>
      </c>
      <c r="BD144" s="31">
        <v>6</v>
      </c>
      <c r="BE144" s="29">
        <v>409</v>
      </c>
      <c r="BF144" s="30">
        <v>678</v>
      </c>
      <c r="BG144" s="33">
        <v>0.60324483775811211</v>
      </c>
      <c r="BH144" s="30">
        <v>157</v>
      </c>
      <c r="BI144" s="30">
        <v>289</v>
      </c>
      <c r="BJ144" s="35">
        <v>0.54325259515570934</v>
      </c>
    </row>
    <row r="145" spans="1:62" x14ac:dyDescent="0.25">
      <c r="E145" t="s">
        <v>174</v>
      </c>
      <c r="F145" s="32">
        <v>15</v>
      </c>
      <c r="G145" s="29">
        <v>15</v>
      </c>
      <c r="H145" s="30">
        <v>0</v>
      </c>
      <c r="I145" s="30">
        <v>15</v>
      </c>
      <c r="J145" s="31">
        <v>0</v>
      </c>
      <c r="K145" s="29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1">
        <v>0</v>
      </c>
      <c r="S145" s="32">
        <v>1</v>
      </c>
      <c r="T145" s="29"/>
      <c r="U145" s="30"/>
      <c r="V145" s="30"/>
      <c r="W145" s="30"/>
      <c r="X145" s="31"/>
      <c r="Y145" s="29">
        <v>0</v>
      </c>
      <c r="Z145" s="31">
        <v>0</v>
      </c>
      <c r="AA145" s="29">
        <v>0</v>
      </c>
      <c r="AB145" s="31">
        <v>0</v>
      </c>
      <c r="AC145" s="29">
        <v>127</v>
      </c>
      <c r="AD145">
        <v>15</v>
      </c>
      <c r="AE145" s="29">
        <v>0</v>
      </c>
      <c r="AF145" s="30">
        <v>0</v>
      </c>
      <c r="AG145" s="31">
        <v>11</v>
      </c>
      <c r="AH145" s="136"/>
      <c r="AI145" s="33"/>
      <c r="AJ145" s="33"/>
      <c r="AK145" s="33"/>
      <c r="AL145" s="33"/>
      <c r="AM145" s="33"/>
      <c r="AN145" s="34">
        <v>8.4666666666666668</v>
      </c>
      <c r="AO145" s="33">
        <v>1</v>
      </c>
      <c r="AP145" s="33">
        <v>0</v>
      </c>
      <c r="AQ145" s="33">
        <v>0.73333333333333328</v>
      </c>
      <c r="AR145" s="35">
        <v>0</v>
      </c>
      <c r="AS145" s="251">
        <f t="shared" si="4"/>
        <v>6.6666666666666666E-2</v>
      </c>
      <c r="AT145" s="252">
        <f t="shared" si="5"/>
        <v>6.6666666666666666E-2</v>
      </c>
      <c r="AU145" s="29">
        <v>0</v>
      </c>
      <c r="AV145" s="30">
        <v>0</v>
      </c>
      <c r="AW145" s="31">
        <v>79</v>
      </c>
      <c r="AX145" s="136"/>
      <c r="AY145" s="33"/>
      <c r="AZ145" s="35"/>
      <c r="BA145" s="29">
        <v>60</v>
      </c>
      <c r="BB145" s="31">
        <v>60</v>
      </c>
      <c r="BC145" s="29">
        <v>10</v>
      </c>
      <c r="BD145" s="31">
        <v>12</v>
      </c>
      <c r="BE145" s="29">
        <v>78</v>
      </c>
      <c r="BF145" s="30">
        <v>127</v>
      </c>
      <c r="BG145" s="33">
        <v>0.61417322834645671</v>
      </c>
      <c r="BH145" s="30">
        <v>45</v>
      </c>
      <c r="BI145" s="30">
        <v>79</v>
      </c>
      <c r="BJ145" s="35">
        <v>0.569620253164557</v>
      </c>
    </row>
    <row r="146" spans="1:62" x14ac:dyDescent="0.25">
      <c r="A146" s="132"/>
      <c r="B146" s="132"/>
      <c r="C146" s="132" t="s">
        <v>187</v>
      </c>
      <c r="D146" s="132"/>
      <c r="E146" s="132"/>
      <c r="F146" s="18">
        <v>1340</v>
      </c>
      <c r="G146" s="15">
        <v>1255</v>
      </c>
      <c r="H146" s="16">
        <v>19</v>
      </c>
      <c r="I146" s="16">
        <v>1272</v>
      </c>
      <c r="J146" s="17">
        <v>2</v>
      </c>
      <c r="K146" s="15">
        <v>0</v>
      </c>
      <c r="L146" s="16">
        <v>0</v>
      </c>
      <c r="M146" s="16">
        <v>5</v>
      </c>
      <c r="N146" s="16">
        <v>1</v>
      </c>
      <c r="O146" s="16">
        <v>0</v>
      </c>
      <c r="P146" s="16">
        <v>0</v>
      </c>
      <c r="Q146" s="16">
        <v>10</v>
      </c>
      <c r="R146" s="17">
        <v>27</v>
      </c>
      <c r="S146" s="18">
        <v>81</v>
      </c>
      <c r="T146" s="15">
        <v>147</v>
      </c>
      <c r="U146" s="16">
        <v>1</v>
      </c>
      <c r="V146" s="16">
        <v>9</v>
      </c>
      <c r="W146" s="16">
        <v>4</v>
      </c>
      <c r="X146" s="17">
        <v>133</v>
      </c>
      <c r="Y146" s="15">
        <v>1048</v>
      </c>
      <c r="Z146" s="17">
        <v>547</v>
      </c>
      <c r="AA146" s="15">
        <v>942</v>
      </c>
      <c r="AB146" s="17">
        <v>502</v>
      </c>
      <c r="AC146" s="15">
        <v>976</v>
      </c>
      <c r="AD146" s="132">
        <v>508</v>
      </c>
      <c r="AE146" s="15">
        <v>827</v>
      </c>
      <c r="AF146" s="16">
        <v>445</v>
      </c>
      <c r="AG146" s="17">
        <v>93</v>
      </c>
      <c r="AH146" s="133">
        <v>-0.10114503816793893</v>
      </c>
      <c r="AI146" s="19">
        <v>-6.8702290076335881E-2</v>
      </c>
      <c r="AJ146" s="19">
        <v>3.6093418259023353E-2</v>
      </c>
      <c r="AK146" s="19">
        <v>-8.226691042047532E-2</v>
      </c>
      <c r="AL146" s="19">
        <v>-7.1297989031078604E-2</v>
      </c>
      <c r="AM146" s="19">
        <v>1.1952191235059761E-2</v>
      </c>
      <c r="AN146" s="20">
        <v>0.77768924302788844</v>
      </c>
      <c r="AO146" s="19">
        <v>0.40478087649402389</v>
      </c>
      <c r="AP146" s="19">
        <v>0.35458167330677293</v>
      </c>
      <c r="AQ146" s="19">
        <v>7.4103585657370519E-2</v>
      </c>
      <c r="AR146" s="21">
        <v>2.1060842433697349E-2</v>
      </c>
      <c r="AS146" s="247">
        <f t="shared" si="4"/>
        <v>6.4541832669322716E-2</v>
      </c>
      <c r="AT146" s="248">
        <f t="shared" si="5"/>
        <v>-5.2589641434262951E-2</v>
      </c>
      <c r="AU146" s="15">
        <v>434</v>
      </c>
      <c r="AV146" s="16">
        <v>404</v>
      </c>
      <c r="AW146" s="17">
        <v>396</v>
      </c>
      <c r="AX146" s="133">
        <v>-6.9124423963133647E-2</v>
      </c>
      <c r="AY146" s="19">
        <v>-8.755760368663594E-2</v>
      </c>
      <c r="AZ146" s="21">
        <v>-1.9801980198019802E-2</v>
      </c>
      <c r="BA146" s="15">
        <v>51</v>
      </c>
      <c r="BB146" s="17">
        <v>48</v>
      </c>
      <c r="BC146" s="15">
        <v>7</v>
      </c>
      <c r="BD146" s="17">
        <v>6</v>
      </c>
      <c r="BE146" s="15">
        <v>545</v>
      </c>
      <c r="BF146" s="16">
        <v>976</v>
      </c>
      <c r="BG146" s="19">
        <v>0.55840163934426235</v>
      </c>
      <c r="BH146" s="16">
        <v>227</v>
      </c>
      <c r="BI146" s="16">
        <v>396</v>
      </c>
      <c r="BJ146" s="21">
        <v>0.5732323232323232</v>
      </c>
    </row>
    <row r="147" spans="1:62" x14ac:dyDescent="0.25">
      <c r="E147" t="s">
        <v>68</v>
      </c>
      <c r="F147" s="32">
        <v>1146</v>
      </c>
      <c r="G147" s="29">
        <v>1108</v>
      </c>
      <c r="H147" s="30">
        <v>1</v>
      </c>
      <c r="I147" s="30">
        <v>1107</v>
      </c>
      <c r="J147" s="31">
        <v>2</v>
      </c>
      <c r="K147" s="29">
        <v>0</v>
      </c>
      <c r="L147" s="30">
        <v>0</v>
      </c>
      <c r="M147" s="30">
        <v>4</v>
      </c>
      <c r="N147" s="30">
        <v>1</v>
      </c>
      <c r="O147" s="30">
        <v>0</v>
      </c>
      <c r="P147" s="30">
        <v>0</v>
      </c>
      <c r="Q147" s="30">
        <v>8</v>
      </c>
      <c r="R147" s="31">
        <v>24</v>
      </c>
      <c r="S147" s="32">
        <v>11</v>
      </c>
      <c r="T147" s="29">
        <v>23</v>
      </c>
      <c r="U147" s="30">
        <v>1</v>
      </c>
      <c r="V147" s="30">
        <v>7</v>
      </c>
      <c r="W147" s="30">
        <v>4</v>
      </c>
      <c r="X147" s="31">
        <v>11</v>
      </c>
      <c r="Y147" s="29">
        <v>565</v>
      </c>
      <c r="Z147" s="31">
        <v>393</v>
      </c>
      <c r="AA147" s="29">
        <v>554</v>
      </c>
      <c r="AB147" s="31">
        <v>362</v>
      </c>
      <c r="AC147" s="29">
        <v>580</v>
      </c>
      <c r="AD147">
        <v>360</v>
      </c>
      <c r="AE147" s="29">
        <v>784</v>
      </c>
      <c r="AF147" s="30">
        <v>425</v>
      </c>
      <c r="AG147" s="31">
        <v>63</v>
      </c>
      <c r="AH147" s="136">
        <v>-1.9469026548672566E-2</v>
      </c>
      <c r="AI147" s="33">
        <v>2.6548672566371681E-2</v>
      </c>
      <c r="AJ147" s="33">
        <v>4.6931407942238268E-2</v>
      </c>
      <c r="AK147" s="33">
        <v>-7.8880407124681931E-2</v>
      </c>
      <c r="AL147" s="33">
        <v>-8.3969465648854963E-2</v>
      </c>
      <c r="AM147" s="33">
        <v>-5.5248618784530384E-3</v>
      </c>
      <c r="AN147" s="34">
        <v>0.52346570397111913</v>
      </c>
      <c r="AO147" s="33">
        <v>0.32490974729241878</v>
      </c>
      <c r="AP147" s="33">
        <v>0.38357400722021662</v>
      </c>
      <c r="AQ147" s="33">
        <v>5.6859205776173288E-2</v>
      </c>
      <c r="AR147" s="35">
        <v>2.1201413427561839E-2</v>
      </c>
      <c r="AS147" s="251">
        <f t="shared" si="4"/>
        <v>9.9277978339350186E-3</v>
      </c>
      <c r="AT147" s="252">
        <f t="shared" si="5"/>
        <v>-1.0830324909747292E-2</v>
      </c>
      <c r="AU147" s="29">
        <v>282</v>
      </c>
      <c r="AV147" s="30">
        <v>258</v>
      </c>
      <c r="AW147" s="31">
        <v>281</v>
      </c>
      <c r="AX147" s="136">
        <v>-8.5106382978723402E-2</v>
      </c>
      <c r="AY147" s="33">
        <v>-3.5460992907801418E-3</v>
      </c>
      <c r="AZ147" s="35">
        <v>8.9147286821705432E-2</v>
      </c>
      <c r="BA147" s="29">
        <v>47</v>
      </c>
      <c r="BB147" s="31">
        <v>45.5</v>
      </c>
      <c r="BC147" s="29">
        <v>6</v>
      </c>
      <c r="BD147" s="31">
        <v>6</v>
      </c>
      <c r="BE147" s="29">
        <v>306</v>
      </c>
      <c r="BF147" s="30">
        <v>580</v>
      </c>
      <c r="BG147" s="33">
        <v>0.52758620689655178</v>
      </c>
      <c r="BH147" s="30">
        <v>160</v>
      </c>
      <c r="BI147" s="30">
        <v>281</v>
      </c>
      <c r="BJ147" s="35">
        <v>0.56939501779359436</v>
      </c>
    </row>
    <row r="148" spans="1:62" x14ac:dyDescent="0.25">
      <c r="E148" t="s">
        <v>148</v>
      </c>
      <c r="F148" s="32">
        <v>142</v>
      </c>
      <c r="G148" s="29">
        <v>97</v>
      </c>
      <c r="H148" s="30">
        <v>18</v>
      </c>
      <c r="I148" s="30">
        <v>115</v>
      </c>
      <c r="J148" s="31">
        <v>0</v>
      </c>
      <c r="K148" s="29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1</v>
      </c>
      <c r="R148" s="31">
        <v>3</v>
      </c>
      <c r="S148" s="32">
        <v>68</v>
      </c>
      <c r="T148" s="29">
        <v>112</v>
      </c>
      <c r="U148" s="30">
        <v>0</v>
      </c>
      <c r="V148" s="30">
        <v>1</v>
      </c>
      <c r="W148" s="30">
        <v>0</v>
      </c>
      <c r="X148" s="31">
        <v>111</v>
      </c>
      <c r="Y148" s="29">
        <v>415</v>
      </c>
      <c r="Z148" s="31">
        <v>123</v>
      </c>
      <c r="AA148" s="29">
        <v>334</v>
      </c>
      <c r="AB148" s="31">
        <v>114</v>
      </c>
      <c r="AC148" s="29">
        <v>328</v>
      </c>
      <c r="AD148">
        <v>111</v>
      </c>
      <c r="AE148" s="29">
        <v>29</v>
      </c>
      <c r="AF148" s="30">
        <v>20</v>
      </c>
      <c r="AG148" s="31">
        <v>25</v>
      </c>
      <c r="AH148" s="136">
        <v>-0.19518072289156627</v>
      </c>
      <c r="AI148" s="33">
        <v>-0.20963855421686747</v>
      </c>
      <c r="AJ148" s="33">
        <v>-1.7964071856287425E-2</v>
      </c>
      <c r="AK148" s="33">
        <v>-7.3170731707317069E-2</v>
      </c>
      <c r="AL148" s="33">
        <v>-9.7560975609756101E-2</v>
      </c>
      <c r="AM148" s="33">
        <v>-2.6315789473684209E-2</v>
      </c>
      <c r="AN148" s="34">
        <v>3.3814432989690721</v>
      </c>
      <c r="AO148" s="33">
        <v>1.1443298969072164</v>
      </c>
      <c r="AP148" s="33">
        <v>0.20618556701030927</v>
      </c>
      <c r="AQ148" s="33">
        <v>0.25773195876288657</v>
      </c>
      <c r="AR148" s="35">
        <v>0.03</v>
      </c>
      <c r="AS148" s="251">
        <f t="shared" si="4"/>
        <v>0.7010309278350515</v>
      </c>
      <c r="AT148" s="252">
        <f t="shared" si="5"/>
        <v>-0.45360824742268041</v>
      </c>
      <c r="AU148" s="29">
        <v>146</v>
      </c>
      <c r="AV148" s="30">
        <v>145</v>
      </c>
      <c r="AW148" s="31">
        <v>133</v>
      </c>
      <c r="AX148" s="136">
        <v>-6.8493150684931503E-3</v>
      </c>
      <c r="AY148" s="33">
        <v>-8.9041095890410954E-2</v>
      </c>
      <c r="AZ148" s="35">
        <v>-8.2758620689655171E-2</v>
      </c>
      <c r="BA148" s="29">
        <v>57</v>
      </c>
      <c r="BB148" s="31">
        <v>52</v>
      </c>
      <c r="BC148" s="29">
        <v>11</v>
      </c>
      <c r="BD148" s="31">
        <v>8</v>
      </c>
      <c r="BE148" s="29">
        <v>195</v>
      </c>
      <c r="BF148" s="30">
        <v>328</v>
      </c>
      <c r="BG148" s="33">
        <v>0.59451219512195119</v>
      </c>
      <c r="BH148" s="30">
        <v>75</v>
      </c>
      <c r="BI148" s="30">
        <v>133</v>
      </c>
      <c r="BJ148" s="35">
        <v>0.56390977443609025</v>
      </c>
    </row>
    <row r="149" spans="1:62" x14ac:dyDescent="0.25">
      <c r="E149" t="s">
        <v>97</v>
      </c>
      <c r="F149" s="32">
        <v>52</v>
      </c>
      <c r="G149" s="29">
        <v>50</v>
      </c>
      <c r="H149" s="30">
        <v>0</v>
      </c>
      <c r="I149" s="30">
        <v>50</v>
      </c>
      <c r="J149" s="31">
        <v>0</v>
      </c>
      <c r="K149" s="29">
        <v>0</v>
      </c>
      <c r="L149" s="30">
        <v>0</v>
      </c>
      <c r="M149" s="30">
        <v>1</v>
      </c>
      <c r="N149" s="30">
        <v>0</v>
      </c>
      <c r="O149" s="30">
        <v>0</v>
      </c>
      <c r="P149" s="30">
        <v>0</v>
      </c>
      <c r="Q149" s="30">
        <v>1</v>
      </c>
      <c r="R149" s="31">
        <v>0</v>
      </c>
      <c r="S149" s="32">
        <v>2</v>
      </c>
      <c r="T149" s="29">
        <v>12</v>
      </c>
      <c r="U149" s="30">
        <v>0</v>
      </c>
      <c r="V149" s="30">
        <v>1</v>
      </c>
      <c r="W149" s="30">
        <v>0</v>
      </c>
      <c r="X149" s="31">
        <v>11</v>
      </c>
      <c r="Y149" s="29">
        <v>68</v>
      </c>
      <c r="Z149" s="31">
        <v>31</v>
      </c>
      <c r="AA149" s="29">
        <v>54</v>
      </c>
      <c r="AB149" s="31">
        <v>26</v>
      </c>
      <c r="AC149" s="29">
        <v>68</v>
      </c>
      <c r="AD149">
        <v>37</v>
      </c>
      <c r="AE149" s="29">
        <v>14</v>
      </c>
      <c r="AF149" s="30">
        <v>0</v>
      </c>
      <c r="AG149" s="31">
        <v>5</v>
      </c>
      <c r="AH149" s="136">
        <v>-0.20588235294117646</v>
      </c>
      <c r="AI149" s="33">
        <v>0</v>
      </c>
      <c r="AJ149" s="33">
        <v>0.25925925925925924</v>
      </c>
      <c r="AK149" s="33">
        <v>-0.16129032258064516</v>
      </c>
      <c r="AL149" s="33">
        <v>0.19354838709677419</v>
      </c>
      <c r="AM149" s="33">
        <v>0.42307692307692307</v>
      </c>
      <c r="AN149" s="34">
        <v>1.36</v>
      </c>
      <c r="AO149" s="33">
        <v>0.74</v>
      </c>
      <c r="AP149" s="33">
        <v>0</v>
      </c>
      <c r="AQ149" s="33">
        <v>0.1</v>
      </c>
      <c r="AR149" s="35">
        <v>0</v>
      </c>
      <c r="AS149" s="251">
        <f t="shared" si="4"/>
        <v>0.04</v>
      </c>
      <c r="AT149" s="252">
        <f t="shared" si="5"/>
        <v>-0.2</v>
      </c>
      <c r="AU149" s="29">
        <v>49</v>
      </c>
      <c r="AV149" s="30">
        <v>40</v>
      </c>
      <c r="AW149" s="31">
        <v>43</v>
      </c>
      <c r="AX149" s="136">
        <v>-0.18367346938775511</v>
      </c>
      <c r="AY149" s="33">
        <v>-0.12244897959183673</v>
      </c>
      <c r="AZ149" s="35">
        <v>7.4999999999999997E-2</v>
      </c>
      <c r="BA149" s="29">
        <v>58</v>
      </c>
      <c r="BB149" s="31">
        <v>57</v>
      </c>
      <c r="BC149" s="29">
        <v>6</v>
      </c>
      <c r="BD149" s="31">
        <v>5</v>
      </c>
      <c r="BE149" s="29">
        <v>44</v>
      </c>
      <c r="BF149" s="30">
        <v>68</v>
      </c>
      <c r="BG149" s="33">
        <v>0.6470588235294118</v>
      </c>
      <c r="BH149" s="30">
        <v>28</v>
      </c>
      <c r="BI149" s="30">
        <v>43</v>
      </c>
      <c r="BJ149" s="35">
        <v>0.65116279069767447</v>
      </c>
    </row>
    <row r="150" spans="1:62" x14ac:dyDescent="0.25">
      <c r="A150" s="132"/>
      <c r="B150" s="132"/>
      <c r="C150" s="132" t="s">
        <v>129</v>
      </c>
      <c r="D150" s="132"/>
      <c r="E150" s="132"/>
      <c r="F150" s="18">
        <v>9607</v>
      </c>
      <c r="G150" s="15">
        <v>8181</v>
      </c>
      <c r="H150" s="16">
        <v>0</v>
      </c>
      <c r="I150" s="16">
        <v>8181</v>
      </c>
      <c r="J150" s="17">
        <v>0</v>
      </c>
      <c r="K150" s="15">
        <v>0</v>
      </c>
      <c r="L150" s="16">
        <v>161</v>
      </c>
      <c r="M150" s="16">
        <v>691</v>
      </c>
      <c r="N150" s="16">
        <v>37</v>
      </c>
      <c r="O150" s="16">
        <v>102</v>
      </c>
      <c r="P150" s="16">
        <v>0</v>
      </c>
      <c r="Q150" s="16">
        <v>52</v>
      </c>
      <c r="R150" s="17">
        <v>188</v>
      </c>
      <c r="S150" s="18">
        <v>732</v>
      </c>
      <c r="T150" s="15">
        <v>2012</v>
      </c>
      <c r="U150" s="16">
        <v>5</v>
      </c>
      <c r="V150" s="16">
        <v>42</v>
      </c>
      <c r="W150" s="16">
        <v>629</v>
      </c>
      <c r="X150" s="17">
        <v>1336</v>
      </c>
      <c r="Y150" s="15">
        <v>15750</v>
      </c>
      <c r="Z150" s="17">
        <v>5331</v>
      </c>
      <c r="AA150" s="15">
        <v>16566</v>
      </c>
      <c r="AB150" s="17">
        <v>5453</v>
      </c>
      <c r="AC150" s="15">
        <v>19075</v>
      </c>
      <c r="AD150" s="132">
        <v>6384</v>
      </c>
      <c r="AE150" s="15">
        <v>2901</v>
      </c>
      <c r="AF150" s="16">
        <v>585</v>
      </c>
      <c r="AG150" s="17">
        <v>1713</v>
      </c>
      <c r="AH150" s="133">
        <v>5.1809523809523812E-2</v>
      </c>
      <c r="AI150" s="19">
        <v>0.21111111111111111</v>
      </c>
      <c r="AJ150" s="19">
        <v>0.15145478691295425</v>
      </c>
      <c r="AK150" s="19">
        <v>2.2885012192834366E-2</v>
      </c>
      <c r="AL150" s="19">
        <v>0.19752391671356218</v>
      </c>
      <c r="AM150" s="19">
        <v>0.17073170731707318</v>
      </c>
      <c r="AN150" s="20">
        <v>2.3316220510939982</v>
      </c>
      <c r="AO150" s="19">
        <v>0.78034470113678034</v>
      </c>
      <c r="AP150" s="19">
        <v>7.1507150715071507E-2</v>
      </c>
      <c r="AQ150" s="19">
        <v>0.20938760542720938</v>
      </c>
      <c r="AR150" s="21">
        <v>2.2463854701875972E-2</v>
      </c>
      <c r="AS150" s="247">
        <f t="shared" si="4"/>
        <v>8.9475614228089473E-2</v>
      </c>
      <c r="AT150" s="248">
        <f t="shared" si="5"/>
        <v>-0.1564600904534898</v>
      </c>
      <c r="AU150" s="15">
        <v>1891</v>
      </c>
      <c r="AV150" s="16">
        <v>2019</v>
      </c>
      <c r="AW150" s="17">
        <v>2173</v>
      </c>
      <c r="AX150" s="133">
        <v>6.7689053410893707E-2</v>
      </c>
      <c r="AY150" s="19">
        <v>0.1491274457958752</v>
      </c>
      <c r="AZ150" s="21">
        <v>7.6275383853392775E-2</v>
      </c>
      <c r="BA150" s="15">
        <v>57</v>
      </c>
      <c r="BB150" s="17">
        <v>42</v>
      </c>
      <c r="BC150" s="15">
        <v>7</v>
      </c>
      <c r="BD150" s="17">
        <v>4</v>
      </c>
      <c r="BE150" s="15">
        <v>10663</v>
      </c>
      <c r="BF150" s="16">
        <v>19075</v>
      </c>
      <c r="BG150" s="19">
        <v>0.55900393184796859</v>
      </c>
      <c r="BH150" s="16">
        <v>1256</v>
      </c>
      <c r="BI150" s="16">
        <v>2173</v>
      </c>
      <c r="BJ150" s="21">
        <v>0.57800276115968707</v>
      </c>
    </row>
    <row r="151" spans="1:62" x14ac:dyDescent="0.25">
      <c r="A151" s="134"/>
      <c r="B151" s="134"/>
      <c r="C151" s="134"/>
      <c r="D151" s="134" t="s">
        <v>188</v>
      </c>
      <c r="E151" s="134"/>
      <c r="F151" s="25">
        <v>1113</v>
      </c>
      <c r="G151" s="22">
        <v>1025</v>
      </c>
      <c r="H151" s="23">
        <v>0</v>
      </c>
      <c r="I151" s="23">
        <v>1025</v>
      </c>
      <c r="J151" s="24">
        <v>0</v>
      </c>
      <c r="K151" s="22">
        <v>0</v>
      </c>
      <c r="L151" s="23">
        <v>0</v>
      </c>
      <c r="M151" s="23">
        <v>16</v>
      </c>
      <c r="N151" s="23">
        <v>2</v>
      </c>
      <c r="O151" s="23">
        <v>12</v>
      </c>
      <c r="P151" s="23">
        <v>0</v>
      </c>
      <c r="Q151" s="23">
        <v>22</v>
      </c>
      <c r="R151" s="24">
        <v>31</v>
      </c>
      <c r="S151" s="25">
        <v>160</v>
      </c>
      <c r="T151" s="22">
        <v>131</v>
      </c>
      <c r="U151" s="23">
        <v>1</v>
      </c>
      <c r="V151" s="23">
        <v>20</v>
      </c>
      <c r="W151" s="23">
        <v>14</v>
      </c>
      <c r="X151" s="24">
        <v>96</v>
      </c>
      <c r="Y151" s="22">
        <v>1472</v>
      </c>
      <c r="Z151" s="24">
        <v>607</v>
      </c>
      <c r="AA151" s="22">
        <v>2120</v>
      </c>
      <c r="AB151" s="24">
        <v>740</v>
      </c>
      <c r="AC151" s="22">
        <v>2186</v>
      </c>
      <c r="AD151" s="134">
        <v>798</v>
      </c>
      <c r="AE151" s="22">
        <v>310</v>
      </c>
      <c r="AF151" s="23">
        <v>36</v>
      </c>
      <c r="AG151" s="24">
        <v>232</v>
      </c>
      <c r="AH151" s="135">
        <v>0.44021739130434784</v>
      </c>
      <c r="AI151" s="26">
        <v>0.48505434782608697</v>
      </c>
      <c r="AJ151" s="26">
        <v>3.1132075471698113E-2</v>
      </c>
      <c r="AK151" s="26">
        <v>0.21911037891268534</v>
      </c>
      <c r="AL151" s="26">
        <v>0.31466227347611203</v>
      </c>
      <c r="AM151" s="26">
        <v>7.8378378378378383E-2</v>
      </c>
      <c r="AN151" s="27">
        <v>2.1326829268292684</v>
      </c>
      <c r="AO151" s="26">
        <v>0.77853658536585368</v>
      </c>
      <c r="AP151" s="26">
        <v>3.5121951219512199E-2</v>
      </c>
      <c r="AQ151" s="26">
        <v>0.22634146341463415</v>
      </c>
      <c r="AR151" s="28">
        <v>2.9356060606060608E-2</v>
      </c>
      <c r="AS151" s="249">
        <f t="shared" si="4"/>
        <v>0.15609756097560976</v>
      </c>
      <c r="AT151" s="250">
        <f t="shared" si="5"/>
        <v>2.8292682926829269E-2</v>
      </c>
      <c r="AU151" s="22">
        <v>385</v>
      </c>
      <c r="AV151" s="23">
        <v>557</v>
      </c>
      <c r="AW151" s="24">
        <v>545</v>
      </c>
      <c r="AX151" s="135">
        <v>0.44675324675324674</v>
      </c>
      <c r="AY151" s="26">
        <v>0.41558441558441561</v>
      </c>
      <c r="AZ151" s="28">
        <v>-2.1543985637342909E-2</v>
      </c>
      <c r="BA151" s="22">
        <v>40</v>
      </c>
      <c r="BB151" s="24">
        <v>34</v>
      </c>
      <c r="BC151" s="22">
        <v>6</v>
      </c>
      <c r="BD151" s="24">
        <v>4</v>
      </c>
      <c r="BE151" s="22">
        <v>1127</v>
      </c>
      <c r="BF151" s="23">
        <v>2186</v>
      </c>
      <c r="BG151" s="26">
        <v>0.51555352241537056</v>
      </c>
      <c r="BH151" s="23">
        <v>322</v>
      </c>
      <c r="BI151" s="23">
        <v>545</v>
      </c>
      <c r="BJ151" s="28">
        <v>0.59082568807339453</v>
      </c>
    </row>
    <row r="152" spans="1:62" x14ac:dyDescent="0.25">
      <c r="E152" t="s">
        <v>68</v>
      </c>
      <c r="F152" s="32">
        <v>1099</v>
      </c>
      <c r="G152" s="29">
        <v>1016</v>
      </c>
      <c r="H152" s="30">
        <v>0</v>
      </c>
      <c r="I152" s="30">
        <v>1016</v>
      </c>
      <c r="J152" s="31">
        <v>0</v>
      </c>
      <c r="K152" s="29">
        <v>0</v>
      </c>
      <c r="L152" s="30">
        <v>0</v>
      </c>
      <c r="M152" s="30">
        <v>16</v>
      </c>
      <c r="N152" s="30">
        <v>2</v>
      </c>
      <c r="O152" s="30">
        <v>12</v>
      </c>
      <c r="P152" s="30">
        <v>0</v>
      </c>
      <c r="Q152" s="30">
        <v>21</v>
      </c>
      <c r="R152" s="31">
        <v>31</v>
      </c>
      <c r="S152" s="32">
        <v>154</v>
      </c>
      <c r="T152" s="29">
        <v>124</v>
      </c>
      <c r="U152" s="30">
        <v>1</v>
      </c>
      <c r="V152" s="30">
        <v>19</v>
      </c>
      <c r="W152" s="30">
        <v>14</v>
      </c>
      <c r="X152" s="31">
        <v>90</v>
      </c>
      <c r="Y152" s="29">
        <v>1470</v>
      </c>
      <c r="Z152" s="31">
        <v>605</v>
      </c>
      <c r="AA152" s="29">
        <v>2097</v>
      </c>
      <c r="AB152" s="31">
        <v>732</v>
      </c>
      <c r="AC152" s="29">
        <v>2162</v>
      </c>
      <c r="AD152">
        <v>788</v>
      </c>
      <c r="AE152" s="29">
        <v>306</v>
      </c>
      <c r="AF152" s="30">
        <v>33</v>
      </c>
      <c r="AG152" s="31">
        <v>230</v>
      </c>
      <c r="AH152" s="136">
        <v>0.42653061224489797</v>
      </c>
      <c r="AI152" s="33">
        <v>0.47074829931972789</v>
      </c>
      <c r="AJ152" s="33">
        <v>3.0996661897949453E-2</v>
      </c>
      <c r="AK152" s="33">
        <v>0.20991735537190082</v>
      </c>
      <c r="AL152" s="33">
        <v>0.30247933884297523</v>
      </c>
      <c r="AM152" s="33">
        <v>7.650273224043716E-2</v>
      </c>
      <c r="AN152" s="34">
        <v>2.127952755905512</v>
      </c>
      <c r="AO152" s="33">
        <v>0.77559055118110232</v>
      </c>
      <c r="AP152" s="33">
        <v>3.2480314960629919E-2</v>
      </c>
      <c r="AQ152" s="33">
        <v>0.2263779527559055</v>
      </c>
      <c r="AR152" s="35">
        <v>2.9608404966571154E-2</v>
      </c>
      <c r="AS152" s="251">
        <f t="shared" si="4"/>
        <v>0.15157480314960631</v>
      </c>
      <c r="AT152" s="252">
        <f t="shared" si="5"/>
        <v>2.952755905511811E-2</v>
      </c>
      <c r="AU152" s="29">
        <v>383</v>
      </c>
      <c r="AV152" s="30">
        <v>554</v>
      </c>
      <c r="AW152" s="31">
        <v>540</v>
      </c>
      <c r="AX152" s="136">
        <v>0.44647519582245432</v>
      </c>
      <c r="AY152" s="33">
        <v>0.40992167101827676</v>
      </c>
      <c r="AZ152" s="35">
        <v>-2.5270758122743681E-2</v>
      </c>
      <c r="BA152" s="29">
        <v>40</v>
      </c>
      <c r="BB152" s="31">
        <v>34</v>
      </c>
      <c r="BC152" s="29">
        <v>6</v>
      </c>
      <c r="BD152" s="31">
        <v>4</v>
      </c>
      <c r="BE152" s="29">
        <v>1116</v>
      </c>
      <c r="BF152" s="30">
        <v>2162</v>
      </c>
      <c r="BG152" s="33">
        <v>0.51618871415356149</v>
      </c>
      <c r="BH152" s="30">
        <v>319</v>
      </c>
      <c r="BI152" s="30">
        <v>540</v>
      </c>
      <c r="BJ152" s="35">
        <v>0.59074074074074079</v>
      </c>
    </row>
    <row r="153" spans="1:62" x14ac:dyDescent="0.25">
      <c r="E153" t="s">
        <v>148</v>
      </c>
      <c r="F153" s="32">
        <v>14</v>
      </c>
      <c r="G153" s="29">
        <v>9</v>
      </c>
      <c r="H153" s="30">
        <v>0</v>
      </c>
      <c r="I153" s="30">
        <v>9</v>
      </c>
      <c r="J153" s="31">
        <v>0</v>
      </c>
      <c r="K153" s="29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1</v>
      </c>
      <c r="R153" s="31">
        <v>0</v>
      </c>
      <c r="S153" s="32">
        <v>6</v>
      </c>
      <c r="T153" s="29">
        <v>7</v>
      </c>
      <c r="U153" s="30">
        <v>0</v>
      </c>
      <c r="V153" s="30">
        <v>1</v>
      </c>
      <c r="W153" s="30">
        <v>0</v>
      </c>
      <c r="X153" s="31">
        <v>6</v>
      </c>
      <c r="Y153" s="29">
        <v>2</v>
      </c>
      <c r="Z153" s="31">
        <v>2</v>
      </c>
      <c r="AA153" s="29">
        <v>23</v>
      </c>
      <c r="AB153" s="31">
        <v>8</v>
      </c>
      <c r="AC153" s="29">
        <v>24</v>
      </c>
      <c r="AD153">
        <v>10</v>
      </c>
      <c r="AE153" s="29">
        <v>4</v>
      </c>
      <c r="AF153" s="30">
        <v>3</v>
      </c>
      <c r="AG153" s="31">
        <v>2</v>
      </c>
      <c r="AH153" s="136">
        <v>10.5</v>
      </c>
      <c r="AI153" s="33">
        <v>11</v>
      </c>
      <c r="AJ153" s="33">
        <v>4.3478260869565216E-2</v>
      </c>
      <c r="AK153" s="33">
        <v>3</v>
      </c>
      <c r="AL153" s="33">
        <v>4</v>
      </c>
      <c r="AM153" s="33">
        <v>0.25</v>
      </c>
      <c r="AN153" s="34">
        <v>2.6666666666666665</v>
      </c>
      <c r="AO153" s="33">
        <v>1.1111111111111112</v>
      </c>
      <c r="AP153" s="33">
        <v>0.33333333333333331</v>
      </c>
      <c r="AQ153" s="33">
        <v>0.22222222222222221</v>
      </c>
      <c r="AR153" s="35">
        <v>0</v>
      </c>
      <c r="AS153" s="251">
        <f t="shared" si="4"/>
        <v>0.66666666666666663</v>
      </c>
      <c r="AT153" s="252">
        <f t="shared" si="5"/>
        <v>-0.1111111111111111</v>
      </c>
      <c r="AU153" s="29">
        <v>2</v>
      </c>
      <c r="AV153" s="30">
        <v>12</v>
      </c>
      <c r="AW153" s="31">
        <v>13</v>
      </c>
      <c r="AX153" s="136">
        <v>5</v>
      </c>
      <c r="AY153" s="33">
        <v>5.5</v>
      </c>
      <c r="AZ153" s="35">
        <v>8.3333333333333329E-2</v>
      </c>
      <c r="BA153" s="29">
        <v>44</v>
      </c>
      <c r="BB153" s="31">
        <v>39</v>
      </c>
      <c r="BC153" s="29">
        <v>3.5</v>
      </c>
      <c r="BD153" s="31">
        <v>5</v>
      </c>
      <c r="BE153" s="29">
        <v>11</v>
      </c>
      <c r="BF153" s="30">
        <v>24</v>
      </c>
      <c r="BG153" s="33">
        <v>0.45833333333333331</v>
      </c>
      <c r="BH153" s="30">
        <v>5</v>
      </c>
      <c r="BI153" s="30">
        <v>13</v>
      </c>
      <c r="BJ153" s="35">
        <v>0.38461538461538464</v>
      </c>
    </row>
    <row r="154" spans="1:62" x14ac:dyDescent="0.25">
      <c r="A154" s="134"/>
      <c r="B154" s="134"/>
      <c r="C154" s="134"/>
      <c r="D154" s="134" t="s">
        <v>189</v>
      </c>
      <c r="E154" s="134"/>
      <c r="F154" s="25">
        <v>223</v>
      </c>
      <c r="G154" s="22">
        <v>215</v>
      </c>
      <c r="H154" s="23">
        <v>0</v>
      </c>
      <c r="I154" s="23">
        <v>215</v>
      </c>
      <c r="J154" s="24">
        <v>0</v>
      </c>
      <c r="K154" s="22">
        <v>0</v>
      </c>
      <c r="L154" s="23">
        <v>0</v>
      </c>
      <c r="M154" s="23">
        <v>4</v>
      </c>
      <c r="N154" s="23">
        <v>1</v>
      </c>
      <c r="O154" s="23">
        <v>3</v>
      </c>
      <c r="P154" s="23">
        <v>0</v>
      </c>
      <c r="Q154" s="23">
        <v>0</v>
      </c>
      <c r="R154" s="24">
        <v>0</v>
      </c>
      <c r="S154" s="25">
        <v>8</v>
      </c>
      <c r="T154" s="22">
        <v>7</v>
      </c>
      <c r="U154" s="23">
        <v>0</v>
      </c>
      <c r="V154" s="23">
        <v>0</v>
      </c>
      <c r="W154" s="23">
        <v>4</v>
      </c>
      <c r="X154" s="24">
        <v>3</v>
      </c>
      <c r="Y154" s="22">
        <v>0</v>
      </c>
      <c r="Z154" s="24">
        <v>0</v>
      </c>
      <c r="AA154" s="22">
        <v>0</v>
      </c>
      <c r="AB154" s="24">
        <v>0</v>
      </c>
      <c r="AC154" s="22">
        <v>452</v>
      </c>
      <c r="AD154" s="134">
        <v>192</v>
      </c>
      <c r="AE154" s="22">
        <v>18</v>
      </c>
      <c r="AF154" s="23">
        <v>2</v>
      </c>
      <c r="AG154" s="24">
        <v>72</v>
      </c>
      <c r="AH154" s="135"/>
      <c r="AI154" s="26"/>
      <c r="AJ154" s="26"/>
      <c r="AK154" s="26"/>
      <c r="AL154" s="26"/>
      <c r="AM154" s="26"/>
      <c r="AN154" s="27">
        <v>2.1023255813953488</v>
      </c>
      <c r="AO154" s="26">
        <v>0.89302325581395348</v>
      </c>
      <c r="AP154" s="26">
        <v>9.3023255813953487E-3</v>
      </c>
      <c r="AQ154" s="26">
        <v>0.33488372093023255</v>
      </c>
      <c r="AR154" s="28">
        <v>0</v>
      </c>
      <c r="AS154" s="249">
        <f t="shared" si="4"/>
        <v>3.7209302325581395E-2</v>
      </c>
      <c r="AT154" s="250">
        <f t="shared" si="5"/>
        <v>4.6511627906976744E-3</v>
      </c>
      <c r="AU154" s="22">
        <v>0</v>
      </c>
      <c r="AV154" s="23">
        <v>0</v>
      </c>
      <c r="AW154" s="24">
        <v>107</v>
      </c>
      <c r="AX154" s="135"/>
      <c r="AY154" s="26"/>
      <c r="AZ154" s="28"/>
      <c r="BA154" s="22">
        <v>67</v>
      </c>
      <c r="BB154" s="24">
        <v>66</v>
      </c>
      <c r="BC154" s="22">
        <v>7</v>
      </c>
      <c r="BD154" s="24">
        <v>8</v>
      </c>
      <c r="BE154" s="22">
        <v>298</v>
      </c>
      <c r="BF154" s="23">
        <v>452</v>
      </c>
      <c r="BG154" s="26">
        <v>0.65929203539823011</v>
      </c>
      <c r="BH154" s="23">
        <v>60</v>
      </c>
      <c r="BI154" s="23">
        <v>107</v>
      </c>
      <c r="BJ154" s="28">
        <v>0.56074766355140182</v>
      </c>
    </row>
    <row r="155" spans="1:62" x14ac:dyDescent="0.25">
      <c r="E155" t="s">
        <v>68</v>
      </c>
      <c r="F155" s="32">
        <v>223</v>
      </c>
      <c r="G155" s="29">
        <v>215</v>
      </c>
      <c r="H155" s="30">
        <v>0</v>
      </c>
      <c r="I155" s="30">
        <v>215</v>
      </c>
      <c r="J155" s="31">
        <v>0</v>
      </c>
      <c r="K155" s="29">
        <v>0</v>
      </c>
      <c r="L155" s="30">
        <v>0</v>
      </c>
      <c r="M155" s="30">
        <v>4</v>
      </c>
      <c r="N155" s="30">
        <v>1</v>
      </c>
      <c r="O155" s="30">
        <v>3</v>
      </c>
      <c r="P155" s="30">
        <v>0</v>
      </c>
      <c r="Q155" s="30">
        <v>0</v>
      </c>
      <c r="R155" s="31">
        <v>0</v>
      </c>
      <c r="S155" s="32">
        <v>8</v>
      </c>
      <c r="T155" s="29">
        <v>7</v>
      </c>
      <c r="U155" s="30">
        <v>0</v>
      </c>
      <c r="V155" s="30">
        <v>0</v>
      </c>
      <c r="W155" s="30">
        <v>4</v>
      </c>
      <c r="X155" s="31">
        <v>3</v>
      </c>
      <c r="Y155" s="29">
        <v>0</v>
      </c>
      <c r="Z155" s="31">
        <v>0</v>
      </c>
      <c r="AA155" s="29">
        <v>0</v>
      </c>
      <c r="AB155" s="31">
        <v>0</v>
      </c>
      <c r="AC155" s="29">
        <v>452</v>
      </c>
      <c r="AD155">
        <v>192</v>
      </c>
      <c r="AE155" s="29">
        <v>18</v>
      </c>
      <c r="AF155" s="30">
        <v>2</v>
      </c>
      <c r="AG155" s="31">
        <v>72</v>
      </c>
      <c r="AH155" s="136"/>
      <c r="AI155" s="33"/>
      <c r="AJ155" s="33"/>
      <c r="AK155" s="33"/>
      <c r="AL155" s="33"/>
      <c r="AM155" s="33"/>
      <c r="AN155" s="34">
        <v>2.1023255813953488</v>
      </c>
      <c r="AO155" s="33">
        <v>0.89302325581395348</v>
      </c>
      <c r="AP155" s="33">
        <v>9.3023255813953487E-3</v>
      </c>
      <c r="AQ155" s="33">
        <v>0.33488372093023255</v>
      </c>
      <c r="AR155" s="35">
        <v>0</v>
      </c>
      <c r="AS155" s="251">
        <f t="shared" si="4"/>
        <v>3.7209302325581395E-2</v>
      </c>
      <c r="AT155" s="252">
        <f t="shared" si="5"/>
        <v>4.6511627906976744E-3</v>
      </c>
      <c r="AU155" s="29">
        <v>0</v>
      </c>
      <c r="AV155" s="30">
        <v>0</v>
      </c>
      <c r="AW155" s="31">
        <v>107</v>
      </c>
      <c r="AX155" s="136"/>
      <c r="AY155" s="33"/>
      <c r="AZ155" s="35"/>
      <c r="BA155" s="29">
        <v>67</v>
      </c>
      <c r="BB155" s="31">
        <v>66</v>
      </c>
      <c r="BC155" s="29">
        <v>7</v>
      </c>
      <c r="BD155" s="31">
        <v>8</v>
      </c>
      <c r="BE155" s="29">
        <v>298</v>
      </c>
      <c r="BF155" s="30">
        <v>452</v>
      </c>
      <c r="BG155" s="33">
        <v>0.65929203539823011</v>
      </c>
      <c r="BH155" s="30">
        <v>60</v>
      </c>
      <c r="BI155" s="30">
        <v>107</v>
      </c>
      <c r="BJ155" s="35">
        <v>0.56074766355140182</v>
      </c>
    </row>
    <row r="156" spans="1:62" x14ac:dyDescent="0.25">
      <c r="A156" s="134"/>
      <c r="B156" s="134"/>
      <c r="C156" s="134"/>
      <c r="D156" s="134" t="s">
        <v>190</v>
      </c>
      <c r="E156" s="134"/>
      <c r="F156" s="25">
        <v>635</v>
      </c>
      <c r="G156" s="22">
        <v>596</v>
      </c>
      <c r="H156" s="23">
        <v>0</v>
      </c>
      <c r="I156" s="23">
        <v>596</v>
      </c>
      <c r="J156" s="24">
        <v>0</v>
      </c>
      <c r="K156" s="22">
        <v>0</v>
      </c>
      <c r="L156" s="23">
        <v>1</v>
      </c>
      <c r="M156" s="23">
        <v>14</v>
      </c>
      <c r="N156" s="23">
        <v>23</v>
      </c>
      <c r="O156" s="23">
        <v>0</v>
      </c>
      <c r="P156" s="23">
        <v>0</v>
      </c>
      <c r="Q156" s="23">
        <v>0</v>
      </c>
      <c r="R156" s="24">
        <v>1</v>
      </c>
      <c r="S156" s="25">
        <v>39</v>
      </c>
      <c r="T156" s="22">
        <v>13</v>
      </c>
      <c r="U156" s="23">
        <v>0</v>
      </c>
      <c r="V156" s="23">
        <v>0</v>
      </c>
      <c r="W156" s="23">
        <v>13</v>
      </c>
      <c r="X156" s="24">
        <v>0</v>
      </c>
      <c r="Y156" s="22">
        <v>0</v>
      </c>
      <c r="Z156" s="24">
        <v>0</v>
      </c>
      <c r="AA156" s="22">
        <v>0</v>
      </c>
      <c r="AB156" s="24">
        <v>0</v>
      </c>
      <c r="AC156" s="22">
        <v>675</v>
      </c>
      <c r="AD156" s="134">
        <v>344</v>
      </c>
      <c r="AE156" s="22">
        <v>170</v>
      </c>
      <c r="AF156" s="23">
        <v>28</v>
      </c>
      <c r="AG156" s="24">
        <v>125</v>
      </c>
      <c r="AH156" s="135"/>
      <c r="AI156" s="26"/>
      <c r="AJ156" s="26"/>
      <c r="AK156" s="26"/>
      <c r="AL156" s="26"/>
      <c r="AM156" s="26"/>
      <c r="AN156" s="27">
        <v>1.1325503355704698</v>
      </c>
      <c r="AO156" s="26">
        <v>0.57718120805369133</v>
      </c>
      <c r="AP156" s="26">
        <v>4.6979865771812082E-2</v>
      </c>
      <c r="AQ156" s="26">
        <v>0.20973154362416108</v>
      </c>
      <c r="AR156" s="28">
        <v>1.6750418760469012E-3</v>
      </c>
      <c r="AS156" s="249">
        <f t="shared" si="4"/>
        <v>6.5436241610738258E-2</v>
      </c>
      <c r="AT156" s="250">
        <f t="shared" si="5"/>
        <v>4.3624161073825503E-2</v>
      </c>
      <c r="AU156" s="22">
        <v>0</v>
      </c>
      <c r="AV156" s="23">
        <v>0</v>
      </c>
      <c r="AW156" s="24">
        <v>277</v>
      </c>
      <c r="AX156" s="135"/>
      <c r="AY156" s="26"/>
      <c r="AZ156" s="28"/>
      <c r="BA156" s="22">
        <v>63</v>
      </c>
      <c r="BB156" s="24">
        <v>59</v>
      </c>
      <c r="BC156" s="22">
        <v>7</v>
      </c>
      <c r="BD156" s="24">
        <v>7</v>
      </c>
      <c r="BE156" s="22">
        <v>344</v>
      </c>
      <c r="BF156" s="23">
        <v>675</v>
      </c>
      <c r="BG156" s="26">
        <v>0.50962962962962965</v>
      </c>
      <c r="BH156" s="23">
        <v>146</v>
      </c>
      <c r="BI156" s="23">
        <v>277</v>
      </c>
      <c r="BJ156" s="28">
        <v>0.52707581227436828</v>
      </c>
    </row>
    <row r="157" spans="1:62" x14ac:dyDescent="0.25">
      <c r="E157" t="s">
        <v>68</v>
      </c>
      <c r="F157" s="32">
        <v>635</v>
      </c>
      <c r="G157" s="29">
        <v>596</v>
      </c>
      <c r="H157" s="30">
        <v>0</v>
      </c>
      <c r="I157" s="30">
        <v>596</v>
      </c>
      <c r="J157" s="31">
        <v>0</v>
      </c>
      <c r="K157" s="29">
        <v>0</v>
      </c>
      <c r="L157" s="30">
        <v>1</v>
      </c>
      <c r="M157" s="30">
        <v>14</v>
      </c>
      <c r="N157" s="30">
        <v>23</v>
      </c>
      <c r="O157" s="30">
        <v>0</v>
      </c>
      <c r="P157" s="30">
        <v>0</v>
      </c>
      <c r="Q157" s="30">
        <v>0</v>
      </c>
      <c r="R157" s="31">
        <v>1</v>
      </c>
      <c r="S157" s="32">
        <v>39</v>
      </c>
      <c r="T157" s="29">
        <v>13</v>
      </c>
      <c r="U157" s="30">
        <v>0</v>
      </c>
      <c r="V157" s="30">
        <v>0</v>
      </c>
      <c r="W157" s="30">
        <v>13</v>
      </c>
      <c r="X157" s="31">
        <v>0</v>
      </c>
      <c r="Y157" s="29">
        <v>0</v>
      </c>
      <c r="Z157" s="31">
        <v>0</v>
      </c>
      <c r="AA157" s="29">
        <v>0</v>
      </c>
      <c r="AB157" s="31">
        <v>0</v>
      </c>
      <c r="AC157" s="29">
        <v>675</v>
      </c>
      <c r="AD157">
        <v>344</v>
      </c>
      <c r="AE157" s="29">
        <v>170</v>
      </c>
      <c r="AF157" s="30">
        <v>28</v>
      </c>
      <c r="AG157" s="31">
        <v>125</v>
      </c>
      <c r="AH157" s="136"/>
      <c r="AI157" s="33"/>
      <c r="AJ157" s="33"/>
      <c r="AK157" s="33"/>
      <c r="AL157" s="33"/>
      <c r="AM157" s="33"/>
      <c r="AN157" s="34">
        <v>1.1325503355704698</v>
      </c>
      <c r="AO157" s="33">
        <v>0.57718120805369133</v>
      </c>
      <c r="AP157" s="33">
        <v>4.6979865771812082E-2</v>
      </c>
      <c r="AQ157" s="33">
        <v>0.20973154362416108</v>
      </c>
      <c r="AR157" s="35">
        <v>1.6750418760469012E-3</v>
      </c>
      <c r="AS157" s="251">
        <f t="shared" si="4"/>
        <v>6.5436241610738258E-2</v>
      </c>
      <c r="AT157" s="252">
        <f t="shared" si="5"/>
        <v>4.3624161073825503E-2</v>
      </c>
      <c r="AU157" s="29">
        <v>0</v>
      </c>
      <c r="AV157" s="30">
        <v>0</v>
      </c>
      <c r="AW157" s="31">
        <v>277</v>
      </c>
      <c r="AX157" s="136"/>
      <c r="AY157" s="33"/>
      <c r="AZ157" s="35"/>
      <c r="BA157" s="29">
        <v>63</v>
      </c>
      <c r="BB157" s="31">
        <v>59</v>
      </c>
      <c r="BC157" s="29">
        <v>7</v>
      </c>
      <c r="BD157" s="31">
        <v>7</v>
      </c>
      <c r="BE157" s="29">
        <v>344</v>
      </c>
      <c r="BF157" s="30">
        <v>675</v>
      </c>
      <c r="BG157" s="33">
        <v>0.50962962962962965</v>
      </c>
      <c r="BH157" s="30">
        <v>146</v>
      </c>
      <c r="BI157" s="30">
        <v>277</v>
      </c>
      <c r="BJ157" s="35">
        <v>0.52707581227436828</v>
      </c>
    </row>
    <row r="158" spans="1:62" x14ac:dyDescent="0.25">
      <c r="A158" s="134"/>
      <c r="B158" s="134"/>
      <c r="C158" s="134"/>
      <c r="D158" s="134" t="s">
        <v>130</v>
      </c>
      <c r="E158" s="134"/>
      <c r="F158" s="25">
        <v>5600</v>
      </c>
      <c r="G158" s="22">
        <v>4832</v>
      </c>
      <c r="H158" s="23">
        <v>0</v>
      </c>
      <c r="I158" s="23">
        <v>4832</v>
      </c>
      <c r="J158" s="24">
        <v>0</v>
      </c>
      <c r="K158" s="22">
        <v>0</v>
      </c>
      <c r="L158" s="23">
        <v>8</v>
      </c>
      <c r="M158" s="23">
        <v>635</v>
      </c>
      <c r="N158" s="23">
        <v>8</v>
      </c>
      <c r="O158" s="23">
        <v>5</v>
      </c>
      <c r="P158" s="23">
        <v>0</v>
      </c>
      <c r="Q158" s="23">
        <v>21</v>
      </c>
      <c r="R158" s="24">
        <v>87</v>
      </c>
      <c r="S158" s="25">
        <v>307</v>
      </c>
      <c r="T158" s="22">
        <v>1288</v>
      </c>
      <c r="U158" s="23">
        <v>4</v>
      </c>
      <c r="V158" s="23">
        <v>18</v>
      </c>
      <c r="W158" s="23">
        <v>582</v>
      </c>
      <c r="X158" s="24">
        <v>684</v>
      </c>
      <c r="Y158" s="22">
        <v>11795</v>
      </c>
      <c r="Z158" s="24">
        <v>3522</v>
      </c>
      <c r="AA158" s="22">
        <v>12113</v>
      </c>
      <c r="AB158" s="24">
        <v>3630</v>
      </c>
      <c r="AC158" s="22">
        <v>12472</v>
      </c>
      <c r="AD158" s="134">
        <v>3728</v>
      </c>
      <c r="AE158" s="22">
        <v>1772</v>
      </c>
      <c r="AF158" s="23">
        <v>255</v>
      </c>
      <c r="AG158" s="24">
        <v>938</v>
      </c>
      <c r="AH158" s="135">
        <v>2.6960576515472658E-2</v>
      </c>
      <c r="AI158" s="26">
        <v>5.7397202204323865E-2</v>
      </c>
      <c r="AJ158" s="26">
        <v>2.9637579460084208E-2</v>
      </c>
      <c r="AK158" s="26">
        <v>3.0664395229982964E-2</v>
      </c>
      <c r="AL158" s="26">
        <v>5.8489494605337873E-2</v>
      </c>
      <c r="AM158" s="26">
        <v>2.6997245179063361E-2</v>
      </c>
      <c r="AN158" s="27">
        <v>2.5811258278145695</v>
      </c>
      <c r="AO158" s="26">
        <v>0.77152317880794707</v>
      </c>
      <c r="AP158" s="26">
        <v>5.2773178807947019E-2</v>
      </c>
      <c r="AQ158" s="26">
        <v>0.1941225165562914</v>
      </c>
      <c r="AR158" s="28">
        <v>1.7686521650742019E-2</v>
      </c>
      <c r="AS158" s="249">
        <f t="shared" si="4"/>
        <v>6.3534768211920528E-2</v>
      </c>
      <c r="AT158" s="250">
        <f t="shared" si="5"/>
        <v>-0.20302152317880795</v>
      </c>
      <c r="AU158" s="22">
        <v>1375</v>
      </c>
      <c r="AV158" s="23">
        <v>1499</v>
      </c>
      <c r="AW158" s="24">
        <v>1451</v>
      </c>
      <c r="AX158" s="135">
        <v>9.0181818181818182E-2</v>
      </c>
      <c r="AY158" s="26">
        <v>5.5272727272727272E-2</v>
      </c>
      <c r="AZ158" s="28">
        <v>-3.2021347565043365E-2</v>
      </c>
      <c r="BA158" s="22">
        <v>60</v>
      </c>
      <c r="BB158" s="24">
        <v>47</v>
      </c>
      <c r="BC158" s="22">
        <v>7</v>
      </c>
      <c r="BD158" s="24">
        <v>5</v>
      </c>
      <c r="BE158" s="22">
        <v>6583</v>
      </c>
      <c r="BF158" s="23">
        <v>12472</v>
      </c>
      <c r="BG158" s="26">
        <v>0.52782232200128287</v>
      </c>
      <c r="BH158" s="23">
        <v>795</v>
      </c>
      <c r="BI158" s="23">
        <v>1451</v>
      </c>
      <c r="BJ158" s="28">
        <v>0.54789800137835976</v>
      </c>
    </row>
    <row r="159" spans="1:62" x14ac:dyDescent="0.25">
      <c r="E159" t="s">
        <v>68</v>
      </c>
      <c r="F159" s="32">
        <v>5600</v>
      </c>
      <c r="G159" s="29">
        <v>4832</v>
      </c>
      <c r="H159" s="30">
        <v>0</v>
      </c>
      <c r="I159" s="30">
        <v>4832</v>
      </c>
      <c r="J159" s="31">
        <v>0</v>
      </c>
      <c r="K159" s="29">
        <v>0</v>
      </c>
      <c r="L159" s="30">
        <v>8</v>
      </c>
      <c r="M159" s="30">
        <v>635</v>
      </c>
      <c r="N159" s="30">
        <v>8</v>
      </c>
      <c r="O159" s="30">
        <v>5</v>
      </c>
      <c r="P159" s="30">
        <v>0</v>
      </c>
      <c r="Q159" s="30">
        <v>21</v>
      </c>
      <c r="R159" s="31">
        <v>87</v>
      </c>
      <c r="S159" s="32">
        <v>307</v>
      </c>
      <c r="T159" s="29">
        <v>1288</v>
      </c>
      <c r="U159" s="30">
        <v>4</v>
      </c>
      <c r="V159" s="30">
        <v>18</v>
      </c>
      <c r="W159" s="30">
        <v>582</v>
      </c>
      <c r="X159" s="31">
        <v>684</v>
      </c>
      <c r="Y159" s="29">
        <v>11795</v>
      </c>
      <c r="Z159" s="31">
        <v>3522</v>
      </c>
      <c r="AA159" s="29">
        <v>12113</v>
      </c>
      <c r="AB159" s="31">
        <v>3630</v>
      </c>
      <c r="AC159" s="29">
        <v>12472</v>
      </c>
      <c r="AD159">
        <v>3728</v>
      </c>
      <c r="AE159" s="29">
        <v>1772</v>
      </c>
      <c r="AF159" s="30">
        <v>255</v>
      </c>
      <c r="AG159" s="31">
        <v>938</v>
      </c>
      <c r="AH159" s="136">
        <v>2.6960576515472658E-2</v>
      </c>
      <c r="AI159" s="33">
        <v>5.7397202204323865E-2</v>
      </c>
      <c r="AJ159" s="33">
        <v>2.9637579460084208E-2</v>
      </c>
      <c r="AK159" s="33">
        <v>3.0664395229982964E-2</v>
      </c>
      <c r="AL159" s="33">
        <v>5.8489494605337873E-2</v>
      </c>
      <c r="AM159" s="33">
        <v>2.6997245179063361E-2</v>
      </c>
      <c r="AN159" s="34">
        <v>2.5811258278145695</v>
      </c>
      <c r="AO159" s="33">
        <v>0.77152317880794707</v>
      </c>
      <c r="AP159" s="33">
        <v>5.2773178807947019E-2</v>
      </c>
      <c r="AQ159" s="33">
        <v>0.1941225165562914</v>
      </c>
      <c r="AR159" s="35">
        <v>1.7686521650742019E-2</v>
      </c>
      <c r="AS159" s="251">
        <f t="shared" si="4"/>
        <v>6.3534768211920528E-2</v>
      </c>
      <c r="AT159" s="252">
        <f t="shared" si="5"/>
        <v>-0.20302152317880795</v>
      </c>
      <c r="AU159" s="29">
        <v>1375</v>
      </c>
      <c r="AV159" s="30">
        <v>1499</v>
      </c>
      <c r="AW159" s="31">
        <v>1451</v>
      </c>
      <c r="AX159" s="136">
        <v>9.0181818181818182E-2</v>
      </c>
      <c r="AY159" s="33">
        <v>5.5272727272727272E-2</v>
      </c>
      <c r="AZ159" s="35">
        <v>-3.2021347565043365E-2</v>
      </c>
      <c r="BA159" s="29">
        <v>60</v>
      </c>
      <c r="BB159" s="31">
        <v>47</v>
      </c>
      <c r="BC159" s="29">
        <v>7</v>
      </c>
      <c r="BD159" s="31">
        <v>5</v>
      </c>
      <c r="BE159" s="29">
        <v>6583</v>
      </c>
      <c r="BF159" s="30">
        <v>12472</v>
      </c>
      <c r="BG159" s="33">
        <v>0.52782232200128287</v>
      </c>
      <c r="BH159" s="30">
        <v>795</v>
      </c>
      <c r="BI159" s="30">
        <v>1451</v>
      </c>
      <c r="BJ159" s="35">
        <v>0.54789800137835976</v>
      </c>
    </row>
    <row r="160" spans="1:62" x14ac:dyDescent="0.25">
      <c r="A160" s="134"/>
      <c r="B160" s="134"/>
      <c r="C160" s="134"/>
      <c r="D160" s="134" t="s">
        <v>131</v>
      </c>
      <c r="E160" s="134"/>
      <c r="F160" s="25">
        <v>961</v>
      </c>
      <c r="G160" s="22">
        <v>684</v>
      </c>
      <c r="H160" s="23">
        <v>0</v>
      </c>
      <c r="I160" s="23">
        <v>684</v>
      </c>
      <c r="J160" s="24">
        <v>0</v>
      </c>
      <c r="K160" s="22">
        <v>0</v>
      </c>
      <c r="L160" s="23">
        <v>152</v>
      </c>
      <c r="M160" s="23">
        <v>10</v>
      </c>
      <c r="N160" s="23">
        <v>2</v>
      </c>
      <c r="O160" s="23">
        <v>77</v>
      </c>
      <c r="P160" s="23">
        <v>0</v>
      </c>
      <c r="Q160" s="23">
        <v>0</v>
      </c>
      <c r="R160" s="24">
        <v>36</v>
      </c>
      <c r="S160" s="25">
        <v>181</v>
      </c>
      <c r="T160" s="22">
        <v>372</v>
      </c>
      <c r="U160" s="23">
        <v>0</v>
      </c>
      <c r="V160" s="23">
        <v>0</v>
      </c>
      <c r="W160" s="23">
        <v>9</v>
      </c>
      <c r="X160" s="24">
        <v>363</v>
      </c>
      <c r="Y160" s="22">
        <v>1396</v>
      </c>
      <c r="Z160" s="24">
        <v>679</v>
      </c>
      <c r="AA160" s="22">
        <v>1190</v>
      </c>
      <c r="AB160" s="24">
        <v>576</v>
      </c>
      <c r="AC160" s="22">
        <v>1885</v>
      </c>
      <c r="AD160" s="134">
        <v>771</v>
      </c>
      <c r="AE160" s="22">
        <v>106</v>
      </c>
      <c r="AF160" s="23">
        <v>17</v>
      </c>
      <c r="AG160" s="24">
        <v>206</v>
      </c>
      <c r="AH160" s="135">
        <v>-0.14756446991404013</v>
      </c>
      <c r="AI160" s="26">
        <v>0.35028653295128942</v>
      </c>
      <c r="AJ160" s="26">
        <v>0.58403361344537819</v>
      </c>
      <c r="AK160" s="26">
        <v>-0.15169366715758467</v>
      </c>
      <c r="AL160" s="26">
        <v>0.13549337260677466</v>
      </c>
      <c r="AM160" s="26">
        <v>0.33854166666666669</v>
      </c>
      <c r="AN160" s="27">
        <v>2.7558479532163744</v>
      </c>
      <c r="AO160" s="26">
        <v>1.1271929824561404</v>
      </c>
      <c r="AP160" s="26">
        <v>2.4853801169590642E-2</v>
      </c>
      <c r="AQ160" s="26">
        <v>0.30116959064327486</v>
      </c>
      <c r="AR160" s="28">
        <v>0.05</v>
      </c>
      <c r="AS160" s="249">
        <f t="shared" si="4"/>
        <v>0.2646198830409357</v>
      </c>
      <c r="AT160" s="250">
        <f t="shared" si="5"/>
        <v>-0.27923976608187134</v>
      </c>
      <c r="AU160" s="22">
        <v>277</v>
      </c>
      <c r="AV160" s="23">
        <v>123</v>
      </c>
      <c r="AW160" s="24">
        <v>289</v>
      </c>
      <c r="AX160" s="135">
        <v>-0.55595667870036103</v>
      </c>
      <c r="AY160" s="26">
        <v>4.3321299638989168E-2</v>
      </c>
      <c r="AZ160" s="28">
        <v>1.3495934959349594</v>
      </c>
      <c r="BA160" s="22">
        <v>45</v>
      </c>
      <c r="BB160" s="24">
        <v>42</v>
      </c>
      <c r="BC160" s="22">
        <v>5</v>
      </c>
      <c r="BD160" s="24">
        <v>4</v>
      </c>
      <c r="BE160" s="22">
        <v>1484</v>
      </c>
      <c r="BF160" s="23">
        <v>1885</v>
      </c>
      <c r="BG160" s="26">
        <v>0.78726790450928386</v>
      </c>
      <c r="BH160" s="23">
        <v>206</v>
      </c>
      <c r="BI160" s="23">
        <v>289</v>
      </c>
      <c r="BJ160" s="28">
        <v>0.71280276816609001</v>
      </c>
    </row>
    <row r="161" spans="1:62" x14ac:dyDescent="0.25">
      <c r="E161" t="s">
        <v>68</v>
      </c>
      <c r="F161" s="32">
        <v>950</v>
      </c>
      <c r="G161" s="29">
        <v>684</v>
      </c>
      <c r="H161" s="30">
        <v>0</v>
      </c>
      <c r="I161" s="30">
        <v>684</v>
      </c>
      <c r="J161" s="31">
        <v>0</v>
      </c>
      <c r="K161" s="29">
        <v>0</v>
      </c>
      <c r="L161" s="30">
        <v>141</v>
      </c>
      <c r="M161" s="30">
        <v>10</v>
      </c>
      <c r="N161" s="30">
        <v>2</v>
      </c>
      <c r="O161" s="30">
        <v>77</v>
      </c>
      <c r="P161" s="30">
        <v>0</v>
      </c>
      <c r="Q161" s="30">
        <v>0</v>
      </c>
      <c r="R161" s="31">
        <v>36</v>
      </c>
      <c r="S161" s="32">
        <v>170</v>
      </c>
      <c r="T161" s="29">
        <v>372</v>
      </c>
      <c r="U161" s="30">
        <v>0</v>
      </c>
      <c r="V161" s="30">
        <v>0</v>
      </c>
      <c r="W161" s="30">
        <v>9</v>
      </c>
      <c r="X161" s="31">
        <v>363</v>
      </c>
      <c r="Y161" s="29">
        <v>1396</v>
      </c>
      <c r="Z161" s="31">
        <v>679</v>
      </c>
      <c r="AA161" s="29">
        <v>1190</v>
      </c>
      <c r="AB161" s="31">
        <v>576</v>
      </c>
      <c r="AC161" s="29">
        <v>1885</v>
      </c>
      <c r="AD161">
        <v>771</v>
      </c>
      <c r="AE161" s="29">
        <v>106</v>
      </c>
      <c r="AF161" s="30">
        <v>17</v>
      </c>
      <c r="AG161" s="31">
        <v>206</v>
      </c>
      <c r="AH161" s="136">
        <v>-0.14756446991404013</v>
      </c>
      <c r="AI161" s="33">
        <v>0.35028653295128942</v>
      </c>
      <c r="AJ161" s="33">
        <v>0.58403361344537819</v>
      </c>
      <c r="AK161" s="33">
        <v>-0.15169366715758467</v>
      </c>
      <c r="AL161" s="33">
        <v>0.13549337260677466</v>
      </c>
      <c r="AM161" s="33">
        <v>0.33854166666666669</v>
      </c>
      <c r="AN161" s="34">
        <v>2.7558479532163744</v>
      </c>
      <c r="AO161" s="33">
        <v>1.1271929824561404</v>
      </c>
      <c r="AP161" s="33">
        <v>2.4853801169590642E-2</v>
      </c>
      <c r="AQ161" s="33">
        <v>0.30116959064327486</v>
      </c>
      <c r="AR161" s="35">
        <v>0.05</v>
      </c>
      <c r="AS161" s="251">
        <f t="shared" si="4"/>
        <v>0.24853801169590642</v>
      </c>
      <c r="AT161" s="252">
        <f t="shared" si="5"/>
        <v>-0.2953216374269006</v>
      </c>
      <c r="AU161" s="29">
        <v>219</v>
      </c>
      <c r="AV161" s="30">
        <v>123</v>
      </c>
      <c r="AW161" s="31">
        <v>289</v>
      </c>
      <c r="AX161" s="136">
        <v>-0.43835616438356162</v>
      </c>
      <c r="AY161" s="33">
        <v>0.31963470319634701</v>
      </c>
      <c r="AZ161" s="35">
        <v>1.3495934959349594</v>
      </c>
      <c r="BA161" s="29">
        <v>45</v>
      </c>
      <c r="BB161" s="31">
        <v>42</v>
      </c>
      <c r="BC161" s="29">
        <v>5</v>
      </c>
      <c r="BD161" s="31">
        <v>4</v>
      </c>
      <c r="BE161" s="29">
        <v>1484</v>
      </c>
      <c r="BF161" s="30">
        <v>1885</v>
      </c>
      <c r="BG161" s="33">
        <v>0.78726790450928386</v>
      </c>
      <c r="BH161" s="30">
        <v>206</v>
      </c>
      <c r="BI161" s="30">
        <v>289</v>
      </c>
      <c r="BJ161" s="35">
        <v>0.71280276816609001</v>
      </c>
    </row>
    <row r="162" spans="1:62" x14ac:dyDescent="0.25">
      <c r="A162" s="134"/>
      <c r="B162" s="134"/>
      <c r="C162" s="134"/>
      <c r="D162" s="134" t="s">
        <v>191</v>
      </c>
      <c r="E162" s="134"/>
      <c r="F162" s="25">
        <v>1075</v>
      </c>
      <c r="G162" s="22">
        <v>829</v>
      </c>
      <c r="H162" s="23">
        <v>0</v>
      </c>
      <c r="I162" s="23">
        <v>829</v>
      </c>
      <c r="J162" s="24">
        <v>0</v>
      </c>
      <c r="K162" s="22">
        <v>0</v>
      </c>
      <c r="L162" s="23">
        <v>0</v>
      </c>
      <c r="M162" s="23">
        <v>12</v>
      </c>
      <c r="N162" s="23">
        <v>1</v>
      </c>
      <c r="O162" s="23">
        <v>5</v>
      </c>
      <c r="P162" s="23">
        <v>0</v>
      </c>
      <c r="Q162" s="23">
        <v>9</v>
      </c>
      <c r="R162" s="24">
        <v>33</v>
      </c>
      <c r="S162" s="25">
        <v>37</v>
      </c>
      <c r="T162" s="22">
        <v>201</v>
      </c>
      <c r="U162" s="23">
        <v>0</v>
      </c>
      <c r="V162" s="23">
        <v>4</v>
      </c>
      <c r="W162" s="23">
        <v>7</v>
      </c>
      <c r="X162" s="24">
        <v>190</v>
      </c>
      <c r="Y162" s="22">
        <v>1087</v>
      </c>
      <c r="Z162" s="24">
        <v>523</v>
      </c>
      <c r="AA162" s="22">
        <v>1143</v>
      </c>
      <c r="AB162" s="24">
        <v>507</v>
      </c>
      <c r="AC162" s="22">
        <v>1405</v>
      </c>
      <c r="AD162" s="134">
        <v>551</v>
      </c>
      <c r="AE162" s="22">
        <v>525</v>
      </c>
      <c r="AF162" s="23">
        <v>247</v>
      </c>
      <c r="AG162" s="24">
        <v>140</v>
      </c>
      <c r="AH162" s="135">
        <v>5.1517939282428704E-2</v>
      </c>
      <c r="AI162" s="26">
        <v>0.29254829806807725</v>
      </c>
      <c r="AJ162" s="26">
        <v>0.22922134733158356</v>
      </c>
      <c r="AK162" s="26">
        <v>-3.0592734225621414E-2</v>
      </c>
      <c r="AL162" s="26">
        <v>5.3537284894837479E-2</v>
      </c>
      <c r="AM162" s="26">
        <v>8.6785009861932938E-2</v>
      </c>
      <c r="AN162" s="27">
        <v>1.6948130277442701</v>
      </c>
      <c r="AO162" s="26">
        <v>0.66465621230398075</v>
      </c>
      <c r="AP162" s="26">
        <v>0.29794933655006034</v>
      </c>
      <c r="AQ162" s="26">
        <v>0.16887816646562123</v>
      </c>
      <c r="AR162" s="28">
        <v>3.8283062645011599E-2</v>
      </c>
      <c r="AS162" s="249">
        <f t="shared" si="4"/>
        <v>4.4632086851628471E-2</v>
      </c>
      <c r="AT162" s="250">
        <f t="shared" si="5"/>
        <v>-0.19782870928829915</v>
      </c>
      <c r="AU162" s="22">
        <v>379</v>
      </c>
      <c r="AV162" s="23">
        <v>408</v>
      </c>
      <c r="AW162" s="24">
        <v>452</v>
      </c>
      <c r="AX162" s="135">
        <v>7.6517150395778361E-2</v>
      </c>
      <c r="AY162" s="26">
        <v>0.19261213720316622</v>
      </c>
      <c r="AZ162" s="28">
        <v>0.10784313725490197</v>
      </c>
      <c r="BA162" s="22">
        <v>38</v>
      </c>
      <c r="BB162" s="24">
        <v>37</v>
      </c>
      <c r="BC162" s="22">
        <v>4</v>
      </c>
      <c r="BD162" s="24">
        <v>4</v>
      </c>
      <c r="BE162" s="22">
        <v>827</v>
      </c>
      <c r="BF162" s="23">
        <v>1405</v>
      </c>
      <c r="BG162" s="26">
        <v>0.58861209964412808</v>
      </c>
      <c r="BH162" s="23">
        <v>243</v>
      </c>
      <c r="BI162" s="23">
        <v>452</v>
      </c>
      <c r="BJ162" s="28">
        <v>0.53761061946902655</v>
      </c>
    </row>
    <row r="163" spans="1:62" x14ac:dyDescent="0.25">
      <c r="E163" t="s">
        <v>68</v>
      </c>
      <c r="F163" s="32">
        <v>1075</v>
      </c>
      <c r="G163" s="29">
        <v>829</v>
      </c>
      <c r="H163" s="30">
        <v>0</v>
      </c>
      <c r="I163" s="30">
        <v>829</v>
      </c>
      <c r="J163" s="31">
        <v>0</v>
      </c>
      <c r="K163" s="29">
        <v>0</v>
      </c>
      <c r="L163" s="30">
        <v>0</v>
      </c>
      <c r="M163" s="30">
        <v>12</v>
      </c>
      <c r="N163" s="30">
        <v>1</v>
      </c>
      <c r="O163" s="30">
        <v>5</v>
      </c>
      <c r="P163" s="30">
        <v>0</v>
      </c>
      <c r="Q163" s="30">
        <v>9</v>
      </c>
      <c r="R163" s="31">
        <v>33</v>
      </c>
      <c r="S163" s="32">
        <v>37</v>
      </c>
      <c r="T163" s="29">
        <v>201</v>
      </c>
      <c r="U163" s="30">
        <v>0</v>
      </c>
      <c r="V163" s="30">
        <v>4</v>
      </c>
      <c r="W163" s="30">
        <v>7</v>
      </c>
      <c r="X163" s="31">
        <v>190</v>
      </c>
      <c r="Y163" s="29">
        <v>1087</v>
      </c>
      <c r="Z163" s="31">
        <v>523</v>
      </c>
      <c r="AA163" s="29">
        <v>1143</v>
      </c>
      <c r="AB163" s="31">
        <v>507</v>
      </c>
      <c r="AC163" s="29">
        <v>1405</v>
      </c>
      <c r="AD163">
        <v>551</v>
      </c>
      <c r="AE163" s="29">
        <v>525</v>
      </c>
      <c r="AF163" s="30">
        <v>247</v>
      </c>
      <c r="AG163" s="31">
        <v>140</v>
      </c>
      <c r="AH163" s="136">
        <v>5.1517939282428704E-2</v>
      </c>
      <c r="AI163" s="33">
        <v>0.29254829806807725</v>
      </c>
      <c r="AJ163" s="33">
        <v>0.22922134733158356</v>
      </c>
      <c r="AK163" s="33">
        <v>-3.0592734225621414E-2</v>
      </c>
      <c r="AL163" s="33">
        <v>5.3537284894837479E-2</v>
      </c>
      <c r="AM163" s="33">
        <v>8.6785009861932938E-2</v>
      </c>
      <c r="AN163" s="34">
        <v>1.6948130277442701</v>
      </c>
      <c r="AO163" s="33">
        <v>0.66465621230398075</v>
      </c>
      <c r="AP163" s="33">
        <v>0.29794933655006034</v>
      </c>
      <c r="AQ163" s="33">
        <v>0.16887816646562123</v>
      </c>
      <c r="AR163" s="35">
        <v>3.8283062645011599E-2</v>
      </c>
      <c r="AS163" s="251">
        <f t="shared" si="4"/>
        <v>4.4632086851628471E-2</v>
      </c>
      <c r="AT163" s="252">
        <f t="shared" si="5"/>
        <v>-0.19782870928829915</v>
      </c>
      <c r="AU163" s="29">
        <v>379</v>
      </c>
      <c r="AV163" s="30">
        <v>408</v>
      </c>
      <c r="AW163" s="31">
        <v>452</v>
      </c>
      <c r="AX163" s="136">
        <v>7.6517150395778361E-2</v>
      </c>
      <c r="AY163" s="33">
        <v>0.19261213720316622</v>
      </c>
      <c r="AZ163" s="35">
        <v>0.10784313725490197</v>
      </c>
      <c r="BA163" s="29">
        <v>38</v>
      </c>
      <c r="BB163" s="31">
        <v>37</v>
      </c>
      <c r="BC163" s="29">
        <v>4</v>
      </c>
      <c r="BD163" s="31">
        <v>4</v>
      </c>
      <c r="BE163" s="29">
        <v>827</v>
      </c>
      <c r="BF163" s="30">
        <v>1405</v>
      </c>
      <c r="BG163" s="33">
        <v>0.58861209964412808</v>
      </c>
      <c r="BH163" s="30">
        <v>243</v>
      </c>
      <c r="BI163" s="30">
        <v>452</v>
      </c>
      <c r="BJ163" s="35">
        <v>0.53761061946902655</v>
      </c>
    </row>
    <row r="164" spans="1:62" x14ac:dyDescent="0.25">
      <c r="A164" s="132"/>
      <c r="B164" s="132"/>
      <c r="C164" s="132" t="s">
        <v>94</v>
      </c>
      <c r="D164" s="132"/>
      <c r="E164" s="132"/>
      <c r="F164" s="18">
        <v>1109</v>
      </c>
      <c r="G164" s="15">
        <v>957</v>
      </c>
      <c r="H164" s="16">
        <v>0</v>
      </c>
      <c r="I164" s="16">
        <v>952</v>
      </c>
      <c r="J164" s="17">
        <v>5</v>
      </c>
      <c r="K164" s="15">
        <v>0</v>
      </c>
      <c r="L164" s="16">
        <v>0</v>
      </c>
      <c r="M164" s="16">
        <v>2</v>
      </c>
      <c r="N164" s="16">
        <v>5</v>
      </c>
      <c r="O164" s="16">
        <v>21</v>
      </c>
      <c r="P164" s="16">
        <v>0</v>
      </c>
      <c r="Q164" s="16">
        <v>111</v>
      </c>
      <c r="R164" s="17">
        <v>13</v>
      </c>
      <c r="S164" s="18">
        <v>11</v>
      </c>
      <c r="T164" s="15">
        <v>645</v>
      </c>
      <c r="U164" s="16">
        <v>2</v>
      </c>
      <c r="V164" s="16">
        <v>110</v>
      </c>
      <c r="W164" s="16">
        <v>2</v>
      </c>
      <c r="X164" s="17">
        <v>531</v>
      </c>
      <c r="Y164" s="15">
        <v>478</v>
      </c>
      <c r="Z164" s="17">
        <v>303</v>
      </c>
      <c r="AA164" s="15">
        <v>566</v>
      </c>
      <c r="AB164" s="17">
        <v>311</v>
      </c>
      <c r="AC164" s="15">
        <v>557</v>
      </c>
      <c r="AD164" s="132">
        <v>341</v>
      </c>
      <c r="AE164" s="15">
        <v>770</v>
      </c>
      <c r="AF164" s="16">
        <v>505</v>
      </c>
      <c r="AG164" s="17">
        <v>41</v>
      </c>
      <c r="AH164" s="133">
        <v>0.18410041841004185</v>
      </c>
      <c r="AI164" s="19">
        <v>0.16527196652719664</v>
      </c>
      <c r="AJ164" s="19">
        <v>-1.5901060070671377E-2</v>
      </c>
      <c r="AK164" s="19">
        <v>2.6402640264026403E-2</v>
      </c>
      <c r="AL164" s="19">
        <v>0.1254125412541254</v>
      </c>
      <c r="AM164" s="19">
        <v>9.6463022508038579E-2</v>
      </c>
      <c r="AN164" s="20">
        <v>0.58202716823406475</v>
      </c>
      <c r="AO164" s="19">
        <v>0.35632183908045978</v>
      </c>
      <c r="AP164" s="19">
        <v>0.52769070010449326</v>
      </c>
      <c r="AQ164" s="19">
        <v>4.2842215256008356E-2</v>
      </c>
      <c r="AR164" s="21">
        <v>1.3402061855670102E-2</v>
      </c>
      <c r="AS164" s="247">
        <f t="shared" si="4"/>
        <v>1.1494252873563218E-2</v>
      </c>
      <c r="AT164" s="248">
        <f t="shared" si="5"/>
        <v>-0.66248693834900729</v>
      </c>
      <c r="AU164" s="15">
        <v>234</v>
      </c>
      <c r="AV164" s="16">
        <v>238</v>
      </c>
      <c r="AW164" s="17">
        <v>232</v>
      </c>
      <c r="AX164" s="133">
        <v>1.7094017094017096E-2</v>
      </c>
      <c r="AY164" s="19">
        <v>-8.5470085470085479E-3</v>
      </c>
      <c r="AZ164" s="21">
        <v>-2.5210084033613446E-2</v>
      </c>
      <c r="BA164" s="15">
        <v>47.5</v>
      </c>
      <c r="BB164" s="17">
        <v>38</v>
      </c>
      <c r="BC164" s="15">
        <v>5</v>
      </c>
      <c r="BD164" s="17">
        <v>4</v>
      </c>
      <c r="BE164" s="15">
        <v>367</v>
      </c>
      <c r="BF164" s="16">
        <v>557</v>
      </c>
      <c r="BG164" s="19">
        <v>0.65888689407540391</v>
      </c>
      <c r="BH164" s="16">
        <v>144</v>
      </c>
      <c r="BI164" s="16">
        <v>232</v>
      </c>
      <c r="BJ164" s="21">
        <v>0.62068965517241381</v>
      </c>
    </row>
    <row r="165" spans="1:62" x14ac:dyDescent="0.25">
      <c r="E165" t="s">
        <v>68</v>
      </c>
      <c r="F165" s="32">
        <v>1109</v>
      </c>
      <c r="G165" s="29">
        <v>957</v>
      </c>
      <c r="H165" s="30">
        <v>0</v>
      </c>
      <c r="I165" s="30">
        <v>952</v>
      </c>
      <c r="J165" s="31">
        <v>5</v>
      </c>
      <c r="K165" s="29">
        <v>0</v>
      </c>
      <c r="L165" s="30">
        <v>0</v>
      </c>
      <c r="M165" s="30">
        <v>2</v>
      </c>
      <c r="N165" s="30">
        <v>5</v>
      </c>
      <c r="O165" s="30">
        <v>21</v>
      </c>
      <c r="P165" s="30">
        <v>0</v>
      </c>
      <c r="Q165" s="30">
        <v>111</v>
      </c>
      <c r="R165" s="31">
        <v>13</v>
      </c>
      <c r="S165" s="32">
        <v>11</v>
      </c>
      <c r="T165" s="29">
        <v>645</v>
      </c>
      <c r="U165" s="30">
        <v>2</v>
      </c>
      <c r="V165" s="30">
        <v>110</v>
      </c>
      <c r="W165" s="30">
        <v>2</v>
      </c>
      <c r="X165" s="31">
        <v>531</v>
      </c>
      <c r="Y165" s="29">
        <v>478</v>
      </c>
      <c r="Z165" s="31">
        <v>303</v>
      </c>
      <c r="AA165" s="29">
        <v>566</v>
      </c>
      <c r="AB165" s="31">
        <v>311</v>
      </c>
      <c r="AC165" s="29">
        <v>557</v>
      </c>
      <c r="AD165">
        <v>341</v>
      </c>
      <c r="AE165" s="29">
        <v>770</v>
      </c>
      <c r="AF165" s="30">
        <v>505</v>
      </c>
      <c r="AG165" s="31">
        <v>41</v>
      </c>
      <c r="AH165" s="136">
        <v>0.18410041841004185</v>
      </c>
      <c r="AI165" s="33">
        <v>0.16527196652719664</v>
      </c>
      <c r="AJ165" s="33">
        <v>-1.5901060070671377E-2</v>
      </c>
      <c r="AK165" s="33">
        <v>2.6402640264026403E-2</v>
      </c>
      <c r="AL165" s="33">
        <v>0.1254125412541254</v>
      </c>
      <c r="AM165" s="33">
        <v>9.6463022508038579E-2</v>
      </c>
      <c r="AN165" s="34">
        <v>0.58202716823406475</v>
      </c>
      <c r="AO165" s="33">
        <v>0.35632183908045978</v>
      </c>
      <c r="AP165" s="33">
        <v>0.52769070010449326</v>
      </c>
      <c r="AQ165" s="33">
        <v>4.2842215256008356E-2</v>
      </c>
      <c r="AR165" s="35">
        <v>1.3402061855670102E-2</v>
      </c>
      <c r="AS165" s="251">
        <f t="shared" si="4"/>
        <v>1.1494252873563218E-2</v>
      </c>
      <c r="AT165" s="252">
        <f t="shared" si="5"/>
        <v>-0.66248693834900729</v>
      </c>
      <c r="AU165" s="29">
        <v>234</v>
      </c>
      <c r="AV165" s="30">
        <v>237</v>
      </c>
      <c r="AW165" s="31">
        <v>232</v>
      </c>
      <c r="AX165" s="136">
        <v>1.282051282051282E-2</v>
      </c>
      <c r="AY165" s="33">
        <v>-8.5470085470085479E-3</v>
      </c>
      <c r="AZ165" s="35">
        <v>-2.1097046413502109E-2</v>
      </c>
      <c r="BA165" s="29">
        <v>47.5</v>
      </c>
      <c r="BB165" s="31">
        <v>38</v>
      </c>
      <c r="BC165" s="29">
        <v>5</v>
      </c>
      <c r="BD165" s="31">
        <v>4</v>
      </c>
      <c r="BE165" s="29">
        <v>367</v>
      </c>
      <c r="BF165" s="30">
        <v>557</v>
      </c>
      <c r="BG165" s="33">
        <v>0.65888689407540391</v>
      </c>
      <c r="BH165" s="30">
        <v>144</v>
      </c>
      <c r="BI165" s="30">
        <v>232</v>
      </c>
      <c r="BJ165" s="35">
        <v>0.62068965517241381</v>
      </c>
    </row>
    <row r="166" spans="1:62" x14ac:dyDescent="0.25">
      <c r="A166" s="132"/>
      <c r="B166" s="132"/>
      <c r="C166" s="132" t="s">
        <v>95</v>
      </c>
      <c r="D166" s="132"/>
      <c r="E166" s="132"/>
      <c r="F166" s="18">
        <v>14144</v>
      </c>
      <c r="G166" s="15">
        <v>13560</v>
      </c>
      <c r="H166" s="16">
        <v>0</v>
      </c>
      <c r="I166" s="16">
        <v>13560</v>
      </c>
      <c r="J166" s="17">
        <v>0</v>
      </c>
      <c r="K166" s="15">
        <v>0</v>
      </c>
      <c r="L166" s="16">
        <v>47</v>
      </c>
      <c r="M166" s="16">
        <v>217</v>
      </c>
      <c r="N166" s="16">
        <v>7</v>
      </c>
      <c r="O166" s="16">
        <v>8</v>
      </c>
      <c r="P166" s="16">
        <v>0</v>
      </c>
      <c r="Q166" s="16">
        <v>51</v>
      </c>
      <c r="R166" s="17">
        <v>241</v>
      </c>
      <c r="S166" s="18">
        <v>577</v>
      </c>
      <c r="T166" s="15">
        <v>1450</v>
      </c>
      <c r="U166" s="16">
        <v>5</v>
      </c>
      <c r="V166" s="16">
        <v>46</v>
      </c>
      <c r="W166" s="16">
        <v>184</v>
      </c>
      <c r="X166" s="17">
        <v>1215</v>
      </c>
      <c r="Y166" s="15">
        <v>22546</v>
      </c>
      <c r="Z166" s="17">
        <v>8647</v>
      </c>
      <c r="AA166" s="15">
        <v>22924</v>
      </c>
      <c r="AB166" s="17">
        <v>7991</v>
      </c>
      <c r="AC166" s="15">
        <v>21413</v>
      </c>
      <c r="AD166" s="132">
        <v>7293</v>
      </c>
      <c r="AE166" s="15">
        <v>7478</v>
      </c>
      <c r="AF166" s="16">
        <v>2997</v>
      </c>
      <c r="AG166" s="17">
        <v>1466</v>
      </c>
      <c r="AH166" s="133">
        <v>1.6765723409917502E-2</v>
      </c>
      <c r="AI166" s="19">
        <v>-5.0252816464117805E-2</v>
      </c>
      <c r="AJ166" s="19">
        <v>-6.5913453149537601E-2</v>
      </c>
      <c r="AK166" s="19">
        <v>-7.5864461663004507E-2</v>
      </c>
      <c r="AL166" s="19">
        <v>-0.15658609922516481</v>
      </c>
      <c r="AM166" s="19">
        <v>-8.7348266800150162E-2</v>
      </c>
      <c r="AN166" s="20">
        <v>1.5791297935103246</v>
      </c>
      <c r="AO166" s="19">
        <v>0.5378318584070797</v>
      </c>
      <c r="AP166" s="19">
        <v>0.22101769911504424</v>
      </c>
      <c r="AQ166" s="19">
        <v>0.10811209439528023</v>
      </c>
      <c r="AR166" s="21">
        <v>1.7462502717194406E-2</v>
      </c>
      <c r="AS166" s="247">
        <f t="shared" si="4"/>
        <v>4.2551622418879054E-2</v>
      </c>
      <c r="AT166" s="248">
        <f t="shared" si="5"/>
        <v>-6.4380530973451325E-2</v>
      </c>
      <c r="AU166" s="15">
        <v>2851</v>
      </c>
      <c r="AV166" s="16">
        <v>2910</v>
      </c>
      <c r="AW166" s="17">
        <v>2744</v>
      </c>
      <c r="AX166" s="133">
        <v>2.0694493160294633E-2</v>
      </c>
      <c r="AY166" s="19">
        <v>-3.7530690985619078E-2</v>
      </c>
      <c r="AZ166" s="21">
        <v>-5.7044673539518899E-2</v>
      </c>
      <c r="BA166" s="15">
        <v>58</v>
      </c>
      <c r="BB166" s="17">
        <v>42</v>
      </c>
      <c r="BC166" s="15">
        <v>7</v>
      </c>
      <c r="BD166" s="17">
        <v>4</v>
      </c>
      <c r="BE166" s="15">
        <v>11872</v>
      </c>
      <c r="BF166" s="16">
        <v>21413</v>
      </c>
      <c r="BG166" s="19">
        <v>0.55442955214122258</v>
      </c>
      <c r="BH166" s="16">
        <v>1564</v>
      </c>
      <c r="BI166" s="16">
        <v>2744</v>
      </c>
      <c r="BJ166" s="21">
        <v>0.56997084548104959</v>
      </c>
    </row>
    <row r="167" spans="1:62" x14ac:dyDescent="0.25">
      <c r="E167" t="s">
        <v>68</v>
      </c>
      <c r="F167" s="32">
        <v>14142</v>
      </c>
      <c r="G167" s="29">
        <v>13560</v>
      </c>
      <c r="H167" s="30">
        <v>0</v>
      </c>
      <c r="I167" s="30">
        <v>13560</v>
      </c>
      <c r="J167" s="31">
        <v>0</v>
      </c>
      <c r="K167" s="29">
        <v>0</v>
      </c>
      <c r="L167" s="30">
        <v>45</v>
      </c>
      <c r="M167" s="30">
        <v>217</v>
      </c>
      <c r="N167" s="30">
        <v>7</v>
      </c>
      <c r="O167" s="30">
        <v>8</v>
      </c>
      <c r="P167" s="30">
        <v>0</v>
      </c>
      <c r="Q167" s="30">
        <v>51</v>
      </c>
      <c r="R167" s="31">
        <v>241</v>
      </c>
      <c r="S167" s="32">
        <v>575</v>
      </c>
      <c r="T167" s="29">
        <v>1450</v>
      </c>
      <c r="U167" s="30">
        <v>5</v>
      </c>
      <c r="V167" s="30">
        <v>46</v>
      </c>
      <c r="W167" s="30">
        <v>184</v>
      </c>
      <c r="X167" s="31">
        <v>1215</v>
      </c>
      <c r="Y167" s="29">
        <v>22546</v>
      </c>
      <c r="Z167" s="31">
        <v>8647</v>
      </c>
      <c r="AA167" s="29">
        <v>22924</v>
      </c>
      <c r="AB167" s="31">
        <v>7991</v>
      </c>
      <c r="AC167" s="29">
        <v>21413</v>
      </c>
      <c r="AD167">
        <v>7293</v>
      </c>
      <c r="AE167" s="29">
        <v>7478</v>
      </c>
      <c r="AF167" s="30">
        <v>2997</v>
      </c>
      <c r="AG167" s="31">
        <v>1466</v>
      </c>
      <c r="AH167" s="136">
        <v>1.6765723409917502E-2</v>
      </c>
      <c r="AI167" s="33">
        <v>-5.0252816464117805E-2</v>
      </c>
      <c r="AJ167" s="33">
        <v>-6.5913453149537601E-2</v>
      </c>
      <c r="AK167" s="33">
        <v>-7.5864461663004507E-2</v>
      </c>
      <c r="AL167" s="33">
        <v>-0.15658609922516481</v>
      </c>
      <c r="AM167" s="33">
        <v>-8.7348266800150162E-2</v>
      </c>
      <c r="AN167" s="34">
        <v>1.5791297935103246</v>
      </c>
      <c r="AO167" s="33">
        <v>0.5378318584070797</v>
      </c>
      <c r="AP167" s="33">
        <v>0.22101769911504424</v>
      </c>
      <c r="AQ167" s="33">
        <v>0.10811209439528023</v>
      </c>
      <c r="AR167" s="35">
        <v>1.7462502717194406E-2</v>
      </c>
      <c r="AS167" s="251">
        <f t="shared" si="4"/>
        <v>4.2404129793510326E-2</v>
      </c>
      <c r="AT167" s="252">
        <f t="shared" si="5"/>
        <v>-6.4528023598820053E-2</v>
      </c>
      <c r="AU167" s="29">
        <v>2851</v>
      </c>
      <c r="AV167" s="30">
        <v>2910</v>
      </c>
      <c r="AW167" s="31">
        <v>2744</v>
      </c>
      <c r="AX167" s="136">
        <v>2.0694493160294633E-2</v>
      </c>
      <c r="AY167" s="33">
        <v>-3.7530690985619078E-2</v>
      </c>
      <c r="AZ167" s="35">
        <v>-5.7044673539518899E-2</v>
      </c>
      <c r="BA167" s="29">
        <v>58</v>
      </c>
      <c r="BB167" s="31">
        <v>42</v>
      </c>
      <c r="BC167" s="29">
        <v>7</v>
      </c>
      <c r="BD167" s="31">
        <v>4</v>
      </c>
      <c r="BE167" s="29">
        <v>11872</v>
      </c>
      <c r="BF167" s="30">
        <v>21413</v>
      </c>
      <c r="BG167" s="33">
        <v>0.55442955214122258</v>
      </c>
      <c r="BH167" s="30">
        <v>1568</v>
      </c>
      <c r="BI167" s="30">
        <v>2744</v>
      </c>
      <c r="BJ167" s="35">
        <v>0.5714285714285714</v>
      </c>
    </row>
    <row r="168" spans="1:62" x14ac:dyDescent="0.25">
      <c r="A168" s="132"/>
      <c r="B168" s="132"/>
      <c r="C168" s="132" t="s">
        <v>132</v>
      </c>
      <c r="D168" s="132"/>
      <c r="E168" s="132"/>
      <c r="F168" s="18">
        <v>2108</v>
      </c>
      <c r="G168" s="15">
        <v>1873</v>
      </c>
      <c r="H168" s="16">
        <v>0</v>
      </c>
      <c r="I168" s="16">
        <v>1873</v>
      </c>
      <c r="J168" s="17">
        <v>0</v>
      </c>
      <c r="K168" s="15">
        <v>0</v>
      </c>
      <c r="L168" s="16">
        <v>23</v>
      </c>
      <c r="M168" s="16">
        <v>42</v>
      </c>
      <c r="N168" s="16">
        <v>0</v>
      </c>
      <c r="O168" s="16">
        <v>14</v>
      </c>
      <c r="P168" s="16">
        <v>0</v>
      </c>
      <c r="Q168" s="16">
        <v>9</v>
      </c>
      <c r="R168" s="17">
        <v>144</v>
      </c>
      <c r="S168" s="18">
        <v>191</v>
      </c>
      <c r="T168" s="15">
        <v>50</v>
      </c>
      <c r="U168" s="16">
        <v>1</v>
      </c>
      <c r="V168" s="16">
        <v>8</v>
      </c>
      <c r="W168" s="16">
        <v>34</v>
      </c>
      <c r="X168" s="17">
        <v>7</v>
      </c>
      <c r="Y168" s="15">
        <v>3904</v>
      </c>
      <c r="Z168" s="17">
        <v>1226</v>
      </c>
      <c r="AA168" s="15">
        <v>4268</v>
      </c>
      <c r="AB168" s="17">
        <v>1240</v>
      </c>
      <c r="AC168" s="15">
        <v>4521</v>
      </c>
      <c r="AD168" s="132">
        <v>1325</v>
      </c>
      <c r="AE168" s="15">
        <v>763</v>
      </c>
      <c r="AF168" s="16">
        <v>308</v>
      </c>
      <c r="AG168" s="17">
        <v>501</v>
      </c>
      <c r="AH168" s="133">
        <v>9.3237704918032793E-2</v>
      </c>
      <c r="AI168" s="19">
        <v>0.15804303278688525</v>
      </c>
      <c r="AJ168" s="19">
        <v>5.9278350515463915E-2</v>
      </c>
      <c r="AK168" s="19">
        <v>1.1419249592169658E-2</v>
      </c>
      <c r="AL168" s="19">
        <v>8.0750407830342583E-2</v>
      </c>
      <c r="AM168" s="19">
        <v>6.8548387096774188E-2</v>
      </c>
      <c r="AN168" s="20">
        <v>2.4137746930058728</v>
      </c>
      <c r="AO168" s="19">
        <v>0.70742124933262152</v>
      </c>
      <c r="AP168" s="19">
        <v>0.16444207154297918</v>
      </c>
      <c r="AQ168" s="19">
        <v>0.26748531767218364</v>
      </c>
      <c r="AR168" s="21">
        <v>7.1393158155676748E-2</v>
      </c>
      <c r="AS168" s="247">
        <f t="shared" si="4"/>
        <v>0.10197544046983449</v>
      </c>
      <c r="AT168" s="248">
        <f t="shared" si="5"/>
        <v>7.5280298985584623E-2</v>
      </c>
      <c r="AU168" s="15">
        <v>1029</v>
      </c>
      <c r="AV168" s="16">
        <v>1027</v>
      </c>
      <c r="AW168" s="17">
        <v>955</v>
      </c>
      <c r="AX168" s="133">
        <v>-1.9436345966958211E-3</v>
      </c>
      <c r="AY168" s="19">
        <v>-7.1914480077745382E-2</v>
      </c>
      <c r="AZ168" s="21">
        <v>-7.010710808179163E-2</v>
      </c>
      <c r="BA168" s="15">
        <v>16</v>
      </c>
      <c r="BB168" s="17">
        <v>19</v>
      </c>
      <c r="BC168" s="15">
        <v>5</v>
      </c>
      <c r="BD168" s="17">
        <v>4</v>
      </c>
      <c r="BE168" s="15">
        <v>2503</v>
      </c>
      <c r="BF168" s="16">
        <v>4521</v>
      </c>
      <c r="BG168" s="19">
        <v>0.55363857553638574</v>
      </c>
      <c r="BH168" s="16">
        <v>592</v>
      </c>
      <c r="BI168" s="16">
        <v>955</v>
      </c>
      <c r="BJ168" s="21">
        <v>0.61989528795811522</v>
      </c>
    </row>
    <row r="169" spans="1:62" x14ac:dyDescent="0.25">
      <c r="E169" t="s">
        <v>68</v>
      </c>
      <c r="F169" s="32">
        <v>2106</v>
      </c>
      <c r="G169" s="29">
        <v>1872</v>
      </c>
      <c r="H169" s="30">
        <v>0</v>
      </c>
      <c r="I169" s="30">
        <v>1872</v>
      </c>
      <c r="J169" s="31">
        <v>0</v>
      </c>
      <c r="K169" s="29">
        <v>0</v>
      </c>
      <c r="L169" s="30">
        <v>23</v>
      </c>
      <c r="M169" s="30">
        <v>42</v>
      </c>
      <c r="N169" s="30">
        <v>0</v>
      </c>
      <c r="O169" s="30">
        <v>14</v>
      </c>
      <c r="P169" s="30">
        <v>0</v>
      </c>
      <c r="Q169" s="30">
        <v>9</v>
      </c>
      <c r="R169" s="31">
        <v>143</v>
      </c>
      <c r="S169" s="32">
        <v>190</v>
      </c>
      <c r="T169" s="29">
        <v>50</v>
      </c>
      <c r="U169" s="30">
        <v>1</v>
      </c>
      <c r="V169" s="30">
        <v>8</v>
      </c>
      <c r="W169" s="30">
        <v>34</v>
      </c>
      <c r="X169" s="31">
        <v>7</v>
      </c>
      <c r="Y169" s="29">
        <v>3902</v>
      </c>
      <c r="Z169" s="31">
        <v>1225</v>
      </c>
      <c r="AA169" s="29">
        <v>4268</v>
      </c>
      <c r="AB169" s="31">
        <v>1240</v>
      </c>
      <c r="AC169" s="29">
        <v>4521</v>
      </c>
      <c r="AD169">
        <v>1325</v>
      </c>
      <c r="AE169" s="29">
        <v>762</v>
      </c>
      <c r="AF169" s="30">
        <v>308</v>
      </c>
      <c r="AG169" s="31">
        <v>500</v>
      </c>
      <c r="AH169" s="136">
        <v>9.3798052280881603E-2</v>
      </c>
      <c r="AI169" s="33">
        <v>0.15863659661711943</v>
      </c>
      <c r="AJ169" s="33">
        <v>5.9278350515463915E-2</v>
      </c>
      <c r="AK169" s="33">
        <v>1.2244897959183673E-2</v>
      </c>
      <c r="AL169" s="33">
        <v>8.1632653061224483E-2</v>
      </c>
      <c r="AM169" s="33">
        <v>6.8548387096774188E-2</v>
      </c>
      <c r="AN169" s="34">
        <v>2.4150641025641026</v>
      </c>
      <c r="AO169" s="33">
        <v>0.70779914529914534</v>
      </c>
      <c r="AP169" s="33">
        <v>0.16452991452991453</v>
      </c>
      <c r="AQ169" s="33">
        <v>0.26709401709401709</v>
      </c>
      <c r="AR169" s="35">
        <v>7.0967741935483872E-2</v>
      </c>
      <c r="AS169" s="251">
        <f t="shared" si="4"/>
        <v>0.1014957264957265</v>
      </c>
      <c r="AT169" s="252">
        <f t="shared" si="5"/>
        <v>7.4786324786324784E-2</v>
      </c>
      <c r="AU169" s="29">
        <v>1029</v>
      </c>
      <c r="AV169" s="30">
        <v>1027</v>
      </c>
      <c r="AW169" s="31">
        <v>955</v>
      </c>
      <c r="AX169" s="136">
        <v>-1.9436345966958211E-3</v>
      </c>
      <c r="AY169" s="33">
        <v>-7.1914480077745382E-2</v>
      </c>
      <c r="AZ169" s="35">
        <v>-7.010710808179163E-2</v>
      </c>
      <c r="BA169" s="29">
        <v>16</v>
      </c>
      <c r="BB169" s="31">
        <v>19</v>
      </c>
      <c r="BC169" s="29">
        <v>5</v>
      </c>
      <c r="BD169" s="31">
        <v>4</v>
      </c>
      <c r="BE169" s="29">
        <v>2503</v>
      </c>
      <c r="BF169" s="30">
        <v>4521</v>
      </c>
      <c r="BG169" s="33">
        <v>0.55363857553638574</v>
      </c>
      <c r="BH169" s="30">
        <v>592</v>
      </c>
      <c r="BI169" s="30">
        <v>955</v>
      </c>
      <c r="BJ169" s="35">
        <v>0.61989528795811522</v>
      </c>
    </row>
    <row r="170" spans="1:62" x14ac:dyDescent="0.25">
      <c r="A170" s="132"/>
      <c r="B170" s="132"/>
      <c r="C170" s="132" t="s">
        <v>192</v>
      </c>
      <c r="D170" s="132"/>
      <c r="E170" s="132"/>
      <c r="F170" s="18">
        <v>1566</v>
      </c>
      <c r="G170" s="15">
        <v>1534</v>
      </c>
      <c r="H170" s="16">
        <v>0</v>
      </c>
      <c r="I170" s="16">
        <v>1534</v>
      </c>
      <c r="J170" s="17">
        <v>0</v>
      </c>
      <c r="K170" s="15">
        <v>0</v>
      </c>
      <c r="L170" s="16">
        <v>0</v>
      </c>
      <c r="M170" s="16">
        <v>5</v>
      </c>
      <c r="N170" s="16">
        <v>5</v>
      </c>
      <c r="O170" s="16">
        <v>2</v>
      </c>
      <c r="P170" s="16">
        <v>0</v>
      </c>
      <c r="Q170" s="16">
        <v>8</v>
      </c>
      <c r="R170" s="17">
        <v>12</v>
      </c>
      <c r="S170" s="18">
        <v>35</v>
      </c>
      <c r="T170" s="15">
        <v>28</v>
      </c>
      <c r="U170" s="16">
        <v>0</v>
      </c>
      <c r="V170" s="16">
        <v>8</v>
      </c>
      <c r="W170" s="16">
        <v>5</v>
      </c>
      <c r="X170" s="17">
        <v>15</v>
      </c>
      <c r="Y170" s="15">
        <v>846</v>
      </c>
      <c r="Z170" s="17">
        <v>508</v>
      </c>
      <c r="AA170" s="15">
        <v>904</v>
      </c>
      <c r="AB170" s="17">
        <v>485</v>
      </c>
      <c r="AC170" s="15">
        <v>915</v>
      </c>
      <c r="AD170" s="132">
        <v>466</v>
      </c>
      <c r="AE170" s="15">
        <v>1097</v>
      </c>
      <c r="AF170" s="16">
        <v>552</v>
      </c>
      <c r="AG170" s="17">
        <v>86</v>
      </c>
      <c r="AH170" s="133">
        <v>6.8557919621749411E-2</v>
      </c>
      <c r="AI170" s="19">
        <v>8.1560283687943269E-2</v>
      </c>
      <c r="AJ170" s="19">
        <v>1.2168141592920354E-2</v>
      </c>
      <c r="AK170" s="19">
        <v>-4.5275590551181105E-2</v>
      </c>
      <c r="AL170" s="19">
        <v>-8.2677165354330714E-2</v>
      </c>
      <c r="AM170" s="19">
        <v>-3.9175257731958762E-2</v>
      </c>
      <c r="AN170" s="20">
        <v>0.59647979139504559</v>
      </c>
      <c r="AO170" s="19">
        <v>0.30378096479791394</v>
      </c>
      <c r="AP170" s="19">
        <v>0.35984354628422427</v>
      </c>
      <c r="AQ170" s="19">
        <v>5.6062581486310298E-2</v>
      </c>
      <c r="AR170" s="21">
        <v>7.7619663648124193E-3</v>
      </c>
      <c r="AS170" s="247">
        <f t="shared" si="4"/>
        <v>2.2816166883963495E-2</v>
      </c>
      <c r="AT170" s="248">
        <f t="shared" si="5"/>
        <v>4.5632333767926985E-3</v>
      </c>
      <c r="AU170" s="15">
        <v>404</v>
      </c>
      <c r="AV170" s="16">
        <v>445</v>
      </c>
      <c r="AW170" s="17">
        <v>466</v>
      </c>
      <c r="AX170" s="133">
        <v>0.10148514851485149</v>
      </c>
      <c r="AY170" s="19">
        <v>0.15346534653465346</v>
      </c>
      <c r="AZ170" s="21">
        <v>4.7191011235955059E-2</v>
      </c>
      <c r="BA170" s="15">
        <v>51</v>
      </c>
      <c r="BB170" s="17">
        <v>46</v>
      </c>
      <c r="BC170" s="15">
        <v>5</v>
      </c>
      <c r="BD170" s="17">
        <v>5</v>
      </c>
      <c r="BE170" s="15">
        <v>483</v>
      </c>
      <c r="BF170" s="16">
        <v>915</v>
      </c>
      <c r="BG170" s="19">
        <v>0.52786885245901638</v>
      </c>
      <c r="BH170" s="16">
        <v>257</v>
      </c>
      <c r="BI170" s="16">
        <v>466</v>
      </c>
      <c r="BJ170" s="21">
        <v>0.55150214592274682</v>
      </c>
    </row>
    <row r="171" spans="1:62" x14ac:dyDescent="0.25">
      <c r="E171" t="s">
        <v>68</v>
      </c>
      <c r="F171" s="32">
        <v>1563</v>
      </c>
      <c r="G171" s="29">
        <v>1531</v>
      </c>
      <c r="H171" s="30">
        <v>0</v>
      </c>
      <c r="I171" s="30">
        <v>1531</v>
      </c>
      <c r="J171" s="31">
        <v>0</v>
      </c>
      <c r="K171" s="29">
        <v>0</v>
      </c>
      <c r="L171" s="30">
        <v>0</v>
      </c>
      <c r="M171" s="30">
        <v>5</v>
      </c>
      <c r="N171" s="30">
        <v>5</v>
      </c>
      <c r="O171" s="30">
        <v>2</v>
      </c>
      <c r="P171" s="30">
        <v>0</v>
      </c>
      <c r="Q171" s="30">
        <v>8</v>
      </c>
      <c r="R171" s="31">
        <v>12</v>
      </c>
      <c r="S171" s="32">
        <v>35</v>
      </c>
      <c r="T171" s="29">
        <v>28</v>
      </c>
      <c r="U171" s="30">
        <v>0</v>
      </c>
      <c r="V171" s="30">
        <v>8</v>
      </c>
      <c r="W171" s="30">
        <v>5</v>
      </c>
      <c r="X171" s="31">
        <v>15</v>
      </c>
      <c r="Y171" s="29">
        <v>846</v>
      </c>
      <c r="Z171" s="31">
        <v>508</v>
      </c>
      <c r="AA171" s="29">
        <v>900</v>
      </c>
      <c r="AB171" s="31">
        <v>483</v>
      </c>
      <c r="AC171" s="29">
        <v>914</v>
      </c>
      <c r="AD171">
        <v>466</v>
      </c>
      <c r="AE171" s="29">
        <v>1095</v>
      </c>
      <c r="AF171" s="30">
        <v>551</v>
      </c>
      <c r="AG171" s="31">
        <v>86</v>
      </c>
      <c r="AH171" s="136">
        <v>6.3829787234042548E-2</v>
      </c>
      <c r="AI171" s="33">
        <v>8.0378250591016553E-2</v>
      </c>
      <c r="AJ171" s="33">
        <v>1.5555555555555555E-2</v>
      </c>
      <c r="AK171" s="33">
        <v>-4.9212598425196853E-2</v>
      </c>
      <c r="AL171" s="33">
        <v>-8.2677165354330714E-2</v>
      </c>
      <c r="AM171" s="33">
        <v>-3.5196687370600416E-2</v>
      </c>
      <c r="AN171" s="34">
        <v>0.59699542782495096</v>
      </c>
      <c r="AO171" s="33">
        <v>0.30437622468974529</v>
      </c>
      <c r="AP171" s="33">
        <v>0.35989549314173741</v>
      </c>
      <c r="AQ171" s="33">
        <v>5.6172436316133244E-2</v>
      </c>
      <c r="AR171" s="35">
        <v>7.7770576798444589E-3</v>
      </c>
      <c r="AS171" s="251">
        <f t="shared" si="4"/>
        <v>2.2860875244937948E-2</v>
      </c>
      <c r="AT171" s="252">
        <f t="shared" si="5"/>
        <v>4.5721750489875895E-3</v>
      </c>
      <c r="AU171" s="29">
        <v>404</v>
      </c>
      <c r="AV171" s="30">
        <v>444</v>
      </c>
      <c r="AW171" s="31">
        <v>466</v>
      </c>
      <c r="AX171" s="136">
        <v>9.9009900990099015E-2</v>
      </c>
      <c r="AY171" s="33">
        <v>0.15346534653465346</v>
      </c>
      <c r="AZ171" s="35">
        <v>4.954954954954955E-2</v>
      </c>
      <c r="BA171" s="29">
        <v>51</v>
      </c>
      <c r="BB171" s="31">
        <v>46</v>
      </c>
      <c r="BC171" s="29">
        <v>5</v>
      </c>
      <c r="BD171" s="31">
        <v>5</v>
      </c>
      <c r="BE171" s="29">
        <v>482</v>
      </c>
      <c r="BF171" s="30">
        <v>914</v>
      </c>
      <c r="BG171" s="33">
        <v>0.52735229759299784</v>
      </c>
      <c r="BH171" s="30">
        <v>257</v>
      </c>
      <c r="BI171" s="30">
        <v>466</v>
      </c>
      <c r="BJ171" s="35">
        <v>0.55150214592274682</v>
      </c>
    </row>
    <row r="172" spans="1:62" x14ac:dyDescent="0.25">
      <c r="A172" s="130"/>
      <c r="B172" s="130" t="s">
        <v>193</v>
      </c>
      <c r="C172" s="130"/>
      <c r="D172" s="130"/>
      <c r="E172" s="130"/>
      <c r="F172" s="11">
        <v>37536</v>
      </c>
      <c r="G172" s="8">
        <v>35575</v>
      </c>
      <c r="H172" s="9">
        <v>843</v>
      </c>
      <c r="I172" s="9">
        <v>29218</v>
      </c>
      <c r="J172" s="10">
        <v>7200</v>
      </c>
      <c r="K172" s="8">
        <v>0</v>
      </c>
      <c r="L172" s="9">
        <v>183</v>
      </c>
      <c r="M172" s="9">
        <v>119</v>
      </c>
      <c r="N172" s="9">
        <v>7</v>
      </c>
      <c r="O172" s="9">
        <v>121</v>
      </c>
      <c r="P172" s="9">
        <v>0</v>
      </c>
      <c r="Q172" s="9">
        <v>392</v>
      </c>
      <c r="R172" s="10">
        <v>264</v>
      </c>
      <c r="S172" s="11">
        <v>959</v>
      </c>
      <c r="T172" s="8">
        <v>2651</v>
      </c>
      <c r="U172" s="9">
        <v>7</v>
      </c>
      <c r="V172" s="9">
        <v>349</v>
      </c>
      <c r="W172" s="9">
        <v>45</v>
      </c>
      <c r="X172" s="10">
        <v>2250</v>
      </c>
      <c r="Y172" s="8">
        <v>37646</v>
      </c>
      <c r="Z172" s="10">
        <v>16195</v>
      </c>
      <c r="AA172" s="8">
        <v>32721</v>
      </c>
      <c r="AB172" s="10">
        <v>14758</v>
      </c>
      <c r="AC172" s="8">
        <v>27088</v>
      </c>
      <c r="AD172" s="130">
        <v>12475</v>
      </c>
      <c r="AE172" s="8">
        <v>24021</v>
      </c>
      <c r="AF172" s="9">
        <v>12829</v>
      </c>
      <c r="AG172" s="10">
        <v>1962</v>
      </c>
      <c r="AH172" s="131">
        <v>-0.1308239919247729</v>
      </c>
      <c r="AI172" s="12">
        <v>-0.28045476279020348</v>
      </c>
      <c r="AJ172" s="12">
        <v>-0.17215244032884081</v>
      </c>
      <c r="AK172" s="12">
        <v>-8.8731089842543992E-2</v>
      </c>
      <c r="AL172" s="12">
        <v>-0.2297005248533498</v>
      </c>
      <c r="AM172" s="12">
        <v>-0.15469575823282289</v>
      </c>
      <c r="AN172" s="13">
        <v>0.76143359100491914</v>
      </c>
      <c r="AO172" s="12">
        <v>0.35066760365425159</v>
      </c>
      <c r="AP172" s="12">
        <v>0.36061841180604359</v>
      </c>
      <c r="AQ172" s="12">
        <v>5.5151089248067463E-2</v>
      </c>
      <c r="AR172" s="14">
        <v>7.3662769608527027E-3</v>
      </c>
      <c r="AS172" s="245">
        <f t="shared" si="4"/>
        <v>2.695713281799016E-2</v>
      </c>
      <c r="AT172" s="246">
        <f t="shared" si="5"/>
        <v>-4.7561489810260017E-2</v>
      </c>
      <c r="AU172" s="8">
        <v>1541</v>
      </c>
      <c r="AV172" s="9">
        <v>1400</v>
      </c>
      <c r="AW172" s="10">
        <v>1317</v>
      </c>
      <c r="AX172" s="131">
        <v>-9.1499026606099931E-2</v>
      </c>
      <c r="AY172" s="12">
        <v>-0.14536015574302402</v>
      </c>
      <c r="AZ172" s="14">
        <v>-5.9285714285714289E-2</v>
      </c>
      <c r="BA172" s="8">
        <v>52</v>
      </c>
      <c r="BB172" s="10">
        <v>40.5</v>
      </c>
      <c r="BC172" s="8">
        <v>8</v>
      </c>
      <c r="BD172" s="10">
        <v>4</v>
      </c>
      <c r="BE172" s="8">
        <v>16412</v>
      </c>
      <c r="BF172" s="9">
        <v>27088</v>
      </c>
      <c r="BG172" s="12">
        <v>0.60587714116952152</v>
      </c>
      <c r="BH172" s="9">
        <v>845</v>
      </c>
      <c r="BI172" s="9">
        <v>1317</v>
      </c>
      <c r="BJ172" s="14">
        <v>0.6416097190584662</v>
      </c>
    </row>
    <row r="173" spans="1:62" x14ac:dyDescent="0.25">
      <c r="A173" s="132"/>
      <c r="B173" s="132"/>
      <c r="C173" s="132" t="s">
        <v>194</v>
      </c>
      <c r="D173" s="132"/>
      <c r="E173" s="132"/>
      <c r="F173" s="18">
        <v>2017</v>
      </c>
      <c r="G173" s="15">
        <v>1965</v>
      </c>
      <c r="H173" s="16">
        <v>5</v>
      </c>
      <c r="I173" s="16">
        <v>1854</v>
      </c>
      <c r="J173" s="17">
        <v>116</v>
      </c>
      <c r="K173" s="15">
        <v>0</v>
      </c>
      <c r="L173" s="16">
        <v>0</v>
      </c>
      <c r="M173" s="16">
        <v>6</v>
      </c>
      <c r="N173" s="16">
        <v>1</v>
      </c>
      <c r="O173" s="16">
        <v>14</v>
      </c>
      <c r="P173" s="16">
        <v>0</v>
      </c>
      <c r="Q173" s="16">
        <v>2</v>
      </c>
      <c r="R173" s="17">
        <v>24</v>
      </c>
      <c r="S173" s="18">
        <v>40</v>
      </c>
      <c r="T173" s="15">
        <v>41</v>
      </c>
      <c r="U173" s="16">
        <v>2</v>
      </c>
      <c r="V173" s="16">
        <v>2</v>
      </c>
      <c r="W173" s="16">
        <v>2</v>
      </c>
      <c r="X173" s="17">
        <v>35</v>
      </c>
      <c r="Y173" s="15">
        <v>680</v>
      </c>
      <c r="Z173" s="17">
        <v>404</v>
      </c>
      <c r="AA173" s="15">
        <v>731</v>
      </c>
      <c r="AB173" s="17">
        <v>401</v>
      </c>
      <c r="AC173" s="15">
        <v>794</v>
      </c>
      <c r="AD173" s="132">
        <v>493</v>
      </c>
      <c r="AE173" s="15">
        <v>1521</v>
      </c>
      <c r="AF173" s="16">
        <v>1046</v>
      </c>
      <c r="AG173" s="17">
        <v>100</v>
      </c>
      <c r="AH173" s="133">
        <v>7.4999999999999997E-2</v>
      </c>
      <c r="AI173" s="19">
        <v>0.1676470588235294</v>
      </c>
      <c r="AJ173" s="19">
        <v>8.6183310533515731E-2</v>
      </c>
      <c r="AK173" s="19">
        <v>-7.4257425742574254E-3</v>
      </c>
      <c r="AL173" s="19">
        <v>0.2202970297029703</v>
      </c>
      <c r="AM173" s="19">
        <v>0.22942643391521197</v>
      </c>
      <c r="AN173" s="20">
        <v>0.40407124681933843</v>
      </c>
      <c r="AO173" s="19">
        <v>0.2508905852417303</v>
      </c>
      <c r="AP173" s="19">
        <v>0.53231552162849871</v>
      </c>
      <c r="AQ173" s="19">
        <v>5.0890585241730277E-2</v>
      </c>
      <c r="AR173" s="21">
        <v>1.2066365007541479E-2</v>
      </c>
      <c r="AS173" s="247">
        <f t="shared" si="4"/>
        <v>2.0356234096692113E-2</v>
      </c>
      <c r="AT173" s="248">
        <f t="shared" si="5"/>
        <v>-5.0890585241730279E-4</v>
      </c>
      <c r="AU173" s="15">
        <v>310</v>
      </c>
      <c r="AV173" s="16">
        <v>330</v>
      </c>
      <c r="AW173" s="17">
        <v>339</v>
      </c>
      <c r="AX173" s="133">
        <v>6.4516129032258063E-2</v>
      </c>
      <c r="AY173" s="19">
        <v>9.3548387096774197E-2</v>
      </c>
      <c r="AZ173" s="21">
        <v>2.7272727272727271E-2</v>
      </c>
      <c r="BA173" s="15">
        <v>28</v>
      </c>
      <c r="BB173" s="17">
        <v>23.5</v>
      </c>
      <c r="BC173" s="15">
        <v>3</v>
      </c>
      <c r="BD173" s="17">
        <v>4</v>
      </c>
      <c r="BE173" s="15">
        <v>470</v>
      </c>
      <c r="BF173" s="16">
        <v>794</v>
      </c>
      <c r="BG173" s="19">
        <v>0.59193954659949621</v>
      </c>
      <c r="BH173" s="16">
        <v>211</v>
      </c>
      <c r="BI173" s="16">
        <v>339</v>
      </c>
      <c r="BJ173" s="21">
        <v>0.6224188790560472</v>
      </c>
    </row>
    <row r="174" spans="1:62" x14ac:dyDescent="0.25">
      <c r="A174" s="134"/>
      <c r="B174" s="134"/>
      <c r="C174" s="134"/>
      <c r="D174" s="134" t="s">
        <v>195</v>
      </c>
      <c r="E174" s="134"/>
      <c r="F174" s="25">
        <v>27</v>
      </c>
      <c r="G174" s="22">
        <v>23</v>
      </c>
      <c r="H174" s="23">
        <v>0</v>
      </c>
      <c r="I174" s="23">
        <v>23</v>
      </c>
      <c r="J174" s="24">
        <v>0</v>
      </c>
      <c r="K174" s="22">
        <v>0</v>
      </c>
      <c r="L174" s="23">
        <v>0</v>
      </c>
      <c r="M174" s="23">
        <v>0</v>
      </c>
      <c r="N174" s="23">
        <v>0</v>
      </c>
      <c r="O174" s="23">
        <v>4</v>
      </c>
      <c r="P174" s="23">
        <v>0</v>
      </c>
      <c r="Q174" s="23">
        <v>0</v>
      </c>
      <c r="R174" s="24">
        <v>0</v>
      </c>
      <c r="S174" s="25">
        <v>4</v>
      </c>
      <c r="T174" s="22"/>
      <c r="U174" s="23"/>
      <c r="V174" s="23"/>
      <c r="W174" s="23"/>
      <c r="X174" s="24"/>
      <c r="Y174" s="22">
        <v>4</v>
      </c>
      <c r="Z174" s="24">
        <v>4</v>
      </c>
      <c r="AA174" s="22">
        <v>25</v>
      </c>
      <c r="AB174" s="24">
        <v>11</v>
      </c>
      <c r="AC174" s="22">
        <v>24</v>
      </c>
      <c r="AD174" s="134">
        <v>18</v>
      </c>
      <c r="AE174" s="22">
        <v>8</v>
      </c>
      <c r="AF174" s="23">
        <v>7</v>
      </c>
      <c r="AG174" s="24">
        <v>0</v>
      </c>
      <c r="AH174" s="135">
        <v>5.25</v>
      </c>
      <c r="AI174" s="26">
        <v>5</v>
      </c>
      <c r="AJ174" s="26">
        <v>-0.04</v>
      </c>
      <c r="AK174" s="26">
        <v>1.75</v>
      </c>
      <c r="AL174" s="26">
        <v>3.5</v>
      </c>
      <c r="AM174" s="26">
        <v>0.63636363636363635</v>
      </c>
      <c r="AN174" s="27">
        <v>1.0434782608695652</v>
      </c>
      <c r="AO174" s="26">
        <v>0.78260869565217395</v>
      </c>
      <c r="AP174" s="26">
        <v>0.30434782608695654</v>
      </c>
      <c r="AQ174" s="26">
        <v>0</v>
      </c>
      <c r="AR174" s="28">
        <v>0</v>
      </c>
      <c r="AS174" s="249">
        <f t="shared" si="4"/>
        <v>0.17391304347826086</v>
      </c>
      <c r="AT174" s="250">
        <f t="shared" si="5"/>
        <v>0.17391304347826086</v>
      </c>
      <c r="AU174" s="22">
        <v>4</v>
      </c>
      <c r="AV174" s="23">
        <v>14</v>
      </c>
      <c r="AW174" s="24">
        <v>8</v>
      </c>
      <c r="AX174" s="135">
        <v>2.5</v>
      </c>
      <c r="AY174" s="26">
        <v>1</v>
      </c>
      <c r="AZ174" s="28">
        <v>-0.42857142857142855</v>
      </c>
      <c r="BA174" s="22">
        <v>25</v>
      </c>
      <c r="BB174" s="24">
        <v>38</v>
      </c>
      <c r="BC174" s="22">
        <v>3</v>
      </c>
      <c r="BD174" s="24">
        <v>1</v>
      </c>
      <c r="BE174" s="22">
        <v>18</v>
      </c>
      <c r="BF174" s="23">
        <v>24</v>
      </c>
      <c r="BG174" s="26">
        <v>0.75</v>
      </c>
      <c r="BH174" s="23">
        <v>5</v>
      </c>
      <c r="BI174" s="23">
        <v>8</v>
      </c>
      <c r="BJ174" s="28">
        <v>0.625</v>
      </c>
    </row>
    <row r="175" spans="1:62" x14ac:dyDescent="0.25">
      <c r="E175" t="s">
        <v>97</v>
      </c>
      <c r="F175" s="32">
        <v>27</v>
      </c>
      <c r="G175" s="29">
        <v>23</v>
      </c>
      <c r="H175" s="30">
        <v>0</v>
      </c>
      <c r="I175" s="30">
        <v>23</v>
      </c>
      <c r="J175" s="31">
        <v>0</v>
      </c>
      <c r="K175" s="29">
        <v>0</v>
      </c>
      <c r="L175" s="30">
        <v>0</v>
      </c>
      <c r="M175" s="30">
        <v>0</v>
      </c>
      <c r="N175" s="30">
        <v>0</v>
      </c>
      <c r="O175" s="30">
        <v>4</v>
      </c>
      <c r="P175" s="30">
        <v>0</v>
      </c>
      <c r="Q175" s="30">
        <v>0</v>
      </c>
      <c r="R175" s="31">
        <v>0</v>
      </c>
      <c r="S175" s="32">
        <v>4</v>
      </c>
      <c r="T175" s="29"/>
      <c r="U175" s="30"/>
      <c r="V175" s="30"/>
      <c r="W175" s="30"/>
      <c r="X175" s="31"/>
      <c r="Y175" s="29">
        <v>4</v>
      </c>
      <c r="Z175" s="31">
        <v>4</v>
      </c>
      <c r="AA175" s="29">
        <v>25</v>
      </c>
      <c r="AB175" s="31">
        <v>11</v>
      </c>
      <c r="AC175" s="29">
        <v>24</v>
      </c>
      <c r="AD175">
        <v>18</v>
      </c>
      <c r="AE175" s="29">
        <v>8</v>
      </c>
      <c r="AF175" s="30">
        <v>7</v>
      </c>
      <c r="AG175" s="31">
        <v>0</v>
      </c>
      <c r="AH175" s="136">
        <v>5.25</v>
      </c>
      <c r="AI175" s="33">
        <v>5</v>
      </c>
      <c r="AJ175" s="33">
        <v>-0.04</v>
      </c>
      <c r="AK175" s="33">
        <v>1.75</v>
      </c>
      <c r="AL175" s="33">
        <v>3.5</v>
      </c>
      <c r="AM175" s="33">
        <v>0.63636363636363635</v>
      </c>
      <c r="AN175" s="34">
        <v>1.0434782608695652</v>
      </c>
      <c r="AO175" s="33">
        <v>0.78260869565217395</v>
      </c>
      <c r="AP175" s="33">
        <v>0.30434782608695654</v>
      </c>
      <c r="AQ175" s="33">
        <v>0</v>
      </c>
      <c r="AR175" s="35">
        <v>0</v>
      </c>
      <c r="AS175" s="251">
        <f t="shared" si="4"/>
        <v>0.17391304347826086</v>
      </c>
      <c r="AT175" s="252">
        <f t="shared" si="5"/>
        <v>0.17391304347826086</v>
      </c>
      <c r="AU175" s="29">
        <v>4</v>
      </c>
      <c r="AV175" s="30">
        <v>14</v>
      </c>
      <c r="AW175" s="31">
        <v>8</v>
      </c>
      <c r="AX175" s="136">
        <v>2.5</v>
      </c>
      <c r="AY175" s="33">
        <v>1</v>
      </c>
      <c r="AZ175" s="35">
        <v>-0.42857142857142855</v>
      </c>
      <c r="BA175" s="29">
        <v>25</v>
      </c>
      <c r="BB175" s="31">
        <v>38</v>
      </c>
      <c r="BC175" s="29">
        <v>3</v>
      </c>
      <c r="BD175" s="31">
        <v>1</v>
      </c>
      <c r="BE175" s="29">
        <v>18</v>
      </c>
      <c r="BF175" s="30">
        <v>24</v>
      </c>
      <c r="BG175" s="33">
        <v>0.75</v>
      </c>
      <c r="BH175" s="30">
        <v>5</v>
      </c>
      <c r="BI175" s="30">
        <v>8</v>
      </c>
      <c r="BJ175" s="35">
        <v>0.625</v>
      </c>
    </row>
    <row r="176" spans="1:62" x14ac:dyDescent="0.25">
      <c r="A176" s="134"/>
      <c r="B176" s="134"/>
      <c r="C176" s="134"/>
      <c r="D176" s="134" t="s">
        <v>196</v>
      </c>
      <c r="E176" s="134"/>
      <c r="F176" s="25">
        <v>351</v>
      </c>
      <c r="G176" s="22">
        <v>341</v>
      </c>
      <c r="H176" s="23">
        <v>5</v>
      </c>
      <c r="I176" s="23">
        <v>346</v>
      </c>
      <c r="J176" s="24">
        <v>0</v>
      </c>
      <c r="K176" s="22">
        <v>0</v>
      </c>
      <c r="L176" s="23">
        <v>0</v>
      </c>
      <c r="M176" s="23">
        <v>1</v>
      </c>
      <c r="N176" s="23">
        <v>0</v>
      </c>
      <c r="O176" s="23">
        <v>4</v>
      </c>
      <c r="P176" s="23">
        <v>0</v>
      </c>
      <c r="Q176" s="23">
        <v>0</v>
      </c>
      <c r="R176" s="24">
        <v>0</v>
      </c>
      <c r="S176" s="25">
        <v>30</v>
      </c>
      <c r="T176" s="22">
        <v>34</v>
      </c>
      <c r="U176" s="23">
        <v>0</v>
      </c>
      <c r="V176" s="23">
        <v>0</v>
      </c>
      <c r="W176" s="23">
        <v>0</v>
      </c>
      <c r="X176" s="24">
        <v>34</v>
      </c>
      <c r="Y176" s="22">
        <v>130</v>
      </c>
      <c r="Z176" s="24">
        <v>68</v>
      </c>
      <c r="AA176" s="22">
        <v>190</v>
      </c>
      <c r="AB176" s="24">
        <v>121</v>
      </c>
      <c r="AC176" s="22">
        <v>237</v>
      </c>
      <c r="AD176" s="134">
        <v>147</v>
      </c>
      <c r="AE176" s="22">
        <v>205</v>
      </c>
      <c r="AF176" s="23">
        <v>134</v>
      </c>
      <c r="AG176" s="24">
        <v>23</v>
      </c>
      <c r="AH176" s="135">
        <v>0.46153846153846156</v>
      </c>
      <c r="AI176" s="26">
        <v>0.82307692307692304</v>
      </c>
      <c r="AJ176" s="26">
        <v>0.24736842105263157</v>
      </c>
      <c r="AK176" s="26">
        <v>0.77941176470588236</v>
      </c>
      <c r="AL176" s="26">
        <v>1.161764705882353</v>
      </c>
      <c r="AM176" s="26">
        <v>0.21487603305785125</v>
      </c>
      <c r="AN176" s="27">
        <v>0.69501466275659829</v>
      </c>
      <c r="AO176" s="26">
        <v>0.4310850439882698</v>
      </c>
      <c r="AP176" s="26">
        <v>0.39296187683284456</v>
      </c>
      <c r="AQ176" s="26">
        <v>6.7448680351906154E-2</v>
      </c>
      <c r="AR176" s="28">
        <v>0</v>
      </c>
      <c r="AS176" s="249">
        <f t="shared" si="4"/>
        <v>8.797653958944282E-2</v>
      </c>
      <c r="AT176" s="250">
        <f t="shared" si="5"/>
        <v>-1.1730205278592375E-2</v>
      </c>
      <c r="AU176" s="22">
        <v>78</v>
      </c>
      <c r="AV176" s="23">
        <v>82</v>
      </c>
      <c r="AW176" s="24">
        <v>96</v>
      </c>
      <c r="AX176" s="135">
        <v>5.128205128205128E-2</v>
      </c>
      <c r="AY176" s="26">
        <v>0.23076923076923078</v>
      </c>
      <c r="AZ176" s="28">
        <v>0.17073170731707318</v>
      </c>
      <c r="BA176" s="22">
        <v>38</v>
      </c>
      <c r="BB176" s="24">
        <v>40.5</v>
      </c>
      <c r="BC176" s="22">
        <v>3</v>
      </c>
      <c r="BD176" s="24">
        <v>5</v>
      </c>
      <c r="BE176" s="22">
        <v>142</v>
      </c>
      <c r="BF176" s="23">
        <v>237</v>
      </c>
      <c r="BG176" s="26">
        <v>0.59915611814345993</v>
      </c>
      <c r="BH176" s="23">
        <v>54</v>
      </c>
      <c r="BI176" s="23">
        <v>96</v>
      </c>
      <c r="BJ176" s="28">
        <v>0.5625</v>
      </c>
    </row>
    <row r="177" spans="1:62" x14ac:dyDescent="0.25">
      <c r="E177" t="s">
        <v>68</v>
      </c>
      <c r="F177" s="32">
        <v>256</v>
      </c>
      <c r="G177" s="29">
        <v>255</v>
      </c>
      <c r="H177" s="30">
        <v>0</v>
      </c>
      <c r="I177" s="30">
        <v>255</v>
      </c>
      <c r="J177" s="31">
        <v>0</v>
      </c>
      <c r="K177" s="29">
        <v>0</v>
      </c>
      <c r="L177" s="30">
        <v>0</v>
      </c>
      <c r="M177" s="30">
        <v>1</v>
      </c>
      <c r="N177" s="30">
        <v>0</v>
      </c>
      <c r="O177" s="30">
        <v>0</v>
      </c>
      <c r="P177" s="30">
        <v>0</v>
      </c>
      <c r="Q177" s="30">
        <v>0</v>
      </c>
      <c r="R177" s="31">
        <v>0</v>
      </c>
      <c r="S177" s="32">
        <v>1</v>
      </c>
      <c r="T177" s="29"/>
      <c r="U177" s="30"/>
      <c r="V177" s="30"/>
      <c r="W177" s="30"/>
      <c r="X177" s="31"/>
      <c r="Y177" s="29">
        <v>65</v>
      </c>
      <c r="Z177" s="31">
        <v>34</v>
      </c>
      <c r="AA177" s="29">
        <v>118</v>
      </c>
      <c r="AB177" s="31">
        <v>80</v>
      </c>
      <c r="AC177" s="29">
        <v>134</v>
      </c>
      <c r="AD177">
        <v>87</v>
      </c>
      <c r="AE177" s="29">
        <v>169</v>
      </c>
      <c r="AF177" s="30">
        <v>111</v>
      </c>
      <c r="AG177" s="31">
        <v>14</v>
      </c>
      <c r="AH177" s="136">
        <v>0.81538461538461537</v>
      </c>
      <c r="AI177" s="33">
        <v>1.0615384615384615</v>
      </c>
      <c r="AJ177" s="33">
        <v>0.13559322033898305</v>
      </c>
      <c r="AK177" s="33">
        <v>1.3529411764705883</v>
      </c>
      <c r="AL177" s="33">
        <v>1.5588235294117647</v>
      </c>
      <c r="AM177" s="33">
        <v>8.7499999999999994E-2</v>
      </c>
      <c r="AN177" s="34">
        <v>0.52549019607843139</v>
      </c>
      <c r="AO177" s="33">
        <v>0.3411764705882353</v>
      </c>
      <c r="AP177" s="33">
        <v>0.43529411764705883</v>
      </c>
      <c r="AQ177" s="33">
        <v>5.4901960784313725E-2</v>
      </c>
      <c r="AR177" s="35">
        <v>0</v>
      </c>
      <c r="AS177" s="251">
        <f t="shared" si="4"/>
        <v>3.9215686274509803E-3</v>
      </c>
      <c r="AT177" s="252">
        <f t="shared" si="5"/>
        <v>3.9215686274509803E-3</v>
      </c>
      <c r="AU177" s="29">
        <v>43</v>
      </c>
      <c r="AV177" s="30">
        <v>49</v>
      </c>
      <c r="AW177" s="31">
        <v>57</v>
      </c>
      <c r="AX177" s="136">
        <v>0.13953488372093023</v>
      </c>
      <c r="AY177" s="33">
        <v>0.32558139534883723</v>
      </c>
      <c r="AZ177" s="35">
        <v>0.16326530612244897</v>
      </c>
      <c r="BA177" s="29">
        <v>38</v>
      </c>
      <c r="BB177" s="31">
        <v>40</v>
      </c>
      <c r="BC177" s="29">
        <v>3</v>
      </c>
      <c r="BD177" s="31">
        <v>4</v>
      </c>
      <c r="BE177" s="29">
        <v>86</v>
      </c>
      <c r="BF177" s="30">
        <v>134</v>
      </c>
      <c r="BG177" s="33">
        <v>0.64179104477611937</v>
      </c>
      <c r="BH177" s="30">
        <v>30</v>
      </c>
      <c r="BI177" s="30">
        <v>57</v>
      </c>
      <c r="BJ177" s="35">
        <v>0.52631578947368418</v>
      </c>
    </row>
    <row r="178" spans="1:62" x14ac:dyDescent="0.25">
      <c r="E178" t="s">
        <v>148</v>
      </c>
      <c r="F178" s="32">
        <v>42</v>
      </c>
      <c r="G178" s="29">
        <v>37</v>
      </c>
      <c r="H178" s="30">
        <v>5</v>
      </c>
      <c r="I178" s="30">
        <v>42</v>
      </c>
      <c r="J178" s="31">
        <v>0</v>
      </c>
      <c r="K178" s="29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1">
        <v>0</v>
      </c>
      <c r="S178" s="32">
        <v>27</v>
      </c>
      <c r="T178" s="29">
        <v>33</v>
      </c>
      <c r="U178" s="30">
        <v>0</v>
      </c>
      <c r="V178" s="30">
        <v>0</v>
      </c>
      <c r="W178" s="30">
        <v>0</v>
      </c>
      <c r="X178" s="31">
        <v>33</v>
      </c>
      <c r="Y178" s="29">
        <v>23</v>
      </c>
      <c r="Z178" s="31">
        <v>15</v>
      </c>
      <c r="AA178" s="29">
        <v>25</v>
      </c>
      <c r="AB178" s="31">
        <v>17</v>
      </c>
      <c r="AC178" s="29">
        <v>46</v>
      </c>
      <c r="AD178">
        <v>30</v>
      </c>
      <c r="AE178" s="29">
        <v>14</v>
      </c>
      <c r="AF178" s="30">
        <v>12</v>
      </c>
      <c r="AG178" s="31">
        <v>5</v>
      </c>
      <c r="AH178" s="136">
        <v>8.6956521739130432E-2</v>
      </c>
      <c r="AI178" s="33">
        <v>1</v>
      </c>
      <c r="AJ178" s="33">
        <v>0.84</v>
      </c>
      <c r="AK178" s="33">
        <v>0.13333333333333333</v>
      </c>
      <c r="AL178" s="33">
        <v>1</v>
      </c>
      <c r="AM178" s="33">
        <v>0.76470588235294112</v>
      </c>
      <c r="AN178" s="34">
        <v>1.2432432432432432</v>
      </c>
      <c r="AO178" s="33">
        <v>0.81081081081081086</v>
      </c>
      <c r="AP178" s="33">
        <v>0.32432432432432434</v>
      </c>
      <c r="AQ178" s="33">
        <v>0.13513513513513514</v>
      </c>
      <c r="AR178" s="35">
        <v>0</v>
      </c>
      <c r="AS178" s="251">
        <f t="shared" si="4"/>
        <v>0.72972972972972971</v>
      </c>
      <c r="AT178" s="252">
        <f t="shared" si="5"/>
        <v>-0.16216216216216217</v>
      </c>
      <c r="AU178" s="29">
        <v>17</v>
      </c>
      <c r="AV178" s="30">
        <v>10</v>
      </c>
      <c r="AW178" s="31">
        <v>18</v>
      </c>
      <c r="AX178" s="136">
        <v>-0.41176470588235292</v>
      </c>
      <c r="AY178" s="33">
        <v>5.8823529411764705E-2</v>
      </c>
      <c r="AZ178" s="35">
        <v>0.8</v>
      </c>
      <c r="BA178" s="29">
        <v>38</v>
      </c>
      <c r="BB178" s="31">
        <v>33.5</v>
      </c>
      <c r="BC178" s="29">
        <v>1</v>
      </c>
      <c r="BD178" s="31">
        <v>2.5</v>
      </c>
      <c r="BE178" s="29">
        <v>25</v>
      </c>
      <c r="BF178" s="30">
        <v>46</v>
      </c>
      <c r="BG178" s="33">
        <v>0.54347826086956519</v>
      </c>
      <c r="BH178" s="30">
        <v>13</v>
      </c>
      <c r="BI178" s="30">
        <v>18</v>
      </c>
      <c r="BJ178" s="35">
        <v>0.72222222222222221</v>
      </c>
    </row>
    <row r="179" spans="1:62" x14ac:dyDescent="0.25">
      <c r="E179" t="s">
        <v>97</v>
      </c>
      <c r="F179" s="32">
        <v>52</v>
      </c>
      <c r="G179" s="29">
        <v>48</v>
      </c>
      <c r="H179" s="30">
        <v>0</v>
      </c>
      <c r="I179" s="30">
        <v>48</v>
      </c>
      <c r="J179" s="31">
        <v>0</v>
      </c>
      <c r="K179" s="29">
        <v>0</v>
      </c>
      <c r="L179" s="30">
        <v>0</v>
      </c>
      <c r="M179" s="30">
        <v>0</v>
      </c>
      <c r="N179" s="30">
        <v>0</v>
      </c>
      <c r="O179" s="30">
        <v>4</v>
      </c>
      <c r="P179" s="30">
        <v>0</v>
      </c>
      <c r="Q179" s="30">
        <v>0</v>
      </c>
      <c r="R179" s="31">
        <v>0</v>
      </c>
      <c r="S179" s="32">
        <v>2</v>
      </c>
      <c r="T179" s="29">
        <v>1</v>
      </c>
      <c r="U179" s="30">
        <v>0</v>
      </c>
      <c r="V179" s="30">
        <v>0</v>
      </c>
      <c r="W179" s="30">
        <v>0</v>
      </c>
      <c r="X179" s="31">
        <v>1</v>
      </c>
      <c r="Y179" s="29">
        <v>42</v>
      </c>
      <c r="Z179" s="31">
        <v>19</v>
      </c>
      <c r="AA179" s="29">
        <v>47</v>
      </c>
      <c r="AB179" s="31">
        <v>24</v>
      </c>
      <c r="AC179" s="29">
        <v>55</v>
      </c>
      <c r="AD179">
        <v>29</v>
      </c>
      <c r="AE179" s="29">
        <v>22</v>
      </c>
      <c r="AF179" s="30">
        <v>11</v>
      </c>
      <c r="AG179" s="31">
        <v>4</v>
      </c>
      <c r="AH179" s="136">
        <v>0.11904761904761904</v>
      </c>
      <c r="AI179" s="33">
        <v>0.30952380952380953</v>
      </c>
      <c r="AJ179" s="33">
        <v>0.1702127659574468</v>
      </c>
      <c r="AK179" s="33">
        <v>0.26315789473684209</v>
      </c>
      <c r="AL179" s="33">
        <v>0.52631578947368418</v>
      </c>
      <c r="AM179" s="33">
        <v>0.20833333333333334</v>
      </c>
      <c r="AN179" s="34">
        <v>1.1458333333333333</v>
      </c>
      <c r="AO179" s="33">
        <v>0.60416666666666663</v>
      </c>
      <c r="AP179" s="33">
        <v>0.22916666666666666</v>
      </c>
      <c r="AQ179" s="33">
        <v>8.3333333333333329E-2</v>
      </c>
      <c r="AR179" s="35">
        <v>0</v>
      </c>
      <c r="AS179" s="251">
        <f t="shared" si="4"/>
        <v>4.1666666666666664E-2</v>
      </c>
      <c r="AT179" s="252">
        <f t="shared" si="5"/>
        <v>2.0833333333333332E-2</v>
      </c>
      <c r="AU179" s="29">
        <v>29</v>
      </c>
      <c r="AV179" s="30">
        <v>31</v>
      </c>
      <c r="AW179" s="31">
        <v>35</v>
      </c>
      <c r="AX179" s="136">
        <v>6.8965517241379309E-2</v>
      </c>
      <c r="AY179" s="33">
        <v>0.20689655172413793</v>
      </c>
      <c r="AZ179" s="35">
        <v>0.12903225806451613</v>
      </c>
      <c r="BA179" s="29">
        <v>47</v>
      </c>
      <c r="BB179" s="31">
        <v>45</v>
      </c>
      <c r="BC179" s="29">
        <v>6</v>
      </c>
      <c r="BD179" s="31">
        <v>6</v>
      </c>
      <c r="BE179" s="29">
        <v>30</v>
      </c>
      <c r="BF179" s="30">
        <v>55</v>
      </c>
      <c r="BG179" s="33">
        <v>0.54545454545454541</v>
      </c>
      <c r="BH179" s="30">
        <v>18</v>
      </c>
      <c r="BI179" s="30">
        <v>35</v>
      </c>
      <c r="BJ179" s="35">
        <v>0.51428571428571423</v>
      </c>
    </row>
    <row r="180" spans="1:62" x14ac:dyDescent="0.25">
      <c r="A180" s="134"/>
      <c r="B180" s="134"/>
      <c r="C180" s="134"/>
      <c r="D180" s="134" t="s">
        <v>197</v>
      </c>
      <c r="E180" s="134"/>
      <c r="F180" s="25">
        <v>194</v>
      </c>
      <c r="G180" s="22">
        <v>192</v>
      </c>
      <c r="H180" s="23">
        <v>0</v>
      </c>
      <c r="I180" s="23">
        <v>192</v>
      </c>
      <c r="J180" s="24">
        <v>0</v>
      </c>
      <c r="K180" s="22">
        <v>0</v>
      </c>
      <c r="L180" s="23">
        <v>0</v>
      </c>
      <c r="M180" s="23">
        <v>2</v>
      </c>
      <c r="N180" s="23">
        <v>0</v>
      </c>
      <c r="O180" s="23">
        <v>0</v>
      </c>
      <c r="P180" s="23">
        <v>0</v>
      </c>
      <c r="Q180" s="23">
        <v>0</v>
      </c>
      <c r="R180" s="24">
        <v>0</v>
      </c>
      <c r="S180" s="25">
        <v>0</v>
      </c>
      <c r="T180" s="22"/>
      <c r="U180" s="23"/>
      <c r="V180" s="23"/>
      <c r="W180" s="23"/>
      <c r="X180" s="24"/>
      <c r="Y180" s="22">
        <v>0</v>
      </c>
      <c r="Z180" s="24">
        <v>0</v>
      </c>
      <c r="AA180" s="22">
        <v>0</v>
      </c>
      <c r="AB180" s="24">
        <v>0</v>
      </c>
      <c r="AC180" s="22">
        <v>62</v>
      </c>
      <c r="AD180" s="134">
        <v>45</v>
      </c>
      <c r="AE180" s="22">
        <v>147</v>
      </c>
      <c r="AF180" s="23">
        <v>58</v>
      </c>
      <c r="AG180" s="24">
        <v>7</v>
      </c>
      <c r="AH180" s="135"/>
      <c r="AI180" s="26"/>
      <c r="AJ180" s="26"/>
      <c r="AK180" s="26"/>
      <c r="AL180" s="26"/>
      <c r="AM180" s="26"/>
      <c r="AN180" s="27">
        <v>0.32291666666666669</v>
      </c>
      <c r="AO180" s="26">
        <v>0.234375</v>
      </c>
      <c r="AP180" s="26">
        <v>0.30208333333333331</v>
      </c>
      <c r="AQ180" s="26">
        <v>3.6458333333333336E-2</v>
      </c>
      <c r="AR180" s="28">
        <v>0</v>
      </c>
      <c r="AS180" s="249">
        <f t="shared" si="4"/>
        <v>0</v>
      </c>
      <c r="AT180" s="250">
        <f t="shared" si="5"/>
        <v>0</v>
      </c>
      <c r="AU180" s="22">
        <v>0</v>
      </c>
      <c r="AV180" s="23">
        <v>0</v>
      </c>
      <c r="AW180" s="24">
        <v>26</v>
      </c>
      <c r="AX180" s="135"/>
      <c r="AY180" s="26"/>
      <c r="AZ180" s="28"/>
      <c r="BA180" s="22">
        <v>47</v>
      </c>
      <c r="BB180" s="24">
        <v>48</v>
      </c>
      <c r="BC180" s="22">
        <v>3</v>
      </c>
      <c r="BD180" s="24">
        <v>4.5</v>
      </c>
      <c r="BE180" s="22">
        <v>33</v>
      </c>
      <c r="BF180" s="23">
        <v>62</v>
      </c>
      <c r="BG180" s="26">
        <v>0.532258064516129</v>
      </c>
      <c r="BH180" s="23">
        <v>14</v>
      </c>
      <c r="BI180" s="23">
        <v>26</v>
      </c>
      <c r="BJ180" s="28">
        <v>0.53846153846153844</v>
      </c>
    </row>
    <row r="181" spans="1:62" x14ac:dyDescent="0.25">
      <c r="E181" t="s">
        <v>97</v>
      </c>
      <c r="F181" s="32">
        <v>194</v>
      </c>
      <c r="G181" s="29">
        <v>192</v>
      </c>
      <c r="H181" s="30">
        <v>0</v>
      </c>
      <c r="I181" s="30">
        <v>192</v>
      </c>
      <c r="J181" s="31">
        <v>0</v>
      </c>
      <c r="K181" s="29">
        <v>0</v>
      </c>
      <c r="L181" s="30">
        <v>0</v>
      </c>
      <c r="M181" s="30">
        <v>2</v>
      </c>
      <c r="N181" s="30">
        <v>0</v>
      </c>
      <c r="O181" s="30">
        <v>0</v>
      </c>
      <c r="P181" s="30">
        <v>0</v>
      </c>
      <c r="Q181" s="30">
        <v>0</v>
      </c>
      <c r="R181" s="31">
        <v>0</v>
      </c>
      <c r="S181" s="32">
        <v>0</v>
      </c>
      <c r="T181" s="29"/>
      <c r="U181" s="30"/>
      <c r="V181" s="30"/>
      <c r="W181" s="30"/>
      <c r="X181" s="31"/>
      <c r="Y181" s="29">
        <v>0</v>
      </c>
      <c r="Z181" s="31">
        <v>0</v>
      </c>
      <c r="AA181" s="29">
        <v>0</v>
      </c>
      <c r="AB181" s="31">
        <v>0</v>
      </c>
      <c r="AC181" s="29">
        <v>62</v>
      </c>
      <c r="AD181">
        <v>45</v>
      </c>
      <c r="AE181" s="29">
        <v>147</v>
      </c>
      <c r="AF181" s="30">
        <v>58</v>
      </c>
      <c r="AG181" s="31">
        <v>7</v>
      </c>
      <c r="AH181" s="136"/>
      <c r="AI181" s="33"/>
      <c r="AJ181" s="33"/>
      <c r="AK181" s="33"/>
      <c r="AL181" s="33"/>
      <c r="AM181" s="33"/>
      <c r="AN181" s="34">
        <v>0.32291666666666669</v>
      </c>
      <c r="AO181" s="33">
        <v>0.234375</v>
      </c>
      <c r="AP181" s="33">
        <v>0.30208333333333331</v>
      </c>
      <c r="AQ181" s="33">
        <v>3.6458333333333336E-2</v>
      </c>
      <c r="AR181" s="35">
        <v>0</v>
      </c>
      <c r="AS181" s="251">
        <f t="shared" si="4"/>
        <v>0</v>
      </c>
      <c r="AT181" s="252">
        <f t="shared" si="5"/>
        <v>0</v>
      </c>
      <c r="AU181" s="29">
        <v>0</v>
      </c>
      <c r="AV181" s="30">
        <v>0</v>
      </c>
      <c r="AW181" s="31">
        <v>26</v>
      </c>
      <c r="AX181" s="136"/>
      <c r="AY181" s="33"/>
      <c r="AZ181" s="35"/>
      <c r="BA181" s="29">
        <v>47</v>
      </c>
      <c r="BB181" s="31">
        <v>48</v>
      </c>
      <c r="BC181" s="29">
        <v>3</v>
      </c>
      <c r="BD181" s="31">
        <v>4.5</v>
      </c>
      <c r="BE181" s="29">
        <v>33</v>
      </c>
      <c r="BF181" s="30">
        <v>62</v>
      </c>
      <c r="BG181" s="33">
        <v>0.532258064516129</v>
      </c>
      <c r="BH181" s="30">
        <v>14</v>
      </c>
      <c r="BI181" s="30">
        <v>26</v>
      </c>
      <c r="BJ181" s="35">
        <v>0.53846153846153844</v>
      </c>
    </row>
    <row r="182" spans="1:62" x14ac:dyDescent="0.25">
      <c r="A182" s="134"/>
      <c r="B182" s="134"/>
      <c r="C182" s="134"/>
      <c r="D182" s="134" t="s">
        <v>198</v>
      </c>
      <c r="E182" s="134"/>
      <c r="F182" s="25">
        <v>73</v>
      </c>
      <c r="G182" s="22">
        <v>72</v>
      </c>
      <c r="H182" s="23">
        <v>0</v>
      </c>
      <c r="I182" s="23">
        <v>72</v>
      </c>
      <c r="J182" s="24">
        <v>0</v>
      </c>
      <c r="K182" s="22">
        <v>0</v>
      </c>
      <c r="L182" s="23">
        <v>0</v>
      </c>
      <c r="M182" s="23">
        <v>0</v>
      </c>
      <c r="N182" s="23">
        <v>0</v>
      </c>
      <c r="O182" s="23">
        <v>1</v>
      </c>
      <c r="P182" s="23">
        <v>0</v>
      </c>
      <c r="Q182" s="23">
        <v>0</v>
      </c>
      <c r="R182" s="24">
        <v>0</v>
      </c>
      <c r="S182" s="25">
        <v>0</v>
      </c>
      <c r="T182" s="22"/>
      <c r="U182" s="23"/>
      <c r="V182" s="23"/>
      <c r="W182" s="23"/>
      <c r="X182" s="24"/>
      <c r="Y182" s="22">
        <v>9</v>
      </c>
      <c r="Z182" s="24">
        <v>4</v>
      </c>
      <c r="AA182" s="22">
        <v>12</v>
      </c>
      <c r="AB182" s="24">
        <v>8</v>
      </c>
      <c r="AC182" s="22">
        <v>16</v>
      </c>
      <c r="AD182" s="134">
        <v>13</v>
      </c>
      <c r="AE182" s="22">
        <v>59</v>
      </c>
      <c r="AF182" s="23">
        <v>34</v>
      </c>
      <c r="AG182" s="24">
        <v>0</v>
      </c>
      <c r="AH182" s="135">
        <v>0.33333333333333331</v>
      </c>
      <c r="AI182" s="26">
        <v>0.77777777777777779</v>
      </c>
      <c r="AJ182" s="26">
        <v>0.33333333333333331</v>
      </c>
      <c r="AK182" s="26">
        <v>1</v>
      </c>
      <c r="AL182" s="26">
        <v>2.25</v>
      </c>
      <c r="AM182" s="26">
        <v>0.625</v>
      </c>
      <c r="AN182" s="27">
        <v>0.22222222222222221</v>
      </c>
      <c r="AO182" s="26">
        <v>0.18055555555555555</v>
      </c>
      <c r="AP182" s="26">
        <v>0.47222222222222221</v>
      </c>
      <c r="AQ182" s="26">
        <v>0</v>
      </c>
      <c r="AR182" s="28">
        <v>0</v>
      </c>
      <c r="AS182" s="249">
        <f t="shared" si="4"/>
        <v>0</v>
      </c>
      <c r="AT182" s="250">
        <f t="shared" si="5"/>
        <v>0</v>
      </c>
      <c r="AU182" s="22">
        <v>8</v>
      </c>
      <c r="AV182" s="23">
        <v>5</v>
      </c>
      <c r="AW182" s="24">
        <v>13</v>
      </c>
      <c r="AX182" s="135">
        <v>-0.375</v>
      </c>
      <c r="AY182" s="26">
        <v>0.625</v>
      </c>
      <c r="AZ182" s="28">
        <v>1.6</v>
      </c>
      <c r="BA182" s="22">
        <v>26</v>
      </c>
      <c r="BB182" s="24">
        <v>28</v>
      </c>
      <c r="BC182" s="22">
        <v>8.5</v>
      </c>
      <c r="BD182" s="24">
        <v>9</v>
      </c>
      <c r="BE182" s="22">
        <v>8</v>
      </c>
      <c r="BF182" s="23">
        <v>16</v>
      </c>
      <c r="BG182" s="26">
        <v>0.5</v>
      </c>
      <c r="BH182" s="23">
        <v>6</v>
      </c>
      <c r="BI182" s="23">
        <v>13</v>
      </c>
      <c r="BJ182" s="28">
        <v>0.46153846153846156</v>
      </c>
    </row>
    <row r="183" spans="1:62" x14ac:dyDescent="0.25">
      <c r="E183" t="s">
        <v>68</v>
      </c>
      <c r="F183" s="32">
        <v>73</v>
      </c>
      <c r="G183" s="29">
        <v>72</v>
      </c>
      <c r="H183" s="30">
        <v>0</v>
      </c>
      <c r="I183" s="30">
        <v>72</v>
      </c>
      <c r="J183" s="31">
        <v>0</v>
      </c>
      <c r="K183" s="29">
        <v>0</v>
      </c>
      <c r="L183" s="30">
        <v>0</v>
      </c>
      <c r="M183" s="30">
        <v>0</v>
      </c>
      <c r="N183" s="30">
        <v>0</v>
      </c>
      <c r="O183" s="30">
        <v>1</v>
      </c>
      <c r="P183" s="30">
        <v>0</v>
      </c>
      <c r="Q183" s="30">
        <v>0</v>
      </c>
      <c r="R183" s="31">
        <v>0</v>
      </c>
      <c r="S183" s="32">
        <v>0</v>
      </c>
      <c r="T183" s="29"/>
      <c r="U183" s="30"/>
      <c r="V183" s="30"/>
      <c r="W183" s="30"/>
      <c r="X183" s="31"/>
      <c r="Y183" s="29">
        <v>9</v>
      </c>
      <c r="Z183" s="31">
        <v>4</v>
      </c>
      <c r="AA183" s="29">
        <v>12</v>
      </c>
      <c r="AB183" s="31">
        <v>8</v>
      </c>
      <c r="AC183" s="29">
        <v>16</v>
      </c>
      <c r="AD183">
        <v>13</v>
      </c>
      <c r="AE183" s="29">
        <v>59</v>
      </c>
      <c r="AF183" s="30">
        <v>34</v>
      </c>
      <c r="AG183" s="31">
        <v>0</v>
      </c>
      <c r="AH183" s="136">
        <v>0.33333333333333331</v>
      </c>
      <c r="AI183" s="33">
        <v>0.77777777777777779</v>
      </c>
      <c r="AJ183" s="33">
        <v>0.33333333333333331</v>
      </c>
      <c r="AK183" s="33">
        <v>1</v>
      </c>
      <c r="AL183" s="33">
        <v>2.25</v>
      </c>
      <c r="AM183" s="33">
        <v>0.625</v>
      </c>
      <c r="AN183" s="34">
        <v>0.22222222222222221</v>
      </c>
      <c r="AO183" s="33">
        <v>0.18055555555555555</v>
      </c>
      <c r="AP183" s="33">
        <v>0.47222222222222221</v>
      </c>
      <c r="AQ183" s="33">
        <v>0</v>
      </c>
      <c r="AR183" s="35">
        <v>0</v>
      </c>
      <c r="AS183" s="251">
        <f t="shared" si="4"/>
        <v>0</v>
      </c>
      <c r="AT183" s="252">
        <f t="shared" si="5"/>
        <v>0</v>
      </c>
      <c r="AU183" s="29">
        <v>8</v>
      </c>
      <c r="AV183" s="30">
        <v>5</v>
      </c>
      <c r="AW183" s="31">
        <v>13</v>
      </c>
      <c r="AX183" s="136">
        <v>-0.375</v>
      </c>
      <c r="AY183" s="33">
        <v>0.625</v>
      </c>
      <c r="AZ183" s="35">
        <v>1.6</v>
      </c>
      <c r="BA183" s="29">
        <v>26</v>
      </c>
      <c r="BB183" s="31">
        <v>28</v>
      </c>
      <c r="BC183" s="29">
        <v>8.5</v>
      </c>
      <c r="BD183" s="31">
        <v>9</v>
      </c>
      <c r="BE183" s="29">
        <v>8</v>
      </c>
      <c r="BF183" s="30">
        <v>16</v>
      </c>
      <c r="BG183" s="33">
        <v>0.5</v>
      </c>
      <c r="BH183" s="30">
        <v>6</v>
      </c>
      <c r="BI183" s="30">
        <v>13</v>
      </c>
      <c r="BJ183" s="35">
        <v>0.46153846153846156</v>
      </c>
    </row>
    <row r="184" spans="1:62" x14ac:dyDescent="0.25">
      <c r="A184" s="134"/>
      <c r="B184" s="134"/>
      <c r="C184" s="134"/>
      <c r="D184" s="134" t="s">
        <v>199</v>
      </c>
      <c r="E184" s="134"/>
      <c r="F184" s="25">
        <v>1372</v>
      </c>
      <c r="G184" s="22">
        <v>1337</v>
      </c>
      <c r="H184" s="23">
        <v>0</v>
      </c>
      <c r="I184" s="23">
        <v>1221</v>
      </c>
      <c r="J184" s="24">
        <v>116</v>
      </c>
      <c r="K184" s="22">
        <v>0</v>
      </c>
      <c r="L184" s="23">
        <v>0</v>
      </c>
      <c r="M184" s="23">
        <v>3</v>
      </c>
      <c r="N184" s="23">
        <v>1</v>
      </c>
      <c r="O184" s="23">
        <v>5</v>
      </c>
      <c r="P184" s="23">
        <v>0</v>
      </c>
      <c r="Q184" s="23">
        <v>2</v>
      </c>
      <c r="R184" s="24">
        <v>24</v>
      </c>
      <c r="S184" s="25">
        <v>6</v>
      </c>
      <c r="T184" s="22">
        <v>7</v>
      </c>
      <c r="U184" s="23">
        <v>2</v>
      </c>
      <c r="V184" s="23">
        <v>2</v>
      </c>
      <c r="W184" s="23">
        <v>2</v>
      </c>
      <c r="X184" s="24">
        <v>1</v>
      </c>
      <c r="Y184" s="22">
        <v>537</v>
      </c>
      <c r="Z184" s="24">
        <v>328</v>
      </c>
      <c r="AA184" s="22">
        <v>504</v>
      </c>
      <c r="AB184" s="24">
        <v>261</v>
      </c>
      <c r="AC184" s="22">
        <v>455</v>
      </c>
      <c r="AD184" s="134">
        <v>270</v>
      </c>
      <c r="AE184" s="22">
        <v>1102</v>
      </c>
      <c r="AF184" s="23">
        <v>813</v>
      </c>
      <c r="AG184" s="24">
        <v>70</v>
      </c>
      <c r="AH184" s="135">
        <v>-6.1452513966480445E-2</v>
      </c>
      <c r="AI184" s="26">
        <v>-0.1527001862197393</v>
      </c>
      <c r="AJ184" s="26">
        <v>-9.7222222222222224E-2</v>
      </c>
      <c r="AK184" s="26">
        <v>-0.20426829268292682</v>
      </c>
      <c r="AL184" s="26">
        <v>-0.17682926829268292</v>
      </c>
      <c r="AM184" s="26">
        <v>3.4482758620689655E-2</v>
      </c>
      <c r="AN184" s="27">
        <v>0.34031413612565448</v>
      </c>
      <c r="AO184" s="26">
        <v>0.20194465220643232</v>
      </c>
      <c r="AP184" s="26">
        <v>0.60807778608825724</v>
      </c>
      <c r="AQ184" s="26">
        <v>5.2356020942408377E-2</v>
      </c>
      <c r="AR184" s="28">
        <v>1.763409257898604E-2</v>
      </c>
      <c r="AS184" s="249">
        <f>S184/G184</f>
        <v>4.4876589379207179E-3</v>
      </c>
      <c r="AT184" s="250">
        <f>(S184-T184)/G184</f>
        <v>-7.4794315632011965E-4</v>
      </c>
      <c r="AU184" s="22">
        <v>241</v>
      </c>
      <c r="AV184" s="23">
        <v>251</v>
      </c>
      <c r="AW184" s="24">
        <v>231</v>
      </c>
      <c r="AX184" s="135">
        <v>4.1493775933609957E-2</v>
      </c>
      <c r="AY184" s="26">
        <v>-4.1493775933609957E-2</v>
      </c>
      <c r="AZ184" s="28">
        <v>-7.9681274900398405E-2</v>
      </c>
      <c r="BA184" s="22">
        <v>22</v>
      </c>
      <c r="BB184" s="24">
        <v>18</v>
      </c>
      <c r="BC184" s="22">
        <v>3</v>
      </c>
      <c r="BD184" s="24">
        <v>4</v>
      </c>
      <c r="BE184" s="22">
        <v>269</v>
      </c>
      <c r="BF184" s="23">
        <v>455</v>
      </c>
      <c r="BG184" s="26">
        <v>0.59120879120879122</v>
      </c>
      <c r="BH184" s="23">
        <v>151</v>
      </c>
      <c r="BI184" s="23">
        <v>231</v>
      </c>
      <c r="BJ184" s="28">
        <v>0.65367965367965364</v>
      </c>
    </row>
    <row r="185" spans="1:62" x14ac:dyDescent="0.25">
      <c r="E185" t="s">
        <v>68</v>
      </c>
      <c r="F185" s="32">
        <v>1372</v>
      </c>
      <c r="G185" s="29">
        <v>1337</v>
      </c>
      <c r="H185" s="30">
        <v>0</v>
      </c>
      <c r="I185" s="30">
        <v>1221</v>
      </c>
      <c r="J185" s="31">
        <v>116</v>
      </c>
      <c r="K185" s="29">
        <v>0</v>
      </c>
      <c r="L185" s="30">
        <v>0</v>
      </c>
      <c r="M185" s="30">
        <v>3</v>
      </c>
      <c r="N185" s="30">
        <v>1</v>
      </c>
      <c r="O185" s="30">
        <v>5</v>
      </c>
      <c r="P185" s="30">
        <v>0</v>
      </c>
      <c r="Q185" s="30">
        <v>2</v>
      </c>
      <c r="R185" s="31">
        <v>24</v>
      </c>
      <c r="S185" s="32">
        <v>6</v>
      </c>
      <c r="T185" s="29">
        <v>7</v>
      </c>
      <c r="U185" s="30">
        <v>2</v>
      </c>
      <c r="V185" s="30">
        <v>2</v>
      </c>
      <c r="W185" s="30">
        <v>2</v>
      </c>
      <c r="X185" s="31">
        <v>1</v>
      </c>
      <c r="Y185" s="29">
        <v>537</v>
      </c>
      <c r="Z185" s="31">
        <v>328</v>
      </c>
      <c r="AA185" s="29">
        <v>504</v>
      </c>
      <c r="AB185" s="31">
        <v>261</v>
      </c>
      <c r="AC185" s="29">
        <v>455</v>
      </c>
      <c r="AD185">
        <v>270</v>
      </c>
      <c r="AE185" s="29">
        <v>1102</v>
      </c>
      <c r="AF185" s="30">
        <v>813</v>
      </c>
      <c r="AG185" s="31">
        <v>70</v>
      </c>
      <c r="AH185" s="136">
        <v>-6.1452513966480445E-2</v>
      </c>
      <c r="AI185" s="33">
        <v>-0.1527001862197393</v>
      </c>
      <c r="AJ185" s="33">
        <v>-9.7222222222222224E-2</v>
      </c>
      <c r="AK185" s="33">
        <v>-0.20426829268292682</v>
      </c>
      <c r="AL185" s="33">
        <v>-0.17682926829268292</v>
      </c>
      <c r="AM185" s="33">
        <v>3.4482758620689655E-2</v>
      </c>
      <c r="AN185" s="34">
        <v>0.34031413612565448</v>
      </c>
      <c r="AO185" s="33">
        <v>0.20194465220643232</v>
      </c>
      <c r="AP185" s="33">
        <v>0.60807778608825724</v>
      </c>
      <c r="AQ185" s="33">
        <v>5.2356020942408377E-2</v>
      </c>
      <c r="AR185" s="35">
        <v>1.763409257898604E-2</v>
      </c>
      <c r="AS185" s="251">
        <f t="shared" ref="AS185:AS248" si="6">S185/G185</f>
        <v>4.4876589379207179E-3</v>
      </c>
      <c r="AT185" s="252">
        <f t="shared" ref="AT185:AT248" si="7">(S185-T185)/G185</f>
        <v>-7.4794315632011965E-4</v>
      </c>
      <c r="AU185" s="29">
        <v>241</v>
      </c>
      <c r="AV185" s="30">
        <v>251</v>
      </c>
      <c r="AW185" s="31">
        <v>231</v>
      </c>
      <c r="AX185" s="136">
        <v>4.1493775933609957E-2</v>
      </c>
      <c r="AY185" s="33">
        <v>-4.1493775933609957E-2</v>
      </c>
      <c r="AZ185" s="35">
        <v>-7.9681274900398405E-2</v>
      </c>
      <c r="BA185" s="29">
        <v>22</v>
      </c>
      <c r="BB185" s="31">
        <v>18</v>
      </c>
      <c r="BC185" s="29">
        <v>3</v>
      </c>
      <c r="BD185" s="31">
        <v>4</v>
      </c>
      <c r="BE185" s="29">
        <v>269</v>
      </c>
      <c r="BF185" s="30">
        <v>455</v>
      </c>
      <c r="BG185" s="33">
        <v>0.59120879120879122</v>
      </c>
      <c r="BH185" s="30">
        <v>151</v>
      </c>
      <c r="BI185" s="30">
        <v>231</v>
      </c>
      <c r="BJ185" s="35">
        <v>0.65367965367965364</v>
      </c>
    </row>
    <row r="186" spans="1:62" x14ac:dyDescent="0.25">
      <c r="A186" s="132"/>
      <c r="B186" s="132"/>
      <c r="C186" s="132" t="s">
        <v>200</v>
      </c>
      <c r="D186" s="132"/>
      <c r="E186" s="132"/>
      <c r="F186" s="18">
        <v>35519</v>
      </c>
      <c r="G186" s="15">
        <v>33610</v>
      </c>
      <c r="H186" s="16">
        <v>838</v>
      </c>
      <c r="I186" s="16">
        <v>27364</v>
      </c>
      <c r="J186" s="17">
        <v>7084</v>
      </c>
      <c r="K186" s="15">
        <v>0</v>
      </c>
      <c r="L186" s="16">
        <v>183</v>
      </c>
      <c r="M186" s="16">
        <v>113</v>
      </c>
      <c r="N186" s="16">
        <v>6</v>
      </c>
      <c r="O186" s="16">
        <v>107</v>
      </c>
      <c r="P186" s="16">
        <v>0</v>
      </c>
      <c r="Q186" s="16">
        <v>390</v>
      </c>
      <c r="R186" s="17">
        <v>240</v>
      </c>
      <c r="S186" s="18">
        <v>919</v>
      </c>
      <c r="T186" s="15">
        <v>2610</v>
      </c>
      <c r="U186" s="16">
        <v>5</v>
      </c>
      <c r="V186" s="16">
        <v>347</v>
      </c>
      <c r="W186" s="16">
        <v>43</v>
      </c>
      <c r="X186" s="17">
        <v>2215</v>
      </c>
      <c r="Y186" s="15">
        <v>36966</v>
      </c>
      <c r="Z186" s="17">
        <v>15791</v>
      </c>
      <c r="AA186" s="15">
        <v>31990</v>
      </c>
      <c r="AB186" s="17">
        <v>14357</v>
      </c>
      <c r="AC186" s="15">
        <v>26294</v>
      </c>
      <c r="AD186" s="132">
        <v>11982</v>
      </c>
      <c r="AE186" s="15">
        <v>22500</v>
      </c>
      <c r="AF186" s="16">
        <v>11783</v>
      </c>
      <c r="AG186" s="17">
        <v>1862</v>
      </c>
      <c r="AH186" s="133">
        <v>-0.13461018232970839</v>
      </c>
      <c r="AI186" s="19">
        <v>-0.28869772223123952</v>
      </c>
      <c r="AJ186" s="19">
        <v>-0.17805564238824634</v>
      </c>
      <c r="AK186" s="19">
        <v>-9.0811221581913751E-2</v>
      </c>
      <c r="AL186" s="19">
        <v>-0.24121334937622696</v>
      </c>
      <c r="AM186" s="19">
        <v>-0.16542453158737899</v>
      </c>
      <c r="AN186" s="20">
        <v>0.78232668848556974</v>
      </c>
      <c r="AO186" s="19">
        <v>0.35650104135673905</v>
      </c>
      <c r="AP186" s="19">
        <v>0.35058018446890804</v>
      </c>
      <c r="AQ186" s="19">
        <v>5.5400178518298128E-2</v>
      </c>
      <c r="AR186" s="21">
        <v>7.0901033973412115E-3</v>
      </c>
      <c r="AS186" s="247">
        <f t="shared" si="6"/>
        <v>2.7343052662897948E-2</v>
      </c>
      <c r="AT186" s="248">
        <f t="shared" si="7"/>
        <v>-5.0312407021719727E-2</v>
      </c>
      <c r="AU186" s="15">
        <v>1320</v>
      </c>
      <c r="AV186" s="16">
        <v>1168</v>
      </c>
      <c r="AW186" s="17">
        <v>1084</v>
      </c>
      <c r="AX186" s="133">
        <v>-0.11515151515151516</v>
      </c>
      <c r="AY186" s="19">
        <v>-0.1787878787878788</v>
      </c>
      <c r="AZ186" s="21">
        <v>-7.1917808219178078E-2</v>
      </c>
      <c r="BA186" s="15">
        <v>52</v>
      </c>
      <c r="BB186" s="17">
        <v>44</v>
      </c>
      <c r="BC186" s="15">
        <v>9</v>
      </c>
      <c r="BD186" s="17">
        <v>5</v>
      </c>
      <c r="BE186" s="15">
        <v>15942</v>
      </c>
      <c r="BF186" s="16">
        <v>26294</v>
      </c>
      <c r="BG186" s="19">
        <v>0.60629801475621814</v>
      </c>
      <c r="BH186" s="16">
        <v>691</v>
      </c>
      <c r="BI186" s="16">
        <v>1084</v>
      </c>
      <c r="BJ186" s="21">
        <v>0.63745387453874536</v>
      </c>
    </row>
    <row r="187" spans="1:62" x14ac:dyDescent="0.25">
      <c r="A187" s="134"/>
      <c r="B187" s="134"/>
      <c r="C187" s="134"/>
      <c r="D187" s="134" t="s">
        <v>201</v>
      </c>
      <c r="E187" s="134"/>
      <c r="F187" s="25">
        <v>750</v>
      </c>
      <c r="G187" s="22">
        <v>738</v>
      </c>
      <c r="H187" s="23">
        <v>0</v>
      </c>
      <c r="I187" s="23">
        <v>481</v>
      </c>
      <c r="J187" s="24">
        <v>257</v>
      </c>
      <c r="K187" s="22">
        <v>0</v>
      </c>
      <c r="L187" s="23">
        <v>0</v>
      </c>
      <c r="M187" s="23">
        <v>1</v>
      </c>
      <c r="N187" s="23">
        <v>0</v>
      </c>
      <c r="O187" s="23">
        <v>2</v>
      </c>
      <c r="P187" s="23">
        <v>0</v>
      </c>
      <c r="Q187" s="23">
        <v>6</v>
      </c>
      <c r="R187" s="24">
        <v>2</v>
      </c>
      <c r="S187" s="25">
        <v>32</v>
      </c>
      <c r="T187" s="22">
        <v>23</v>
      </c>
      <c r="U187" s="23">
        <v>0</v>
      </c>
      <c r="V187" s="23">
        <v>4</v>
      </c>
      <c r="W187" s="23">
        <v>0</v>
      </c>
      <c r="X187" s="24">
        <v>19</v>
      </c>
      <c r="Y187" s="22">
        <v>1279</v>
      </c>
      <c r="Z187" s="24">
        <v>483</v>
      </c>
      <c r="AA187" s="22">
        <v>1089</v>
      </c>
      <c r="AB187" s="24">
        <v>439</v>
      </c>
      <c r="AC187" s="22">
        <v>704</v>
      </c>
      <c r="AD187" s="134">
        <v>329</v>
      </c>
      <c r="AE187" s="22">
        <v>417</v>
      </c>
      <c r="AF187" s="23">
        <v>109</v>
      </c>
      <c r="AG187" s="24">
        <v>38</v>
      </c>
      <c r="AH187" s="135">
        <v>-0.1485535574667709</v>
      </c>
      <c r="AI187" s="26">
        <v>-0.44956997654417513</v>
      </c>
      <c r="AJ187" s="26">
        <v>-0.35353535353535354</v>
      </c>
      <c r="AK187" s="26">
        <v>-9.1097308488612833E-2</v>
      </c>
      <c r="AL187" s="26">
        <v>-0.3188405797101449</v>
      </c>
      <c r="AM187" s="26">
        <v>-0.25056947608200458</v>
      </c>
      <c r="AN187" s="27">
        <v>0.95392953929539293</v>
      </c>
      <c r="AO187" s="26">
        <v>0.44579945799457993</v>
      </c>
      <c r="AP187" s="26">
        <v>0.14769647696476965</v>
      </c>
      <c r="AQ187" s="26">
        <v>5.1490514905149054E-2</v>
      </c>
      <c r="AR187" s="28">
        <v>2.7027027027027029E-3</v>
      </c>
      <c r="AS187" s="249">
        <f t="shared" si="6"/>
        <v>4.3360433604336043E-2</v>
      </c>
      <c r="AT187" s="250">
        <f t="shared" si="7"/>
        <v>1.2195121951219513E-2</v>
      </c>
      <c r="AU187" s="22">
        <v>175</v>
      </c>
      <c r="AV187" s="23">
        <v>158</v>
      </c>
      <c r="AW187" s="24">
        <v>156</v>
      </c>
      <c r="AX187" s="135">
        <v>-9.7142857142857142E-2</v>
      </c>
      <c r="AY187" s="26">
        <v>-0.10857142857142857</v>
      </c>
      <c r="AZ187" s="28">
        <v>-1.2658227848101266E-2</v>
      </c>
      <c r="BA187" s="22">
        <v>59</v>
      </c>
      <c r="BB187" s="24">
        <v>54</v>
      </c>
      <c r="BC187" s="22">
        <v>10</v>
      </c>
      <c r="BD187" s="24">
        <v>7</v>
      </c>
      <c r="BE187" s="22">
        <v>323</v>
      </c>
      <c r="BF187" s="23">
        <v>704</v>
      </c>
      <c r="BG187" s="26">
        <v>0.45880681818181818</v>
      </c>
      <c r="BH187" s="23">
        <v>94</v>
      </c>
      <c r="BI187" s="23">
        <v>156</v>
      </c>
      <c r="BJ187" s="28">
        <v>0.60256410256410253</v>
      </c>
    </row>
    <row r="188" spans="1:62" x14ac:dyDescent="0.25">
      <c r="E188" t="s">
        <v>82</v>
      </c>
      <c r="F188" s="32">
        <v>713</v>
      </c>
      <c r="G188" s="29">
        <v>702</v>
      </c>
      <c r="H188" s="30">
        <v>0</v>
      </c>
      <c r="I188" s="30">
        <v>445</v>
      </c>
      <c r="J188" s="31">
        <v>257</v>
      </c>
      <c r="K188" s="29">
        <v>0</v>
      </c>
      <c r="L188" s="30">
        <v>0</v>
      </c>
      <c r="M188" s="30">
        <v>0</v>
      </c>
      <c r="N188" s="30">
        <v>0</v>
      </c>
      <c r="O188" s="30">
        <v>2</v>
      </c>
      <c r="P188" s="30">
        <v>0</v>
      </c>
      <c r="Q188" s="30">
        <v>6</v>
      </c>
      <c r="R188" s="31">
        <v>2</v>
      </c>
      <c r="S188" s="32">
        <v>29</v>
      </c>
      <c r="T188" s="29">
        <v>19</v>
      </c>
      <c r="U188" s="30">
        <v>0</v>
      </c>
      <c r="V188" s="30">
        <v>4</v>
      </c>
      <c r="W188" s="30">
        <v>0</v>
      </c>
      <c r="X188" s="31">
        <v>15</v>
      </c>
      <c r="Y188" s="29">
        <v>1272</v>
      </c>
      <c r="Z188" s="31">
        <v>476</v>
      </c>
      <c r="AA188" s="29">
        <v>1088</v>
      </c>
      <c r="AB188" s="31">
        <v>438</v>
      </c>
      <c r="AC188" s="29">
        <v>693</v>
      </c>
      <c r="AD188">
        <v>322</v>
      </c>
      <c r="AE188" s="29">
        <v>387</v>
      </c>
      <c r="AF188" s="30">
        <v>98</v>
      </c>
      <c r="AG188" s="31">
        <v>37</v>
      </c>
      <c r="AH188" s="136">
        <v>-0.14465408805031446</v>
      </c>
      <c r="AI188" s="33">
        <v>-0.455188679245283</v>
      </c>
      <c r="AJ188" s="33">
        <v>-0.36305147058823528</v>
      </c>
      <c r="AK188" s="33">
        <v>-7.9831932773109238E-2</v>
      </c>
      <c r="AL188" s="33">
        <v>-0.3235294117647059</v>
      </c>
      <c r="AM188" s="33">
        <v>-0.26484018264840181</v>
      </c>
      <c r="AN188" s="34">
        <v>0.98717948717948723</v>
      </c>
      <c r="AO188" s="33">
        <v>0.45868945868945871</v>
      </c>
      <c r="AP188" s="33">
        <v>0.1396011396011396</v>
      </c>
      <c r="AQ188" s="33">
        <v>5.2706552706552709E-2</v>
      </c>
      <c r="AR188" s="35">
        <v>2.840909090909091E-3</v>
      </c>
      <c r="AS188" s="251">
        <f t="shared" si="6"/>
        <v>4.1310541310541307E-2</v>
      </c>
      <c r="AT188" s="252">
        <f t="shared" si="7"/>
        <v>1.4245014245014245E-2</v>
      </c>
      <c r="AU188" s="29">
        <v>174</v>
      </c>
      <c r="AV188" s="30">
        <v>158</v>
      </c>
      <c r="AW188" s="31">
        <v>155</v>
      </c>
      <c r="AX188" s="136">
        <v>-9.1954022988505746E-2</v>
      </c>
      <c r="AY188" s="33">
        <v>-0.10919540229885058</v>
      </c>
      <c r="AZ188" s="35">
        <v>-1.8987341772151899E-2</v>
      </c>
      <c r="BA188" s="29">
        <v>59</v>
      </c>
      <c r="BB188" s="31">
        <v>54</v>
      </c>
      <c r="BC188" s="29">
        <v>10</v>
      </c>
      <c r="BD188" s="31">
        <v>7</v>
      </c>
      <c r="BE188" s="29">
        <v>315</v>
      </c>
      <c r="BF188" s="30">
        <v>693</v>
      </c>
      <c r="BG188" s="33">
        <v>0.45454545454545453</v>
      </c>
      <c r="BH188" s="30">
        <v>92</v>
      </c>
      <c r="BI188" s="30">
        <v>155</v>
      </c>
      <c r="BJ188" s="35">
        <v>0.59354838709677415</v>
      </c>
    </row>
    <row r="189" spans="1:62" x14ac:dyDescent="0.25">
      <c r="E189" t="s">
        <v>68</v>
      </c>
      <c r="F189" s="32">
        <v>13</v>
      </c>
      <c r="G189" s="29">
        <v>12</v>
      </c>
      <c r="H189" s="30">
        <v>0</v>
      </c>
      <c r="I189" s="30">
        <v>12</v>
      </c>
      <c r="J189" s="31">
        <v>0</v>
      </c>
      <c r="K189" s="29">
        <v>0</v>
      </c>
      <c r="L189" s="30">
        <v>0</v>
      </c>
      <c r="M189" s="30">
        <v>1</v>
      </c>
      <c r="N189" s="30">
        <v>0</v>
      </c>
      <c r="O189" s="30">
        <v>0</v>
      </c>
      <c r="P189" s="30">
        <v>0</v>
      </c>
      <c r="Q189" s="30">
        <v>0</v>
      </c>
      <c r="R189" s="31">
        <v>0</v>
      </c>
      <c r="S189" s="32">
        <v>3</v>
      </c>
      <c r="T189" s="29">
        <v>4</v>
      </c>
      <c r="U189" s="30">
        <v>0</v>
      </c>
      <c r="V189" s="30">
        <v>0</v>
      </c>
      <c r="W189" s="30">
        <v>0</v>
      </c>
      <c r="X189" s="31">
        <v>4</v>
      </c>
      <c r="Y189" s="29">
        <v>7</v>
      </c>
      <c r="Z189" s="31">
        <v>7</v>
      </c>
      <c r="AA189" s="29">
        <v>1</v>
      </c>
      <c r="AB189" s="31">
        <v>1</v>
      </c>
      <c r="AC189" s="29">
        <v>8</v>
      </c>
      <c r="AD189">
        <v>5</v>
      </c>
      <c r="AE189" s="29">
        <v>8</v>
      </c>
      <c r="AF189" s="30">
        <v>4</v>
      </c>
      <c r="AG189" s="31">
        <v>1</v>
      </c>
      <c r="AH189" s="136">
        <v>-0.8571428571428571</v>
      </c>
      <c r="AI189" s="33">
        <v>0.14285714285714285</v>
      </c>
      <c r="AJ189" s="33">
        <v>7</v>
      </c>
      <c r="AK189" s="33">
        <v>-0.8571428571428571</v>
      </c>
      <c r="AL189" s="33">
        <v>-0.2857142857142857</v>
      </c>
      <c r="AM189" s="33">
        <v>4</v>
      </c>
      <c r="AN189" s="34">
        <v>0.66666666666666663</v>
      </c>
      <c r="AO189" s="33">
        <v>0.41666666666666669</v>
      </c>
      <c r="AP189" s="33">
        <v>0.33333333333333331</v>
      </c>
      <c r="AQ189" s="33">
        <v>8.3333333333333329E-2</v>
      </c>
      <c r="AR189" s="35">
        <v>0</v>
      </c>
      <c r="AS189" s="251">
        <f t="shared" si="6"/>
        <v>0.25</v>
      </c>
      <c r="AT189" s="252">
        <f t="shared" si="7"/>
        <v>-8.3333333333333329E-2</v>
      </c>
      <c r="AU189" s="29">
        <v>4</v>
      </c>
      <c r="AV189" s="30">
        <v>1</v>
      </c>
      <c r="AW189" s="31">
        <v>4</v>
      </c>
      <c r="AX189" s="136">
        <v>-0.75</v>
      </c>
      <c r="AY189" s="33">
        <v>0</v>
      </c>
      <c r="AZ189" s="35">
        <v>3</v>
      </c>
      <c r="BA189" s="29">
        <v>61</v>
      </c>
      <c r="BB189" s="31">
        <v>58</v>
      </c>
      <c r="BC189" s="29">
        <v>6.5</v>
      </c>
      <c r="BD189" s="31">
        <v>11</v>
      </c>
      <c r="BE189" s="29">
        <v>6</v>
      </c>
      <c r="BF189" s="30">
        <v>8</v>
      </c>
      <c r="BG189" s="33">
        <v>0.75</v>
      </c>
      <c r="BH189" s="30">
        <v>2</v>
      </c>
      <c r="BI189" s="30">
        <v>4</v>
      </c>
      <c r="BJ189" s="35">
        <v>0.5</v>
      </c>
    </row>
    <row r="190" spans="1:62" x14ac:dyDescent="0.25">
      <c r="E190" t="s">
        <v>97</v>
      </c>
      <c r="F190" s="32">
        <v>22</v>
      </c>
      <c r="G190" s="29">
        <v>22</v>
      </c>
      <c r="H190" s="30">
        <v>0</v>
      </c>
      <c r="I190" s="30">
        <v>22</v>
      </c>
      <c r="J190" s="31">
        <v>0</v>
      </c>
      <c r="K190" s="29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1">
        <v>0</v>
      </c>
      <c r="S190" s="32">
        <v>0</v>
      </c>
      <c r="T190" s="29"/>
      <c r="U190" s="30"/>
      <c r="V190" s="30"/>
      <c r="W190" s="30"/>
      <c r="X190" s="31"/>
      <c r="Y190" s="29">
        <v>0</v>
      </c>
      <c r="Z190" s="31">
        <v>0</v>
      </c>
      <c r="AA190" s="29">
        <v>0</v>
      </c>
      <c r="AB190" s="31">
        <v>0</v>
      </c>
      <c r="AC190" s="29">
        <v>3</v>
      </c>
      <c r="AD190">
        <v>2</v>
      </c>
      <c r="AE190" s="29">
        <v>20</v>
      </c>
      <c r="AF190" s="30">
        <v>5</v>
      </c>
      <c r="AG190" s="31">
        <v>0</v>
      </c>
      <c r="AH190" s="136"/>
      <c r="AI190" s="33"/>
      <c r="AJ190" s="33"/>
      <c r="AK190" s="33"/>
      <c r="AL190" s="33"/>
      <c r="AM190" s="33"/>
      <c r="AN190" s="34">
        <v>0.13636363636363635</v>
      </c>
      <c r="AO190" s="33">
        <v>9.0909090909090912E-2</v>
      </c>
      <c r="AP190" s="33">
        <v>0.22727272727272727</v>
      </c>
      <c r="AQ190" s="33">
        <v>0</v>
      </c>
      <c r="AR190" s="35">
        <v>0</v>
      </c>
      <c r="AS190" s="251">
        <f t="shared" si="6"/>
        <v>0</v>
      </c>
      <c r="AT190" s="252">
        <f t="shared" si="7"/>
        <v>0</v>
      </c>
      <c r="AU190" s="29">
        <v>0</v>
      </c>
      <c r="AV190" s="30">
        <v>0</v>
      </c>
      <c r="AW190" s="31">
        <v>3</v>
      </c>
      <c r="AX190" s="136"/>
      <c r="AY190" s="33"/>
      <c r="AZ190" s="35"/>
      <c r="BA190" s="29">
        <v>58</v>
      </c>
      <c r="BB190" s="31">
        <v>58</v>
      </c>
      <c r="BC190" s="29">
        <v>11</v>
      </c>
      <c r="BD190" s="31">
        <v>11</v>
      </c>
      <c r="BE190" s="29">
        <v>2</v>
      </c>
      <c r="BF190" s="30">
        <v>3</v>
      </c>
      <c r="BG190" s="33">
        <v>0.66666666666666663</v>
      </c>
      <c r="BH190" s="30">
        <v>2</v>
      </c>
      <c r="BI190" s="30">
        <v>3</v>
      </c>
      <c r="BJ190" s="35">
        <v>0.66666666666666663</v>
      </c>
    </row>
    <row r="191" spans="1:62" x14ac:dyDescent="0.25">
      <c r="A191" s="134"/>
      <c r="B191" s="134"/>
      <c r="C191" s="134"/>
      <c r="D191" s="134" t="s">
        <v>202</v>
      </c>
      <c r="E191" s="134"/>
      <c r="F191" s="25">
        <v>3564</v>
      </c>
      <c r="G191" s="22">
        <v>3409</v>
      </c>
      <c r="H191" s="23">
        <v>0</v>
      </c>
      <c r="I191" s="23">
        <v>2826</v>
      </c>
      <c r="J191" s="24">
        <v>583</v>
      </c>
      <c r="K191" s="22">
        <v>0</v>
      </c>
      <c r="L191" s="23">
        <v>23</v>
      </c>
      <c r="M191" s="23">
        <v>14</v>
      </c>
      <c r="N191" s="23">
        <v>0</v>
      </c>
      <c r="O191" s="23">
        <v>17</v>
      </c>
      <c r="P191" s="23">
        <v>0</v>
      </c>
      <c r="Q191" s="23">
        <v>45</v>
      </c>
      <c r="R191" s="24">
        <v>43</v>
      </c>
      <c r="S191" s="25">
        <v>159</v>
      </c>
      <c r="T191" s="22">
        <v>287</v>
      </c>
      <c r="U191" s="23">
        <v>2</v>
      </c>
      <c r="V191" s="23">
        <v>37</v>
      </c>
      <c r="W191" s="23">
        <v>9</v>
      </c>
      <c r="X191" s="24">
        <v>239</v>
      </c>
      <c r="Y191" s="22">
        <v>5552</v>
      </c>
      <c r="Z191" s="24">
        <v>2038</v>
      </c>
      <c r="AA191" s="22">
        <v>5708</v>
      </c>
      <c r="AB191" s="24">
        <v>1953</v>
      </c>
      <c r="AC191" s="22">
        <v>5011</v>
      </c>
      <c r="AD191" s="134">
        <v>1799</v>
      </c>
      <c r="AE191" s="22">
        <v>1749</v>
      </c>
      <c r="AF191" s="23">
        <v>578</v>
      </c>
      <c r="AG191" s="24">
        <v>310</v>
      </c>
      <c r="AH191" s="135">
        <v>2.8097982708933718E-2</v>
      </c>
      <c r="AI191" s="26">
        <v>-9.7442363112391933E-2</v>
      </c>
      <c r="AJ191" s="26">
        <v>-0.12210932025227751</v>
      </c>
      <c r="AK191" s="26">
        <v>-4.1707556427870461E-2</v>
      </c>
      <c r="AL191" s="26">
        <v>-0.11727183513248282</v>
      </c>
      <c r="AM191" s="26">
        <v>-7.8853046594982074E-2</v>
      </c>
      <c r="AN191" s="27">
        <v>1.4699325315341742</v>
      </c>
      <c r="AO191" s="26">
        <v>0.52772073921971252</v>
      </c>
      <c r="AP191" s="26">
        <v>0.16955118803168084</v>
      </c>
      <c r="AQ191" s="26">
        <v>9.0935758286887644E-2</v>
      </c>
      <c r="AR191" s="28">
        <v>1.2456546929316338E-2</v>
      </c>
      <c r="AS191" s="249">
        <f t="shared" si="6"/>
        <v>4.6641243766500438E-2</v>
      </c>
      <c r="AT191" s="250">
        <f t="shared" si="7"/>
        <v>-3.7547667937811675E-2</v>
      </c>
      <c r="AU191" s="22">
        <v>605</v>
      </c>
      <c r="AV191" s="23">
        <v>517</v>
      </c>
      <c r="AW191" s="24">
        <v>486</v>
      </c>
      <c r="AX191" s="135">
        <v>-0.14545454545454545</v>
      </c>
      <c r="AY191" s="26">
        <v>-0.19669421487603306</v>
      </c>
      <c r="AZ191" s="28">
        <v>-5.9961315280464215E-2</v>
      </c>
      <c r="BA191" s="22">
        <v>52</v>
      </c>
      <c r="BB191" s="24">
        <v>50</v>
      </c>
      <c r="BC191" s="22">
        <v>13</v>
      </c>
      <c r="BD191" s="24">
        <v>7</v>
      </c>
      <c r="BE191" s="22">
        <v>3444</v>
      </c>
      <c r="BF191" s="23">
        <v>5011</v>
      </c>
      <c r="BG191" s="26">
        <v>0.68728796647375778</v>
      </c>
      <c r="BH191" s="23">
        <v>293</v>
      </c>
      <c r="BI191" s="23">
        <v>486</v>
      </c>
      <c r="BJ191" s="28">
        <v>0.60288065843621397</v>
      </c>
    </row>
    <row r="192" spans="1:62" x14ac:dyDescent="0.25">
      <c r="E192" t="s">
        <v>82</v>
      </c>
      <c r="F192" s="32">
        <v>3162</v>
      </c>
      <c r="G192" s="29">
        <v>3033</v>
      </c>
      <c r="H192" s="30">
        <v>0</v>
      </c>
      <c r="I192" s="30">
        <v>2450</v>
      </c>
      <c r="J192" s="31">
        <v>583</v>
      </c>
      <c r="K192" s="29">
        <v>0</v>
      </c>
      <c r="L192" s="30">
        <v>23</v>
      </c>
      <c r="M192" s="30">
        <v>12</v>
      </c>
      <c r="N192" s="30">
        <v>0</v>
      </c>
      <c r="O192" s="30">
        <v>10</v>
      </c>
      <c r="P192" s="30">
        <v>0</v>
      </c>
      <c r="Q192" s="30">
        <v>31</v>
      </c>
      <c r="R192" s="31">
        <v>40</v>
      </c>
      <c r="S192" s="32">
        <v>141</v>
      </c>
      <c r="T192" s="29">
        <v>232</v>
      </c>
      <c r="U192" s="30">
        <v>2</v>
      </c>
      <c r="V192" s="30">
        <v>24</v>
      </c>
      <c r="W192" s="30">
        <v>8</v>
      </c>
      <c r="X192" s="31">
        <v>198</v>
      </c>
      <c r="Y192" s="29">
        <v>5409</v>
      </c>
      <c r="Z192" s="31">
        <v>1956</v>
      </c>
      <c r="AA192" s="29">
        <v>5572</v>
      </c>
      <c r="AB192" s="31">
        <v>1885</v>
      </c>
      <c r="AC192" s="29">
        <v>4823</v>
      </c>
      <c r="AD192">
        <v>1690</v>
      </c>
      <c r="AE192" s="29">
        <v>1457</v>
      </c>
      <c r="AF192" s="30">
        <v>394</v>
      </c>
      <c r="AG192" s="31">
        <v>288</v>
      </c>
      <c r="AH192" s="136">
        <v>3.0134960251432797E-2</v>
      </c>
      <c r="AI192" s="33">
        <v>-0.10833795525975226</v>
      </c>
      <c r="AJ192" s="33">
        <v>-0.13442211055276382</v>
      </c>
      <c r="AK192" s="33">
        <v>-3.6298568507157465E-2</v>
      </c>
      <c r="AL192" s="33">
        <v>-0.1359918200408998</v>
      </c>
      <c r="AM192" s="33">
        <v>-0.10344827586206896</v>
      </c>
      <c r="AN192" s="34">
        <v>1.590174744477415</v>
      </c>
      <c r="AO192" s="33">
        <v>0.55720408836135837</v>
      </c>
      <c r="AP192" s="33">
        <v>0.12990438509726343</v>
      </c>
      <c r="AQ192" s="33">
        <v>9.4955489614243327E-2</v>
      </c>
      <c r="AR192" s="35">
        <v>1.3016596160104133E-2</v>
      </c>
      <c r="AS192" s="251">
        <f t="shared" si="6"/>
        <v>4.6488625123639958E-2</v>
      </c>
      <c r="AT192" s="252">
        <f t="shared" si="7"/>
        <v>-3.0003297065611605E-2</v>
      </c>
      <c r="AU192" s="29">
        <v>557</v>
      </c>
      <c r="AV192" s="30">
        <v>470</v>
      </c>
      <c r="AW192" s="31">
        <v>433</v>
      </c>
      <c r="AX192" s="136">
        <v>-0.15619389587073609</v>
      </c>
      <c r="AY192" s="33">
        <v>-0.22262118491921004</v>
      </c>
      <c r="AZ192" s="35">
        <v>-7.8723404255319152E-2</v>
      </c>
      <c r="BA192" s="29">
        <v>52</v>
      </c>
      <c r="BB192" s="31">
        <v>50</v>
      </c>
      <c r="BC192" s="29">
        <v>13</v>
      </c>
      <c r="BD192" s="31">
        <v>7</v>
      </c>
      <c r="BE192" s="29">
        <v>3319</v>
      </c>
      <c r="BF192" s="30">
        <v>4823</v>
      </c>
      <c r="BG192" s="33">
        <v>0.68816089570806549</v>
      </c>
      <c r="BH192" s="30">
        <v>260</v>
      </c>
      <c r="BI192" s="30">
        <v>433</v>
      </c>
      <c r="BJ192" s="35">
        <v>0.60046189376443415</v>
      </c>
    </row>
    <row r="193" spans="1:62" x14ac:dyDescent="0.25">
      <c r="E193" t="s">
        <v>203</v>
      </c>
      <c r="F193" s="32">
        <v>94</v>
      </c>
      <c r="G193" s="29">
        <v>94</v>
      </c>
      <c r="H193" s="30">
        <v>0</v>
      </c>
      <c r="I193" s="30">
        <v>94</v>
      </c>
      <c r="J193" s="31">
        <v>0</v>
      </c>
      <c r="K193" s="29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1">
        <v>0</v>
      </c>
      <c r="S193" s="32">
        <v>0</v>
      </c>
      <c r="T193" s="29"/>
      <c r="U193" s="30"/>
      <c r="V193" s="30"/>
      <c r="W193" s="30"/>
      <c r="X193" s="31"/>
      <c r="Y193" s="29">
        <v>0</v>
      </c>
      <c r="Z193" s="31">
        <v>0</v>
      </c>
      <c r="AA193" s="29">
        <v>0</v>
      </c>
      <c r="AB193" s="31">
        <v>0</v>
      </c>
      <c r="AC193" s="29">
        <v>0</v>
      </c>
      <c r="AD193">
        <v>0</v>
      </c>
      <c r="AE193" s="29">
        <v>94</v>
      </c>
      <c r="AF193" s="30">
        <v>93</v>
      </c>
      <c r="AG193" s="31">
        <v>0</v>
      </c>
      <c r="AH193" s="136"/>
      <c r="AI193" s="33"/>
      <c r="AJ193" s="33"/>
      <c r="AK193" s="33"/>
      <c r="AL193" s="33"/>
      <c r="AM193" s="33"/>
      <c r="AN193" s="34">
        <v>0</v>
      </c>
      <c r="AO193" s="33">
        <v>0</v>
      </c>
      <c r="AP193" s="33">
        <v>0.98936170212765961</v>
      </c>
      <c r="AQ193" s="33">
        <v>0</v>
      </c>
      <c r="AR193" s="35">
        <v>0</v>
      </c>
      <c r="AS193" s="251">
        <f t="shared" si="6"/>
        <v>0</v>
      </c>
      <c r="AT193" s="252">
        <f t="shared" si="7"/>
        <v>0</v>
      </c>
      <c r="AU193" s="29">
        <v>0</v>
      </c>
      <c r="AV193" s="30">
        <v>0</v>
      </c>
      <c r="AW193" s="31">
        <v>0</v>
      </c>
      <c r="AX193" s="136"/>
      <c r="AY193" s="33"/>
      <c r="AZ193" s="35"/>
      <c r="BA193" s="29"/>
      <c r="BB193" s="31"/>
      <c r="BC193" s="29"/>
      <c r="BD193" s="31"/>
      <c r="BE193" s="29">
        <v>0</v>
      </c>
      <c r="BF193" s="30">
        <v>0</v>
      </c>
      <c r="BG193" s="33"/>
      <c r="BH193" s="30">
        <v>0</v>
      </c>
      <c r="BI193" s="30">
        <v>0</v>
      </c>
      <c r="BJ193" s="35"/>
    </row>
    <row r="194" spans="1:62" x14ac:dyDescent="0.25">
      <c r="E194" t="s">
        <v>68</v>
      </c>
      <c r="F194" s="32">
        <v>209</v>
      </c>
      <c r="G194" s="29">
        <v>184</v>
      </c>
      <c r="H194" s="30">
        <v>0</v>
      </c>
      <c r="I194" s="30">
        <v>184</v>
      </c>
      <c r="J194" s="31">
        <v>0</v>
      </c>
      <c r="K194" s="29">
        <v>0</v>
      </c>
      <c r="L194" s="30">
        <v>0</v>
      </c>
      <c r="M194" s="30">
        <v>1</v>
      </c>
      <c r="N194" s="30">
        <v>0</v>
      </c>
      <c r="O194" s="30">
        <v>7</v>
      </c>
      <c r="P194" s="30">
        <v>0</v>
      </c>
      <c r="Q194" s="30">
        <v>14</v>
      </c>
      <c r="R194" s="31">
        <v>3</v>
      </c>
      <c r="S194" s="32">
        <v>10</v>
      </c>
      <c r="T194" s="29">
        <v>54</v>
      </c>
      <c r="U194" s="30">
        <v>0</v>
      </c>
      <c r="V194" s="30">
        <v>13</v>
      </c>
      <c r="W194" s="30">
        <v>0</v>
      </c>
      <c r="X194" s="31">
        <v>41</v>
      </c>
      <c r="Y194" s="29">
        <v>139</v>
      </c>
      <c r="Z194" s="31">
        <v>80</v>
      </c>
      <c r="AA194" s="29">
        <v>129</v>
      </c>
      <c r="AB194" s="31">
        <v>65</v>
      </c>
      <c r="AC194" s="29">
        <v>110</v>
      </c>
      <c r="AD194">
        <v>60</v>
      </c>
      <c r="AE194" s="29">
        <v>149</v>
      </c>
      <c r="AF194" s="30">
        <v>70</v>
      </c>
      <c r="AG194" s="31">
        <v>9</v>
      </c>
      <c r="AH194" s="136">
        <v>-7.1942446043165464E-2</v>
      </c>
      <c r="AI194" s="33">
        <v>-0.20863309352517986</v>
      </c>
      <c r="AJ194" s="33">
        <v>-0.14728682170542637</v>
      </c>
      <c r="AK194" s="33">
        <v>-0.1875</v>
      </c>
      <c r="AL194" s="33">
        <v>-0.25</v>
      </c>
      <c r="AM194" s="33">
        <v>-7.6923076923076927E-2</v>
      </c>
      <c r="AN194" s="34">
        <v>0.59782608695652173</v>
      </c>
      <c r="AO194" s="33">
        <v>0.32608695652173914</v>
      </c>
      <c r="AP194" s="33">
        <v>0.38043478260869568</v>
      </c>
      <c r="AQ194" s="33">
        <v>4.8913043478260872E-2</v>
      </c>
      <c r="AR194" s="35">
        <v>1.6042780748663103E-2</v>
      </c>
      <c r="AS194" s="251">
        <f t="shared" si="6"/>
        <v>5.434782608695652E-2</v>
      </c>
      <c r="AT194" s="252">
        <f t="shared" si="7"/>
        <v>-0.2391304347826087</v>
      </c>
      <c r="AU194" s="29">
        <v>68</v>
      </c>
      <c r="AV194" s="30">
        <v>65</v>
      </c>
      <c r="AW194" s="31">
        <v>74</v>
      </c>
      <c r="AX194" s="136">
        <v>-4.4117647058823532E-2</v>
      </c>
      <c r="AY194" s="33">
        <v>8.8235294117647065E-2</v>
      </c>
      <c r="AZ194" s="35">
        <v>0.13846153846153847</v>
      </c>
      <c r="BA194" s="29">
        <v>52</v>
      </c>
      <c r="BB194" s="31">
        <v>52</v>
      </c>
      <c r="BC194" s="29">
        <v>9</v>
      </c>
      <c r="BD194" s="31">
        <v>7.5</v>
      </c>
      <c r="BE194" s="29">
        <v>70</v>
      </c>
      <c r="BF194" s="30">
        <v>110</v>
      </c>
      <c r="BG194" s="33">
        <v>0.63636363636363635</v>
      </c>
      <c r="BH194" s="30">
        <v>46</v>
      </c>
      <c r="BI194" s="30">
        <v>74</v>
      </c>
      <c r="BJ194" s="35">
        <v>0.6216216216216216</v>
      </c>
    </row>
    <row r="195" spans="1:62" x14ac:dyDescent="0.25">
      <c r="E195" t="s">
        <v>97</v>
      </c>
      <c r="F195" s="32">
        <v>97</v>
      </c>
      <c r="G195" s="29">
        <v>96</v>
      </c>
      <c r="H195" s="30">
        <v>0</v>
      </c>
      <c r="I195" s="30">
        <v>96</v>
      </c>
      <c r="J195" s="31">
        <v>0</v>
      </c>
      <c r="K195" s="29">
        <v>0</v>
      </c>
      <c r="L195" s="30">
        <v>0</v>
      </c>
      <c r="M195" s="30">
        <v>1</v>
      </c>
      <c r="N195" s="30">
        <v>0</v>
      </c>
      <c r="O195" s="30">
        <v>0</v>
      </c>
      <c r="P195" s="30">
        <v>0</v>
      </c>
      <c r="Q195" s="30">
        <v>0</v>
      </c>
      <c r="R195" s="31">
        <v>0</v>
      </c>
      <c r="S195" s="32">
        <v>7</v>
      </c>
      <c r="T195" s="29">
        <v>1</v>
      </c>
      <c r="U195" s="30">
        <v>0</v>
      </c>
      <c r="V195" s="30">
        <v>0</v>
      </c>
      <c r="W195" s="30">
        <v>1</v>
      </c>
      <c r="X195" s="31">
        <v>0</v>
      </c>
      <c r="Y195" s="29">
        <v>4</v>
      </c>
      <c r="Z195" s="31">
        <v>2</v>
      </c>
      <c r="AA195" s="29">
        <v>5</v>
      </c>
      <c r="AB195" s="31">
        <v>2</v>
      </c>
      <c r="AC195" s="29">
        <v>78</v>
      </c>
      <c r="AD195">
        <v>49</v>
      </c>
      <c r="AE195" s="29">
        <v>47</v>
      </c>
      <c r="AF195" s="30">
        <v>20</v>
      </c>
      <c r="AG195" s="31">
        <v>13</v>
      </c>
      <c r="AH195" s="136">
        <v>0.25</v>
      </c>
      <c r="AI195" s="33">
        <v>18.5</v>
      </c>
      <c r="AJ195" s="33">
        <v>14.6</v>
      </c>
      <c r="AK195" s="33">
        <v>0</v>
      </c>
      <c r="AL195" s="33">
        <v>23.5</v>
      </c>
      <c r="AM195" s="33">
        <v>23.5</v>
      </c>
      <c r="AN195" s="34">
        <v>0.8125</v>
      </c>
      <c r="AO195" s="33">
        <v>0.51041666666666663</v>
      </c>
      <c r="AP195" s="33">
        <v>0.20833333333333334</v>
      </c>
      <c r="AQ195" s="33">
        <v>0.13541666666666666</v>
      </c>
      <c r="AR195" s="35">
        <v>0</v>
      </c>
      <c r="AS195" s="251">
        <f t="shared" si="6"/>
        <v>7.2916666666666671E-2</v>
      </c>
      <c r="AT195" s="252">
        <f t="shared" si="7"/>
        <v>6.25E-2</v>
      </c>
      <c r="AU195" s="29">
        <v>4</v>
      </c>
      <c r="AV195" s="30">
        <v>2</v>
      </c>
      <c r="AW195" s="31">
        <v>26</v>
      </c>
      <c r="AX195" s="136">
        <v>-0.5</v>
      </c>
      <c r="AY195" s="33">
        <v>5.5</v>
      </c>
      <c r="AZ195" s="35">
        <v>12</v>
      </c>
      <c r="BA195" s="29">
        <v>65</v>
      </c>
      <c r="BB195" s="31">
        <v>55.5</v>
      </c>
      <c r="BC195" s="29">
        <v>4</v>
      </c>
      <c r="BD195" s="31">
        <v>5</v>
      </c>
      <c r="BE195" s="29">
        <v>55</v>
      </c>
      <c r="BF195" s="30">
        <v>78</v>
      </c>
      <c r="BG195" s="33">
        <v>0.70512820512820518</v>
      </c>
      <c r="BH195" s="30">
        <v>15</v>
      </c>
      <c r="BI195" s="30">
        <v>26</v>
      </c>
      <c r="BJ195" s="35">
        <v>0.57692307692307687</v>
      </c>
    </row>
    <row r="196" spans="1:62" x14ac:dyDescent="0.25">
      <c r="A196" s="134"/>
      <c r="B196" s="134"/>
      <c r="C196" s="134"/>
      <c r="D196" s="134" t="s">
        <v>204</v>
      </c>
      <c r="E196" s="134"/>
      <c r="F196" s="25">
        <v>2750</v>
      </c>
      <c r="G196" s="22">
        <v>2699</v>
      </c>
      <c r="H196" s="23">
        <v>0</v>
      </c>
      <c r="I196" s="23">
        <v>2187</v>
      </c>
      <c r="J196" s="24">
        <v>512</v>
      </c>
      <c r="K196" s="22">
        <v>0</v>
      </c>
      <c r="L196" s="23">
        <v>4</v>
      </c>
      <c r="M196" s="23">
        <v>9</v>
      </c>
      <c r="N196" s="23">
        <v>0</v>
      </c>
      <c r="O196" s="23">
        <v>4</v>
      </c>
      <c r="P196" s="23">
        <v>0</v>
      </c>
      <c r="Q196" s="23">
        <v>23</v>
      </c>
      <c r="R196" s="24">
        <v>10</v>
      </c>
      <c r="S196" s="25">
        <v>84</v>
      </c>
      <c r="T196" s="22">
        <v>265</v>
      </c>
      <c r="U196" s="23">
        <v>1</v>
      </c>
      <c r="V196" s="23">
        <v>18</v>
      </c>
      <c r="W196" s="23">
        <v>4</v>
      </c>
      <c r="X196" s="24">
        <v>242</v>
      </c>
      <c r="Y196" s="22">
        <v>4097</v>
      </c>
      <c r="Z196" s="24">
        <v>1765</v>
      </c>
      <c r="AA196" s="22">
        <v>2553</v>
      </c>
      <c r="AB196" s="24">
        <v>1294</v>
      </c>
      <c r="AC196" s="22">
        <v>2214</v>
      </c>
      <c r="AD196" s="134">
        <v>1128</v>
      </c>
      <c r="AE196" s="22">
        <v>1622</v>
      </c>
      <c r="AF196" s="23">
        <v>450</v>
      </c>
      <c r="AG196" s="24">
        <v>161</v>
      </c>
      <c r="AH196" s="135">
        <v>-0.37686111789113985</v>
      </c>
      <c r="AI196" s="26">
        <v>-0.45960458872345616</v>
      </c>
      <c r="AJ196" s="26">
        <v>-0.13278495887191538</v>
      </c>
      <c r="AK196" s="26">
        <v>-0.26685552407932012</v>
      </c>
      <c r="AL196" s="26">
        <v>-0.36090651558073655</v>
      </c>
      <c r="AM196" s="26">
        <v>-0.12828438948995363</v>
      </c>
      <c r="AN196" s="27">
        <v>0.82030381622823267</v>
      </c>
      <c r="AO196" s="26">
        <v>0.41793256761763614</v>
      </c>
      <c r="AP196" s="26">
        <v>0.16672841793256762</v>
      </c>
      <c r="AQ196" s="26">
        <v>5.9651722860318633E-2</v>
      </c>
      <c r="AR196" s="28">
        <v>3.6913990402362494E-3</v>
      </c>
      <c r="AS196" s="249">
        <f t="shared" si="6"/>
        <v>3.1122638014079287E-2</v>
      </c>
      <c r="AT196" s="250">
        <f t="shared" si="7"/>
        <v>-6.7061874768432755E-2</v>
      </c>
      <c r="AU196" s="22">
        <v>393</v>
      </c>
      <c r="AV196" s="23">
        <v>297</v>
      </c>
      <c r="AW196" s="24">
        <v>287</v>
      </c>
      <c r="AX196" s="135">
        <v>-0.24427480916030533</v>
      </c>
      <c r="AY196" s="26">
        <v>-0.26972010178117051</v>
      </c>
      <c r="AZ196" s="28">
        <v>-3.3670033670033669E-2</v>
      </c>
      <c r="BA196" s="22">
        <v>55</v>
      </c>
      <c r="BB196" s="24">
        <v>50</v>
      </c>
      <c r="BC196" s="22">
        <v>9</v>
      </c>
      <c r="BD196" s="24">
        <v>7</v>
      </c>
      <c r="BE196" s="22">
        <v>1319</v>
      </c>
      <c r="BF196" s="23">
        <v>2214</v>
      </c>
      <c r="BG196" s="26">
        <v>0.5957542908762421</v>
      </c>
      <c r="BH196" s="23">
        <v>174</v>
      </c>
      <c r="BI196" s="23">
        <v>287</v>
      </c>
      <c r="BJ196" s="28">
        <v>0.60627177700348434</v>
      </c>
    </row>
    <row r="197" spans="1:62" x14ac:dyDescent="0.25">
      <c r="E197" t="s">
        <v>82</v>
      </c>
      <c r="F197" s="32">
        <v>2612</v>
      </c>
      <c r="G197" s="29">
        <v>2565</v>
      </c>
      <c r="H197" s="30">
        <v>0</v>
      </c>
      <c r="I197" s="30">
        <v>2053</v>
      </c>
      <c r="J197" s="31">
        <v>512</v>
      </c>
      <c r="K197" s="29">
        <v>0</v>
      </c>
      <c r="L197" s="30">
        <v>4</v>
      </c>
      <c r="M197" s="30">
        <v>8</v>
      </c>
      <c r="N197" s="30">
        <v>0</v>
      </c>
      <c r="O197" s="30">
        <v>2</v>
      </c>
      <c r="P197" s="30">
        <v>0</v>
      </c>
      <c r="Q197" s="30">
        <v>22</v>
      </c>
      <c r="R197" s="31">
        <v>10</v>
      </c>
      <c r="S197" s="32">
        <v>76</v>
      </c>
      <c r="T197" s="29">
        <v>245</v>
      </c>
      <c r="U197" s="30">
        <v>1</v>
      </c>
      <c r="V197" s="30">
        <v>17</v>
      </c>
      <c r="W197" s="30">
        <v>4</v>
      </c>
      <c r="X197" s="31">
        <v>223</v>
      </c>
      <c r="Y197" s="29">
        <v>4078</v>
      </c>
      <c r="Z197" s="31">
        <v>1753</v>
      </c>
      <c r="AA197" s="29">
        <v>2525</v>
      </c>
      <c r="AB197" s="31">
        <v>1277</v>
      </c>
      <c r="AC197" s="29">
        <v>2156</v>
      </c>
      <c r="AD197">
        <v>1100</v>
      </c>
      <c r="AE197" s="29">
        <v>1511</v>
      </c>
      <c r="AF197" s="30">
        <v>387</v>
      </c>
      <c r="AG197" s="31">
        <v>159</v>
      </c>
      <c r="AH197" s="136">
        <v>-0.38082393330063757</v>
      </c>
      <c r="AI197" s="33">
        <v>-0.47130946542422758</v>
      </c>
      <c r="AJ197" s="33">
        <v>-0.14613861386138613</v>
      </c>
      <c r="AK197" s="33">
        <v>-0.27153451226468911</v>
      </c>
      <c r="AL197" s="33">
        <v>-0.37250427837992012</v>
      </c>
      <c r="AM197" s="33">
        <v>-0.13860610806577917</v>
      </c>
      <c r="AN197" s="34">
        <v>0.8405458089668616</v>
      </c>
      <c r="AO197" s="33">
        <v>0.42884990253411304</v>
      </c>
      <c r="AP197" s="33">
        <v>0.15087719298245614</v>
      </c>
      <c r="AQ197" s="33">
        <v>6.1988304093567252E-2</v>
      </c>
      <c r="AR197" s="35">
        <v>3.8834951456310678E-3</v>
      </c>
      <c r="AS197" s="251">
        <f t="shared" si="6"/>
        <v>2.9629629629629631E-2</v>
      </c>
      <c r="AT197" s="252">
        <f t="shared" si="7"/>
        <v>-6.5886939571150091E-2</v>
      </c>
      <c r="AU197" s="29">
        <v>389</v>
      </c>
      <c r="AV197" s="30">
        <v>288</v>
      </c>
      <c r="AW197" s="31">
        <v>276</v>
      </c>
      <c r="AX197" s="136">
        <v>-0.25964010282776351</v>
      </c>
      <c r="AY197" s="33">
        <v>-0.29048843187660667</v>
      </c>
      <c r="AZ197" s="35">
        <v>-4.1666666666666664E-2</v>
      </c>
      <c r="BA197" s="29">
        <v>55</v>
      </c>
      <c r="BB197" s="31">
        <v>50</v>
      </c>
      <c r="BC197" s="29">
        <v>9</v>
      </c>
      <c r="BD197" s="31">
        <v>7</v>
      </c>
      <c r="BE197" s="29">
        <v>1286</v>
      </c>
      <c r="BF197" s="30">
        <v>2156</v>
      </c>
      <c r="BG197" s="33">
        <v>0.59647495361781078</v>
      </c>
      <c r="BH197" s="30">
        <v>166</v>
      </c>
      <c r="BI197" s="30">
        <v>276</v>
      </c>
      <c r="BJ197" s="35">
        <v>0.60144927536231885</v>
      </c>
    </row>
    <row r="198" spans="1:62" x14ac:dyDescent="0.25">
      <c r="E198" t="s">
        <v>68</v>
      </c>
      <c r="F198" s="32">
        <v>59</v>
      </c>
      <c r="G198" s="29">
        <v>56</v>
      </c>
      <c r="H198" s="30">
        <v>0</v>
      </c>
      <c r="I198" s="30">
        <v>56</v>
      </c>
      <c r="J198" s="31">
        <v>0</v>
      </c>
      <c r="K198" s="29">
        <v>0</v>
      </c>
      <c r="L198" s="30">
        <v>0</v>
      </c>
      <c r="M198" s="30">
        <v>0</v>
      </c>
      <c r="N198" s="30">
        <v>0</v>
      </c>
      <c r="O198" s="30">
        <v>2</v>
      </c>
      <c r="P198" s="30">
        <v>0</v>
      </c>
      <c r="Q198" s="30">
        <v>1</v>
      </c>
      <c r="R198" s="31">
        <v>0</v>
      </c>
      <c r="S198" s="32">
        <v>4</v>
      </c>
      <c r="T198" s="29">
        <v>20</v>
      </c>
      <c r="U198" s="30">
        <v>0</v>
      </c>
      <c r="V198" s="30">
        <v>1</v>
      </c>
      <c r="W198" s="30">
        <v>0</v>
      </c>
      <c r="X198" s="31">
        <v>19</v>
      </c>
      <c r="Y198" s="29">
        <v>19</v>
      </c>
      <c r="Z198" s="31">
        <v>12</v>
      </c>
      <c r="AA198" s="29">
        <v>27</v>
      </c>
      <c r="AB198" s="31">
        <v>16</v>
      </c>
      <c r="AC198" s="29">
        <v>21</v>
      </c>
      <c r="AD198">
        <v>13</v>
      </c>
      <c r="AE198" s="29">
        <v>47</v>
      </c>
      <c r="AF198" s="30">
        <v>28</v>
      </c>
      <c r="AG198" s="31">
        <v>0</v>
      </c>
      <c r="AH198" s="136">
        <v>0.42105263157894735</v>
      </c>
      <c r="AI198" s="33">
        <v>0.10526315789473684</v>
      </c>
      <c r="AJ198" s="33">
        <v>-0.22222222222222221</v>
      </c>
      <c r="AK198" s="33">
        <v>0.33333333333333331</v>
      </c>
      <c r="AL198" s="33">
        <v>8.3333333333333329E-2</v>
      </c>
      <c r="AM198" s="33">
        <v>-0.1875</v>
      </c>
      <c r="AN198" s="34">
        <v>0.375</v>
      </c>
      <c r="AO198" s="33">
        <v>0.23214285714285715</v>
      </c>
      <c r="AP198" s="33">
        <v>0.5</v>
      </c>
      <c r="AQ198" s="33">
        <v>0</v>
      </c>
      <c r="AR198" s="35">
        <v>0</v>
      </c>
      <c r="AS198" s="251">
        <f t="shared" si="6"/>
        <v>7.1428571428571425E-2</v>
      </c>
      <c r="AT198" s="252">
        <f t="shared" si="7"/>
        <v>-0.2857142857142857</v>
      </c>
      <c r="AU198" s="29">
        <v>12</v>
      </c>
      <c r="AV198" s="30">
        <v>17</v>
      </c>
      <c r="AW198" s="31">
        <v>10</v>
      </c>
      <c r="AX198" s="136">
        <v>0.41666666666666669</v>
      </c>
      <c r="AY198" s="33">
        <v>-0.16666666666666666</v>
      </c>
      <c r="AZ198" s="35">
        <v>-0.41176470588235292</v>
      </c>
      <c r="BA198" s="29">
        <v>49</v>
      </c>
      <c r="BB198" s="31">
        <v>46.5</v>
      </c>
      <c r="BC198" s="29">
        <v>10</v>
      </c>
      <c r="BD198" s="31">
        <v>8.5</v>
      </c>
      <c r="BE198" s="29">
        <v>9</v>
      </c>
      <c r="BF198" s="30">
        <v>21</v>
      </c>
      <c r="BG198" s="33">
        <v>0.42857142857142855</v>
      </c>
      <c r="BH198" s="30">
        <v>7</v>
      </c>
      <c r="BI198" s="30">
        <v>10</v>
      </c>
      <c r="BJ198" s="35">
        <v>0.7</v>
      </c>
    </row>
    <row r="199" spans="1:62" x14ac:dyDescent="0.25">
      <c r="E199" t="s">
        <v>97</v>
      </c>
      <c r="F199" s="32">
        <v>72</v>
      </c>
      <c r="G199" s="29">
        <v>71</v>
      </c>
      <c r="H199" s="30">
        <v>0</v>
      </c>
      <c r="I199" s="30">
        <v>71</v>
      </c>
      <c r="J199" s="31">
        <v>0</v>
      </c>
      <c r="K199" s="29">
        <v>0</v>
      </c>
      <c r="L199" s="30">
        <v>0</v>
      </c>
      <c r="M199" s="30">
        <v>1</v>
      </c>
      <c r="N199" s="30">
        <v>0</v>
      </c>
      <c r="O199" s="30">
        <v>0</v>
      </c>
      <c r="P199" s="30">
        <v>0</v>
      </c>
      <c r="Q199" s="30">
        <v>0</v>
      </c>
      <c r="R199" s="31">
        <v>0</v>
      </c>
      <c r="S199" s="32">
        <v>3</v>
      </c>
      <c r="T199" s="29"/>
      <c r="U199" s="30"/>
      <c r="V199" s="30"/>
      <c r="W199" s="30"/>
      <c r="X199" s="31"/>
      <c r="Y199" s="29">
        <v>0</v>
      </c>
      <c r="Z199" s="31">
        <v>0</v>
      </c>
      <c r="AA199" s="29">
        <v>0</v>
      </c>
      <c r="AB199" s="31">
        <v>0</v>
      </c>
      <c r="AC199" s="29">
        <v>32</v>
      </c>
      <c r="AD199">
        <v>14</v>
      </c>
      <c r="AE199" s="29">
        <v>58</v>
      </c>
      <c r="AF199" s="30">
        <v>30</v>
      </c>
      <c r="AG199" s="31">
        <v>1</v>
      </c>
      <c r="AH199" s="136"/>
      <c r="AI199" s="33"/>
      <c r="AJ199" s="33"/>
      <c r="AK199" s="33"/>
      <c r="AL199" s="33"/>
      <c r="AM199" s="33"/>
      <c r="AN199" s="34">
        <v>0.45070422535211269</v>
      </c>
      <c r="AO199" s="33">
        <v>0.19718309859154928</v>
      </c>
      <c r="AP199" s="33">
        <v>0.42253521126760563</v>
      </c>
      <c r="AQ199" s="33">
        <v>1.4084507042253521E-2</v>
      </c>
      <c r="AR199" s="35">
        <v>0</v>
      </c>
      <c r="AS199" s="251">
        <f t="shared" si="6"/>
        <v>4.2253521126760563E-2</v>
      </c>
      <c r="AT199" s="252">
        <f t="shared" si="7"/>
        <v>4.2253521126760563E-2</v>
      </c>
      <c r="AU199" s="29">
        <v>0</v>
      </c>
      <c r="AV199" s="30">
        <v>0</v>
      </c>
      <c r="AW199" s="31">
        <v>23</v>
      </c>
      <c r="AX199" s="136"/>
      <c r="AY199" s="33"/>
      <c r="AZ199" s="35"/>
      <c r="BA199" s="29">
        <v>54.5</v>
      </c>
      <c r="BB199" s="31">
        <v>55</v>
      </c>
      <c r="BC199" s="29">
        <v>4</v>
      </c>
      <c r="BD199" s="31">
        <v>4</v>
      </c>
      <c r="BE199" s="29">
        <v>22</v>
      </c>
      <c r="BF199" s="30">
        <v>32</v>
      </c>
      <c r="BG199" s="33">
        <v>0.6875</v>
      </c>
      <c r="BH199" s="30">
        <v>16</v>
      </c>
      <c r="BI199" s="30">
        <v>23</v>
      </c>
      <c r="BJ199" s="35">
        <v>0.69565217391304346</v>
      </c>
    </row>
    <row r="200" spans="1:62" x14ac:dyDescent="0.25">
      <c r="A200" s="134"/>
      <c r="B200" s="134"/>
      <c r="C200" s="134"/>
      <c r="D200" s="134" t="s">
        <v>205</v>
      </c>
      <c r="E200" s="134"/>
      <c r="F200" s="25">
        <v>841</v>
      </c>
      <c r="G200" s="22">
        <v>822</v>
      </c>
      <c r="H200" s="23">
        <v>0</v>
      </c>
      <c r="I200" s="23">
        <v>531</v>
      </c>
      <c r="J200" s="24">
        <v>291</v>
      </c>
      <c r="K200" s="22">
        <v>0</v>
      </c>
      <c r="L200" s="23">
        <v>0</v>
      </c>
      <c r="M200" s="23">
        <v>2</v>
      </c>
      <c r="N200" s="23">
        <v>1</v>
      </c>
      <c r="O200" s="23">
        <v>0</v>
      </c>
      <c r="P200" s="23">
        <v>0</v>
      </c>
      <c r="Q200" s="23">
        <v>14</v>
      </c>
      <c r="R200" s="24">
        <v>1</v>
      </c>
      <c r="S200" s="25">
        <v>22</v>
      </c>
      <c r="T200" s="22">
        <v>48</v>
      </c>
      <c r="U200" s="23">
        <v>0</v>
      </c>
      <c r="V200" s="23">
        <v>14</v>
      </c>
      <c r="W200" s="23">
        <v>0</v>
      </c>
      <c r="X200" s="24">
        <v>34</v>
      </c>
      <c r="Y200" s="22">
        <v>1083</v>
      </c>
      <c r="Z200" s="24">
        <v>431</v>
      </c>
      <c r="AA200" s="22">
        <v>1077</v>
      </c>
      <c r="AB200" s="24">
        <v>446</v>
      </c>
      <c r="AC200" s="22">
        <v>836</v>
      </c>
      <c r="AD200" s="134">
        <v>412</v>
      </c>
      <c r="AE200" s="22">
        <v>426</v>
      </c>
      <c r="AF200" s="23">
        <v>149</v>
      </c>
      <c r="AG200" s="24">
        <v>51</v>
      </c>
      <c r="AH200" s="135">
        <v>-5.5401662049861496E-3</v>
      </c>
      <c r="AI200" s="26">
        <v>-0.22807017543859648</v>
      </c>
      <c r="AJ200" s="26">
        <v>-0.22376973073351902</v>
      </c>
      <c r="AK200" s="26">
        <v>3.4802784222737818E-2</v>
      </c>
      <c r="AL200" s="26">
        <v>-4.4083526682134569E-2</v>
      </c>
      <c r="AM200" s="26">
        <v>-7.623318385650224E-2</v>
      </c>
      <c r="AN200" s="27">
        <v>1.0170316301703164</v>
      </c>
      <c r="AO200" s="26">
        <v>0.5012165450121655</v>
      </c>
      <c r="AP200" s="26">
        <v>0.18126520681265207</v>
      </c>
      <c r="AQ200" s="26">
        <v>6.2043795620437957E-2</v>
      </c>
      <c r="AR200" s="28">
        <v>1.215066828675577E-3</v>
      </c>
      <c r="AS200" s="249">
        <f t="shared" si="6"/>
        <v>2.6763990267639901E-2</v>
      </c>
      <c r="AT200" s="250">
        <f t="shared" si="7"/>
        <v>-3.1630170316301706E-2</v>
      </c>
      <c r="AU200" s="22">
        <v>159</v>
      </c>
      <c r="AV200" s="23">
        <v>131</v>
      </c>
      <c r="AW200" s="24">
        <v>126</v>
      </c>
      <c r="AX200" s="135">
        <v>-0.1761006289308176</v>
      </c>
      <c r="AY200" s="26">
        <v>-0.20754716981132076</v>
      </c>
      <c r="AZ200" s="28">
        <v>-3.8167938931297711E-2</v>
      </c>
      <c r="BA200" s="22">
        <v>48</v>
      </c>
      <c r="BB200" s="24">
        <v>49</v>
      </c>
      <c r="BC200" s="22">
        <v>4.5</v>
      </c>
      <c r="BD200" s="24">
        <v>7</v>
      </c>
      <c r="BE200" s="22">
        <v>536</v>
      </c>
      <c r="BF200" s="23">
        <v>836</v>
      </c>
      <c r="BG200" s="26">
        <v>0.64114832535885169</v>
      </c>
      <c r="BH200" s="23">
        <v>79</v>
      </c>
      <c r="BI200" s="23">
        <v>126</v>
      </c>
      <c r="BJ200" s="28">
        <v>0.62698412698412698</v>
      </c>
    </row>
    <row r="201" spans="1:62" x14ac:dyDescent="0.25">
      <c r="E201" t="s">
        <v>82</v>
      </c>
      <c r="F201" s="32">
        <v>807</v>
      </c>
      <c r="G201" s="29">
        <v>789</v>
      </c>
      <c r="H201" s="30">
        <v>0</v>
      </c>
      <c r="I201" s="30">
        <v>498</v>
      </c>
      <c r="J201" s="31">
        <v>291</v>
      </c>
      <c r="K201" s="29">
        <v>0</v>
      </c>
      <c r="L201" s="30">
        <v>0</v>
      </c>
      <c r="M201" s="30">
        <v>2</v>
      </c>
      <c r="N201" s="30">
        <v>0</v>
      </c>
      <c r="O201" s="30">
        <v>0</v>
      </c>
      <c r="P201" s="30">
        <v>0</v>
      </c>
      <c r="Q201" s="30">
        <v>14</v>
      </c>
      <c r="R201" s="31">
        <v>1</v>
      </c>
      <c r="S201" s="32">
        <v>22</v>
      </c>
      <c r="T201" s="29">
        <v>48</v>
      </c>
      <c r="U201" s="30">
        <v>0</v>
      </c>
      <c r="V201" s="30">
        <v>14</v>
      </c>
      <c r="W201" s="30">
        <v>0</v>
      </c>
      <c r="X201" s="31">
        <v>34</v>
      </c>
      <c r="Y201" s="29">
        <v>1083</v>
      </c>
      <c r="Z201" s="31">
        <v>431</v>
      </c>
      <c r="AA201" s="29">
        <v>1077</v>
      </c>
      <c r="AB201" s="31">
        <v>446</v>
      </c>
      <c r="AC201" s="29">
        <v>818</v>
      </c>
      <c r="AD201">
        <v>397</v>
      </c>
      <c r="AE201" s="29">
        <v>407</v>
      </c>
      <c r="AF201" s="30">
        <v>135</v>
      </c>
      <c r="AG201" s="31">
        <v>48</v>
      </c>
      <c r="AH201" s="136">
        <v>-5.5401662049861496E-3</v>
      </c>
      <c r="AI201" s="33">
        <v>-0.24469067405355494</v>
      </c>
      <c r="AJ201" s="33">
        <v>-0.24048282265552459</v>
      </c>
      <c r="AK201" s="33">
        <v>3.4802784222737818E-2</v>
      </c>
      <c r="AL201" s="33">
        <v>-7.8886310904872387E-2</v>
      </c>
      <c r="AM201" s="33">
        <v>-0.10986547085201794</v>
      </c>
      <c r="AN201" s="34">
        <v>1.0367553865652726</v>
      </c>
      <c r="AO201" s="33">
        <v>0.50316856780735109</v>
      </c>
      <c r="AP201" s="33">
        <v>0.17110266159695817</v>
      </c>
      <c r="AQ201" s="33">
        <v>6.0836501901140684E-2</v>
      </c>
      <c r="AR201" s="35">
        <v>1.2658227848101266E-3</v>
      </c>
      <c r="AS201" s="251">
        <f t="shared" si="6"/>
        <v>2.7883396704689482E-2</v>
      </c>
      <c r="AT201" s="252">
        <f t="shared" si="7"/>
        <v>-3.2953105196451206E-2</v>
      </c>
      <c r="AU201" s="29">
        <v>159</v>
      </c>
      <c r="AV201" s="30">
        <v>131</v>
      </c>
      <c r="AW201" s="31">
        <v>124</v>
      </c>
      <c r="AX201" s="136">
        <v>-0.1761006289308176</v>
      </c>
      <c r="AY201" s="33">
        <v>-0.22012578616352202</v>
      </c>
      <c r="AZ201" s="35">
        <v>-5.3435114503816793E-2</v>
      </c>
      <c r="BA201" s="29">
        <v>48</v>
      </c>
      <c r="BB201" s="31">
        <v>49</v>
      </c>
      <c r="BC201" s="29">
        <v>4.5</v>
      </c>
      <c r="BD201" s="31">
        <v>7.5</v>
      </c>
      <c r="BE201" s="29">
        <v>520</v>
      </c>
      <c r="BF201" s="30">
        <v>818</v>
      </c>
      <c r="BG201" s="33">
        <v>0.63569682151589246</v>
      </c>
      <c r="BH201" s="30">
        <v>77</v>
      </c>
      <c r="BI201" s="30">
        <v>124</v>
      </c>
      <c r="BJ201" s="35">
        <v>0.62096774193548387</v>
      </c>
    </row>
    <row r="202" spans="1:62" x14ac:dyDescent="0.25">
      <c r="E202" t="s">
        <v>97</v>
      </c>
      <c r="F202" s="32">
        <v>34</v>
      </c>
      <c r="G202" s="29">
        <v>33</v>
      </c>
      <c r="H202" s="30">
        <v>0</v>
      </c>
      <c r="I202" s="30">
        <v>33</v>
      </c>
      <c r="J202" s="31">
        <v>0</v>
      </c>
      <c r="K202" s="29">
        <v>0</v>
      </c>
      <c r="L202" s="30">
        <v>0</v>
      </c>
      <c r="M202" s="30">
        <v>0</v>
      </c>
      <c r="N202" s="30">
        <v>1</v>
      </c>
      <c r="O202" s="30">
        <v>0</v>
      </c>
      <c r="P202" s="30">
        <v>0</v>
      </c>
      <c r="Q202" s="30">
        <v>0</v>
      </c>
      <c r="R202" s="31">
        <v>0</v>
      </c>
      <c r="S202" s="32">
        <v>0</v>
      </c>
      <c r="T202" s="29"/>
      <c r="U202" s="30"/>
      <c r="V202" s="30"/>
      <c r="W202" s="30"/>
      <c r="X202" s="31"/>
      <c r="Y202" s="29">
        <v>0</v>
      </c>
      <c r="Z202" s="31">
        <v>0</v>
      </c>
      <c r="AA202" s="29">
        <v>0</v>
      </c>
      <c r="AB202" s="31">
        <v>0</v>
      </c>
      <c r="AC202" s="29">
        <v>18</v>
      </c>
      <c r="AD202">
        <v>15</v>
      </c>
      <c r="AE202" s="29">
        <v>19</v>
      </c>
      <c r="AF202" s="30">
        <v>14</v>
      </c>
      <c r="AG202" s="31">
        <v>3</v>
      </c>
      <c r="AH202" s="136"/>
      <c r="AI202" s="33"/>
      <c r="AJ202" s="33"/>
      <c r="AK202" s="33"/>
      <c r="AL202" s="33"/>
      <c r="AM202" s="33"/>
      <c r="AN202" s="34">
        <v>0.54545454545454541</v>
      </c>
      <c r="AO202" s="33">
        <v>0.45454545454545453</v>
      </c>
      <c r="AP202" s="33">
        <v>0.42424242424242425</v>
      </c>
      <c r="AQ202" s="33">
        <v>9.0909090909090912E-2</v>
      </c>
      <c r="AR202" s="35">
        <v>0</v>
      </c>
      <c r="AS202" s="251">
        <f t="shared" si="6"/>
        <v>0</v>
      </c>
      <c r="AT202" s="252">
        <f t="shared" si="7"/>
        <v>0</v>
      </c>
      <c r="AU202" s="29">
        <v>0</v>
      </c>
      <c r="AV202" s="30">
        <v>0</v>
      </c>
      <c r="AW202" s="31">
        <v>9</v>
      </c>
      <c r="AX202" s="136"/>
      <c r="AY202" s="33"/>
      <c r="AZ202" s="35"/>
      <c r="BA202" s="29">
        <v>41</v>
      </c>
      <c r="BB202" s="31">
        <v>41</v>
      </c>
      <c r="BC202" s="29">
        <v>4.5</v>
      </c>
      <c r="BD202" s="31">
        <v>4</v>
      </c>
      <c r="BE202" s="29">
        <v>16</v>
      </c>
      <c r="BF202" s="30">
        <v>18</v>
      </c>
      <c r="BG202" s="33">
        <v>0.88888888888888884</v>
      </c>
      <c r="BH202" s="30">
        <v>7</v>
      </c>
      <c r="BI202" s="30">
        <v>9</v>
      </c>
      <c r="BJ202" s="35">
        <v>0.77777777777777779</v>
      </c>
    </row>
    <row r="203" spans="1:62" x14ac:dyDescent="0.25">
      <c r="A203" s="134"/>
      <c r="B203" s="134"/>
      <c r="C203" s="134"/>
      <c r="D203" s="134" t="s">
        <v>206</v>
      </c>
      <c r="E203" s="134"/>
      <c r="F203" s="25">
        <v>3406</v>
      </c>
      <c r="G203" s="22">
        <v>3309</v>
      </c>
      <c r="H203" s="23">
        <v>0</v>
      </c>
      <c r="I203" s="23">
        <v>2515</v>
      </c>
      <c r="J203" s="24">
        <v>794</v>
      </c>
      <c r="K203" s="22">
        <v>0</v>
      </c>
      <c r="L203" s="23">
        <v>31</v>
      </c>
      <c r="M203" s="23">
        <v>13</v>
      </c>
      <c r="N203" s="23">
        <v>0</v>
      </c>
      <c r="O203" s="23">
        <v>13</v>
      </c>
      <c r="P203" s="23">
        <v>0</v>
      </c>
      <c r="Q203" s="23">
        <v>22</v>
      </c>
      <c r="R203" s="24">
        <v>16</v>
      </c>
      <c r="S203" s="25">
        <v>60</v>
      </c>
      <c r="T203" s="22">
        <v>277</v>
      </c>
      <c r="U203" s="23">
        <v>0</v>
      </c>
      <c r="V203" s="23">
        <v>22</v>
      </c>
      <c r="W203" s="23">
        <v>7</v>
      </c>
      <c r="X203" s="24">
        <v>248</v>
      </c>
      <c r="Y203" s="22">
        <v>2140</v>
      </c>
      <c r="Z203" s="24">
        <v>1302</v>
      </c>
      <c r="AA203" s="22">
        <v>2545</v>
      </c>
      <c r="AB203" s="24">
        <v>1536</v>
      </c>
      <c r="AC203" s="22">
        <v>1821</v>
      </c>
      <c r="AD203" s="134">
        <v>1087</v>
      </c>
      <c r="AE203" s="22">
        <v>2279</v>
      </c>
      <c r="AF203" s="23">
        <v>1037</v>
      </c>
      <c r="AG203" s="24">
        <v>167</v>
      </c>
      <c r="AH203" s="135">
        <v>0.18925233644859812</v>
      </c>
      <c r="AI203" s="26">
        <v>-0.14906542056074767</v>
      </c>
      <c r="AJ203" s="26">
        <v>-0.28447937131630646</v>
      </c>
      <c r="AK203" s="26">
        <v>0.17972350230414746</v>
      </c>
      <c r="AL203" s="26">
        <v>-0.1651305683563748</v>
      </c>
      <c r="AM203" s="26">
        <v>-0.29231770833333331</v>
      </c>
      <c r="AN203" s="27">
        <v>0.55031731640979142</v>
      </c>
      <c r="AO203" s="26">
        <v>0.32849803566032032</v>
      </c>
      <c r="AP203" s="26">
        <v>0.31338773043215473</v>
      </c>
      <c r="AQ203" s="26">
        <v>5.0468419462073137E-2</v>
      </c>
      <c r="AR203" s="28">
        <v>4.8120300751879697E-3</v>
      </c>
      <c r="AS203" s="249">
        <f t="shared" si="6"/>
        <v>1.8132366273798731E-2</v>
      </c>
      <c r="AT203" s="250">
        <f t="shared" si="7"/>
        <v>-6.5578724690238746E-2</v>
      </c>
      <c r="AU203" s="22">
        <v>352</v>
      </c>
      <c r="AV203" s="23">
        <v>322</v>
      </c>
      <c r="AW203" s="24">
        <v>300</v>
      </c>
      <c r="AX203" s="135">
        <v>-8.5227272727272721E-2</v>
      </c>
      <c r="AY203" s="26">
        <v>-0.14772727272727273</v>
      </c>
      <c r="AZ203" s="28">
        <v>-6.8322981366459631E-2</v>
      </c>
      <c r="BA203" s="22">
        <v>57</v>
      </c>
      <c r="BB203" s="24">
        <v>52</v>
      </c>
      <c r="BC203" s="22">
        <v>9</v>
      </c>
      <c r="BD203" s="24">
        <v>7</v>
      </c>
      <c r="BE203" s="22">
        <v>881</v>
      </c>
      <c r="BF203" s="23">
        <v>1821</v>
      </c>
      <c r="BG203" s="26">
        <v>0.48380010982976385</v>
      </c>
      <c r="BH203" s="23">
        <v>166</v>
      </c>
      <c r="BI203" s="23">
        <v>300</v>
      </c>
      <c r="BJ203" s="28">
        <v>0.55333333333333334</v>
      </c>
    </row>
    <row r="204" spans="1:62" x14ac:dyDescent="0.25">
      <c r="E204" t="s">
        <v>82</v>
      </c>
      <c r="F204" s="32">
        <v>3171</v>
      </c>
      <c r="G204" s="29">
        <v>3087</v>
      </c>
      <c r="H204" s="30">
        <v>0</v>
      </c>
      <c r="I204" s="30">
        <v>2293</v>
      </c>
      <c r="J204" s="31">
        <v>794</v>
      </c>
      <c r="K204" s="29">
        <v>0</v>
      </c>
      <c r="L204" s="30">
        <v>30</v>
      </c>
      <c r="M204" s="30">
        <v>13</v>
      </c>
      <c r="N204" s="30">
        <v>0</v>
      </c>
      <c r="O204" s="30">
        <v>3</v>
      </c>
      <c r="P204" s="30">
        <v>0</v>
      </c>
      <c r="Q204" s="30">
        <v>20</v>
      </c>
      <c r="R204" s="31">
        <v>16</v>
      </c>
      <c r="S204" s="32">
        <v>55</v>
      </c>
      <c r="T204" s="29">
        <v>227</v>
      </c>
      <c r="U204" s="30">
        <v>0</v>
      </c>
      <c r="V204" s="30">
        <v>20</v>
      </c>
      <c r="W204" s="30">
        <v>7</v>
      </c>
      <c r="X204" s="31">
        <v>200</v>
      </c>
      <c r="Y204" s="29">
        <v>2081</v>
      </c>
      <c r="Z204" s="31">
        <v>1257</v>
      </c>
      <c r="AA204" s="29">
        <v>2476</v>
      </c>
      <c r="AB204" s="31">
        <v>1489</v>
      </c>
      <c r="AC204" s="29">
        <v>1757</v>
      </c>
      <c r="AD204">
        <v>1043</v>
      </c>
      <c r="AE204" s="29">
        <v>2089</v>
      </c>
      <c r="AF204" s="30">
        <v>920</v>
      </c>
      <c r="AG204" s="31">
        <v>164</v>
      </c>
      <c r="AH204" s="136">
        <v>0.18981259010091303</v>
      </c>
      <c r="AI204" s="33">
        <v>-0.15569437770302738</v>
      </c>
      <c r="AJ204" s="33">
        <v>-0.29038772213247172</v>
      </c>
      <c r="AK204" s="33">
        <v>0.18456642800318218</v>
      </c>
      <c r="AL204" s="33">
        <v>-0.17024661893396978</v>
      </c>
      <c r="AM204" s="33">
        <v>-0.2995298858294157</v>
      </c>
      <c r="AN204" s="34">
        <v>0.56916099773242634</v>
      </c>
      <c r="AO204" s="33">
        <v>0.33786848072562359</v>
      </c>
      <c r="AP204" s="33">
        <v>0.29802397149335924</v>
      </c>
      <c r="AQ204" s="33">
        <v>5.3126012309685777E-2</v>
      </c>
      <c r="AR204" s="35">
        <v>5.1563003544956498E-3</v>
      </c>
      <c r="AS204" s="251">
        <f t="shared" si="6"/>
        <v>1.7816650469711693E-2</v>
      </c>
      <c r="AT204" s="252">
        <f t="shared" si="7"/>
        <v>-5.5717525105280205E-2</v>
      </c>
      <c r="AU204" s="29">
        <v>337</v>
      </c>
      <c r="AV204" s="30">
        <v>304</v>
      </c>
      <c r="AW204" s="31">
        <v>277</v>
      </c>
      <c r="AX204" s="136">
        <v>-9.7922848664688422E-2</v>
      </c>
      <c r="AY204" s="33">
        <v>-0.17804154302670624</v>
      </c>
      <c r="AZ204" s="35">
        <v>-8.8815789473684209E-2</v>
      </c>
      <c r="BA204" s="29">
        <v>57</v>
      </c>
      <c r="BB204" s="31">
        <v>52</v>
      </c>
      <c r="BC204" s="29">
        <v>9</v>
      </c>
      <c r="BD204" s="31">
        <v>7</v>
      </c>
      <c r="BE204" s="29">
        <v>857</v>
      </c>
      <c r="BF204" s="30">
        <v>1757</v>
      </c>
      <c r="BG204" s="33">
        <v>0.48776323278315309</v>
      </c>
      <c r="BH204" s="30">
        <v>151</v>
      </c>
      <c r="BI204" s="30">
        <v>277</v>
      </c>
      <c r="BJ204" s="35">
        <v>0.54512635379061369</v>
      </c>
    </row>
    <row r="205" spans="1:62" x14ac:dyDescent="0.25">
      <c r="E205" t="s">
        <v>68</v>
      </c>
      <c r="F205" s="32">
        <v>141</v>
      </c>
      <c r="G205" s="29">
        <v>128</v>
      </c>
      <c r="H205" s="30">
        <v>0</v>
      </c>
      <c r="I205" s="30">
        <v>128</v>
      </c>
      <c r="J205" s="31">
        <v>0</v>
      </c>
      <c r="K205" s="29">
        <v>0</v>
      </c>
      <c r="L205" s="30">
        <v>1</v>
      </c>
      <c r="M205" s="30">
        <v>0</v>
      </c>
      <c r="N205" s="30">
        <v>0</v>
      </c>
      <c r="O205" s="30">
        <v>10</v>
      </c>
      <c r="P205" s="30">
        <v>0</v>
      </c>
      <c r="Q205" s="30">
        <v>2</v>
      </c>
      <c r="R205" s="31">
        <v>0</v>
      </c>
      <c r="S205" s="32">
        <v>2</v>
      </c>
      <c r="T205" s="29">
        <v>50</v>
      </c>
      <c r="U205" s="30">
        <v>0</v>
      </c>
      <c r="V205" s="30">
        <v>2</v>
      </c>
      <c r="W205" s="30">
        <v>0</v>
      </c>
      <c r="X205" s="31">
        <v>48</v>
      </c>
      <c r="Y205" s="29">
        <v>54</v>
      </c>
      <c r="Z205" s="31">
        <v>43</v>
      </c>
      <c r="AA205" s="29">
        <v>62</v>
      </c>
      <c r="AB205" s="31">
        <v>43</v>
      </c>
      <c r="AC205" s="29">
        <v>49</v>
      </c>
      <c r="AD205">
        <v>36</v>
      </c>
      <c r="AE205" s="29">
        <v>104</v>
      </c>
      <c r="AF205" s="30">
        <v>62</v>
      </c>
      <c r="AG205" s="31">
        <v>2</v>
      </c>
      <c r="AH205" s="136">
        <v>0.14814814814814814</v>
      </c>
      <c r="AI205" s="33">
        <v>-9.2592592592592587E-2</v>
      </c>
      <c r="AJ205" s="33">
        <v>-0.20967741935483872</v>
      </c>
      <c r="AK205" s="33">
        <v>0</v>
      </c>
      <c r="AL205" s="33">
        <v>-0.16279069767441862</v>
      </c>
      <c r="AM205" s="33">
        <v>-0.16279069767441862</v>
      </c>
      <c r="AN205" s="34">
        <v>0.3828125</v>
      </c>
      <c r="AO205" s="33">
        <v>0.28125</v>
      </c>
      <c r="AP205" s="33">
        <v>0.484375</v>
      </c>
      <c r="AQ205" s="33">
        <v>1.5625E-2</v>
      </c>
      <c r="AR205" s="35">
        <v>0</v>
      </c>
      <c r="AS205" s="251">
        <f t="shared" si="6"/>
        <v>1.5625E-2</v>
      </c>
      <c r="AT205" s="252">
        <f t="shared" si="7"/>
        <v>-0.375</v>
      </c>
      <c r="AU205" s="29">
        <v>25</v>
      </c>
      <c r="AV205" s="30">
        <v>31</v>
      </c>
      <c r="AW205" s="31">
        <v>25</v>
      </c>
      <c r="AX205" s="136">
        <v>0.24</v>
      </c>
      <c r="AY205" s="33">
        <v>0</v>
      </c>
      <c r="AZ205" s="35">
        <v>-0.19354838709677419</v>
      </c>
      <c r="BA205" s="29">
        <v>31</v>
      </c>
      <c r="BB205" s="31">
        <v>42</v>
      </c>
      <c r="BC205" s="29">
        <v>5</v>
      </c>
      <c r="BD205" s="31">
        <v>8</v>
      </c>
      <c r="BE205" s="29">
        <v>16</v>
      </c>
      <c r="BF205" s="30">
        <v>49</v>
      </c>
      <c r="BG205" s="33">
        <v>0.32653061224489793</v>
      </c>
      <c r="BH205" s="30">
        <v>13</v>
      </c>
      <c r="BI205" s="30">
        <v>25</v>
      </c>
      <c r="BJ205" s="35">
        <v>0.52</v>
      </c>
    </row>
    <row r="206" spans="1:62" x14ac:dyDescent="0.25">
      <c r="E206" t="s">
        <v>97</v>
      </c>
      <c r="F206" s="32">
        <v>87</v>
      </c>
      <c r="G206" s="29">
        <v>87</v>
      </c>
      <c r="H206" s="30">
        <v>0</v>
      </c>
      <c r="I206" s="30">
        <v>87</v>
      </c>
      <c r="J206" s="31">
        <v>0</v>
      </c>
      <c r="K206" s="29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1">
        <v>0</v>
      </c>
      <c r="S206" s="32">
        <v>3</v>
      </c>
      <c r="T206" s="29"/>
      <c r="U206" s="30"/>
      <c r="V206" s="30"/>
      <c r="W206" s="30"/>
      <c r="X206" s="31"/>
      <c r="Y206" s="29">
        <v>2</v>
      </c>
      <c r="Z206" s="31">
        <v>1</v>
      </c>
      <c r="AA206" s="29">
        <v>4</v>
      </c>
      <c r="AB206" s="31">
        <v>3</v>
      </c>
      <c r="AC206" s="29">
        <v>12</v>
      </c>
      <c r="AD206">
        <v>7</v>
      </c>
      <c r="AE206" s="29">
        <v>80</v>
      </c>
      <c r="AF206" s="30">
        <v>49</v>
      </c>
      <c r="AG206" s="31">
        <v>1</v>
      </c>
      <c r="AH206" s="136">
        <v>1</v>
      </c>
      <c r="AI206" s="33">
        <v>5</v>
      </c>
      <c r="AJ206" s="33">
        <v>2</v>
      </c>
      <c r="AK206" s="33">
        <v>2</v>
      </c>
      <c r="AL206" s="33">
        <v>6</v>
      </c>
      <c r="AM206" s="33">
        <v>1.3333333333333333</v>
      </c>
      <c r="AN206" s="34">
        <v>0.13793103448275862</v>
      </c>
      <c r="AO206" s="33">
        <v>8.0459770114942528E-2</v>
      </c>
      <c r="AP206" s="33">
        <v>0.56321839080459768</v>
      </c>
      <c r="AQ206" s="33">
        <v>1.1494252873563218E-2</v>
      </c>
      <c r="AR206" s="35">
        <v>0</v>
      </c>
      <c r="AS206" s="251">
        <f t="shared" si="6"/>
        <v>3.4482758620689655E-2</v>
      </c>
      <c r="AT206" s="252">
        <f t="shared" si="7"/>
        <v>3.4482758620689655E-2</v>
      </c>
      <c r="AU206" s="29">
        <v>2</v>
      </c>
      <c r="AV206" s="30">
        <v>4</v>
      </c>
      <c r="AW206" s="31">
        <v>7</v>
      </c>
      <c r="AX206" s="136">
        <v>1</v>
      </c>
      <c r="AY206" s="33">
        <v>2.5</v>
      </c>
      <c r="AZ206" s="35">
        <v>0.75</v>
      </c>
      <c r="BA206" s="29">
        <v>45</v>
      </c>
      <c r="BB206" s="31">
        <v>51</v>
      </c>
      <c r="BC206" s="29">
        <v>9</v>
      </c>
      <c r="BD206" s="31">
        <v>10</v>
      </c>
      <c r="BE206" s="29">
        <v>5</v>
      </c>
      <c r="BF206" s="30">
        <v>12</v>
      </c>
      <c r="BG206" s="33">
        <v>0.41666666666666669</v>
      </c>
      <c r="BH206" s="30">
        <v>3</v>
      </c>
      <c r="BI206" s="30">
        <v>7</v>
      </c>
      <c r="BJ206" s="35">
        <v>0.42857142857142855</v>
      </c>
    </row>
    <row r="207" spans="1:62" x14ac:dyDescent="0.25">
      <c r="A207" s="134"/>
      <c r="B207" s="134"/>
      <c r="C207" s="134"/>
      <c r="D207" s="134" t="s">
        <v>207</v>
      </c>
      <c r="E207" s="134"/>
      <c r="F207" s="25">
        <v>737</v>
      </c>
      <c r="G207" s="22">
        <v>729</v>
      </c>
      <c r="H207" s="23">
        <v>0</v>
      </c>
      <c r="I207" s="23">
        <v>460</v>
      </c>
      <c r="J207" s="24">
        <v>269</v>
      </c>
      <c r="K207" s="22">
        <v>0</v>
      </c>
      <c r="L207" s="23">
        <v>4</v>
      </c>
      <c r="M207" s="23">
        <v>0</v>
      </c>
      <c r="N207" s="23">
        <v>0</v>
      </c>
      <c r="O207" s="23">
        <v>0</v>
      </c>
      <c r="P207" s="23">
        <v>0</v>
      </c>
      <c r="Q207" s="23">
        <v>4</v>
      </c>
      <c r="R207" s="24">
        <v>0</v>
      </c>
      <c r="S207" s="25">
        <v>6</v>
      </c>
      <c r="T207" s="22">
        <v>85</v>
      </c>
      <c r="U207" s="23">
        <v>0</v>
      </c>
      <c r="V207" s="23">
        <v>4</v>
      </c>
      <c r="W207" s="23">
        <v>0</v>
      </c>
      <c r="X207" s="24">
        <v>81</v>
      </c>
      <c r="Y207" s="22">
        <v>532</v>
      </c>
      <c r="Z207" s="24">
        <v>301</v>
      </c>
      <c r="AA207" s="22">
        <v>520</v>
      </c>
      <c r="AB207" s="24">
        <v>326</v>
      </c>
      <c r="AC207" s="22">
        <v>391</v>
      </c>
      <c r="AD207" s="134">
        <v>247</v>
      </c>
      <c r="AE207" s="22">
        <v>481</v>
      </c>
      <c r="AF207" s="23">
        <v>202</v>
      </c>
      <c r="AG207" s="24">
        <v>29</v>
      </c>
      <c r="AH207" s="135">
        <v>-2.2556390977443608E-2</v>
      </c>
      <c r="AI207" s="26">
        <v>-0.26503759398496241</v>
      </c>
      <c r="AJ207" s="26">
        <v>-0.24807692307692308</v>
      </c>
      <c r="AK207" s="26">
        <v>8.3056478405315617E-2</v>
      </c>
      <c r="AL207" s="26">
        <v>-0.17940199335548174</v>
      </c>
      <c r="AM207" s="26">
        <v>-0.24233128834355827</v>
      </c>
      <c r="AN207" s="27">
        <v>0.53635116598079557</v>
      </c>
      <c r="AO207" s="26">
        <v>0.33882030178326472</v>
      </c>
      <c r="AP207" s="26">
        <v>0.27709190672153633</v>
      </c>
      <c r="AQ207" s="26">
        <v>3.9780521262002745E-2</v>
      </c>
      <c r="AR207" s="28">
        <v>0</v>
      </c>
      <c r="AS207" s="249">
        <f t="shared" si="6"/>
        <v>8.23045267489712E-3</v>
      </c>
      <c r="AT207" s="250">
        <f t="shared" si="7"/>
        <v>-0.1083676268861454</v>
      </c>
      <c r="AU207" s="22">
        <v>139</v>
      </c>
      <c r="AV207" s="23">
        <v>131</v>
      </c>
      <c r="AW207" s="24">
        <v>104</v>
      </c>
      <c r="AX207" s="135">
        <v>-5.7553956834532377E-2</v>
      </c>
      <c r="AY207" s="26">
        <v>-0.25179856115107913</v>
      </c>
      <c r="AZ207" s="28">
        <v>-0.20610687022900764</v>
      </c>
      <c r="BA207" s="22">
        <v>57</v>
      </c>
      <c r="BB207" s="24">
        <v>55.5</v>
      </c>
      <c r="BC207" s="22">
        <v>7</v>
      </c>
      <c r="BD207" s="24">
        <v>9</v>
      </c>
      <c r="BE207" s="22">
        <v>225</v>
      </c>
      <c r="BF207" s="23">
        <v>391</v>
      </c>
      <c r="BG207" s="26">
        <v>0.57544757033248084</v>
      </c>
      <c r="BH207" s="23">
        <v>55</v>
      </c>
      <c r="BI207" s="23">
        <v>104</v>
      </c>
      <c r="BJ207" s="28">
        <v>0.52884615384615385</v>
      </c>
    </row>
    <row r="208" spans="1:62" x14ac:dyDescent="0.25">
      <c r="E208" t="s">
        <v>82</v>
      </c>
      <c r="F208" s="32">
        <v>725</v>
      </c>
      <c r="G208" s="29">
        <v>717</v>
      </c>
      <c r="H208" s="30">
        <v>0</v>
      </c>
      <c r="I208" s="30">
        <v>448</v>
      </c>
      <c r="J208" s="31">
        <v>269</v>
      </c>
      <c r="K208" s="29">
        <v>0</v>
      </c>
      <c r="L208" s="30">
        <v>4</v>
      </c>
      <c r="M208" s="30">
        <v>0</v>
      </c>
      <c r="N208" s="30">
        <v>0</v>
      </c>
      <c r="O208" s="30">
        <v>0</v>
      </c>
      <c r="P208" s="30">
        <v>0</v>
      </c>
      <c r="Q208" s="30">
        <v>4</v>
      </c>
      <c r="R208" s="31">
        <v>0</v>
      </c>
      <c r="S208" s="32">
        <v>6</v>
      </c>
      <c r="T208" s="29">
        <v>85</v>
      </c>
      <c r="U208" s="30">
        <v>0</v>
      </c>
      <c r="V208" s="30">
        <v>4</v>
      </c>
      <c r="W208" s="30">
        <v>0</v>
      </c>
      <c r="X208" s="31">
        <v>81</v>
      </c>
      <c r="Y208" s="29">
        <v>532</v>
      </c>
      <c r="Z208" s="31">
        <v>301</v>
      </c>
      <c r="AA208" s="29">
        <v>520</v>
      </c>
      <c r="AB208" s="31">
        <v>326</v>
      </c>
      <c r="AC208" s="29">
        <v>387</v>
      </c>
      <c r="AD208">
        <v>246</v>
      </c>
      <c r="AE208" s="29">
        <v>470</v>
      </c>
      <c r="AF208" s="30">
        <v>194</v>
      </c>
      <c r="AG208" s="31">
        <v>29</v>
      </c>
      <c r="AH208" s="136">
        <v>-2.2556390977443608E-2</v>
      </c>
      <c r="AI208" s="33">
        <v>-0.27255639097744361</v>
      </c>
      <c r="AJ208" s="33">
        <v>-0.25576923076923075</v>
      </c>
      <c r="AK208" s="33">
        <v>8.3056478405315617E-2</v>
      </c>
      <c r="AL208" s="33">
        <v>-0.18272425249169436</v>
      </c>
      <c r="AM208" s="33">
        <v>-0.24539877300613497</v>
      </c>
      <c r="AN208" s="34">
        <v>0.53974895397489542</v>
      </c>
      <c r="AO208" s="33">
        <v>0.34309623430962344</v>
      </c>
      <c r="AP208" s="33">
        <v>0.27057182705718269</v>
      </c>
      <c r="AQ208" s="33">
        <v>4.0446304044630406E-2</v>
      </c>
      <c r="AR208" s="35">
        <v>0</v>
      </c>
      <c r="AS208" s="251">
        <f t="shared" si="6"/>
        <v>8.368200836820083E-3</v>
      </c>
      <c r="AT208" s="252">
        <f t="shared" si="7"/>
        <v>-0.1101813110181311</v>
      </c>
      <c r="AU208" s="29">
        <v>138</v>
      </c>
      <c r="AV208" s="30">
        <v>131</v>
      </c>
      <c r="AW208" s="31">
        <v>102</v>
      </c>
      <c r="AX208" s="136">
        <v>-5.0724637681159424E-2</v>
      </c>
      <c r="AY208" s="33">
        <v>-0.2608695652173913</v>
      </c>
      <c r="AZ208" s="35">
        <v>-0.22137404580152673</v>
      </c>
      <c r="BA208" s="29">
        <v>57</v>
      </c>
      <c r="BB208" s="31">
        <v>55.5</v>
      </c>
      <c r="BC208" s="29">
        <v>7</v>
      </c>
      <c r="BD208" s="31">
        <v>9</v>
      </c>
      <c r="BE208" s="29">
        <v>221</v>
      </c>
      <c r="BF208" s="30">
        <v>387</v>
      </c>
      <c r="BG208" s="33">
        <v>0.57105943152454786</v>
      </c>
      <c r="BH208" s="30">
        <v>53</v>
      </c>
      <c r="BI208" s="30">
        <v>102</v>
      </c>
      <c r="BJ208" s="35">
        <v>0.51960784313725494</v>
      </c>
    </row>
    <row r="209" spans="1:62" x14ac:dyDescent="0.25">
      <c r="A209" s="134"/>
      <c r="B209" s="134"/>
      <c r="C209" s="134"/>
      <c r="D209" s="134" t="s">
        <v>208</v>
      </c>
      <c r="E209" s="134"/>
      <c r="F209" s="25">
        <v>616</v>
      </c>
      <c r="G209" s="22">
        <v>598</v>
      </c>
      <c r="H209" s="23">
        <v>0</v>
      </c>
      <c r="I209" s="23">
        <v>476</v>
      </c>
      <c r="J209" s="24">
        <v>122</v>
      </c>
      <c r="K209" s="22">
        <v>0</v>
      </c>
      <c r="L209" s="23">
        <v>1</v>
      </c>
      <c r="M209" s="23">
        <v>4</v>
      </c>
      <c r="N209" s="23">
        <v>0</v>
      </c>
      <c r="O209" s="23">
        <v>3</v>
      </c>
      <c r="P209" s="23">
        <v>0</v>
      </c>
      <c r="Q209" s="23">
        <v>6</v>
      </c>
      <c r="R209" s="24">
        <v>4</v>
      </c>
      <c r="S209" s="25">
        <v>16</v>
      </c>
      <c r="T209" s="22">
        <v>36</v>
      </c>
      <c r="U209" s="23">
        <v>0</v>
      </c>
      <c r="V209" s="23">
        <v>5</v>
      </c>
      <c r="W209" s="23">
        <v>2</v>
      </c>
      <c r="X209" s="24">
        <v>29</v>
      </c>
      <c r="Y209" s="22">
        <v>650</v>
      </c>
      <c r="Z209" s="24">
        <v>323</v>
      </c>
      <c r="AA209" s="22">
        <v>543</v>
      </c>
      <c r="AB209" s="24">
        <v>261</v>
      </c>
      <c r="AC209" s="22">
        <v>545</v>
      </c>
      <c r="AD209" s="134">
        <v>283</v>
      </c>
      <c r="AE209" s="22">
        <v>333</v>
      </c>
      <c r="AF209" s="23">
        <v>164</v>
      </c>
      <c r="AG209" s="24">
        <v>54</v>
      </c>
      <c r="AH209" s="135">
        <v>-0.16461538461538461</v>
      </c>
      <c r="AI209" s="26">
        <v>-0.16153846153846155</v>
      </c>
      <c r="AJ209" s="26">
        <v>3.6832412523020259E-3</v>
      </c>
      <c r="AK209" s="26">
        <v>-0.19195046439628483</v>
      </c>
      <c r="AL209" s="26">
        <v>-0.1238390092879257</v>
      </c>
      <c r="AM209" s="26">
        <v>8.4291187739463605E-2</v>
      </c>
      <c r="AN209" s="27">
        <v>0.91137123745819393</v>
      </c>
      <c r="AO209" s="26">
        <v>0.47324414715719065</v>
      </c>
      <c r="AP209" s="26">
        <v>0.27424749163879597</v>
      </c>
      <c r="AQ209" s="26">
        <v>9.0301003344481601E-2</v>
      </c>
      <c r="AR209" s="28">
        <v>6.6445182724252493E-3</v>
      </c>
      <c r="AS209" s="249">
        <f t="shared" si="6"/>
        <v>2.6755852842809364E-2</v>
      </c>
      <c r="AT209" s="250">
        <f t="shared" si="7"/>
        <v>-3.3444816053511704E-2</v>
      </c>
      <c r="AU209" s="22">
        <v>217</v>
      </c>
      <c r="AV209" s="23">
        <v>172</v>
      </c>
      <c r="AW209" s="24">
        <v>161</v>
      </c>
      <c r="AX209" s="135">
        <v>-0.20737327188940091</v>
      </c>
      <c r="AY209" s="26">
        <v>-0.25806451612903225</v>
      </c>
      <c r="AZ209" s="28">
        <v>-6.3953488372093026E-2</v>
      </c>
      <c r="BA209" s="22">
        <v>48</v>
      </c>
      <c r="BB209" s="24">
        <v>52</v>
      </c>
      <c r="BC209" s="22">
        <v>5</v>
      </c>
      <c r="BD209" s="24">
        <v>7</v>
      </c>
      <c r="BE209" s="22">
        <v>339</v>
      </c>
      <c r="BF209" s="23">
        <v>545</v>
      </c>
      <c r="BG209" s="26">
        <v>0.62201834862385319</v>
      </c>
      <c r="BH209" s="23">
        <v>98</v>
      </c>
      <c r="BI209" s="23">
        <v>161</v>
      </c>
      <c r="BJ209" s="28">
        <v>0.60869565217391308</v>
      </c>
    </row>
    <row r="210" spans="1:62" x14ac:dyDescent="0.25">
      <c r="E210" t="s">
        <v>82</v>
      </c>
      <c r="F210" s="32">
        <v>575</v>
      </c>
      <c r="G210" s="29">
        <v>558</v>
      </c>
      <c r="H210" s="30">
        <v>0</v>
      </c>
      <c r="I210" s="30">
        <v>436</v>
      </c>
      <c r="J210" s="31">
        <v>122</v>
      </c>
      <c r="K210" s="29">
        <v>0</v>
      </c>
      <c r="L210" s="30">
        <v>1</v>
      </c>
      <c r="M210" s="30">
        <v>4</v>
      </c>
      <c r="N210" s="30">
        <v>0</v>
      </c>
      <c r="O210" s="30">
        <v>2</v>
      </c>
      <c r="P210" s="30">
        <v>0</v>
      </c>
      <c r="Q210" s="30">
        <v>6</v>
      </c>
      <c r="R210" s="31">
        <v>4</v>
      </c>
      <c r="S210" s="32">
        <v>16</v>
      </c>
      <c r="T210" s="29">
        <v>36</v>
      </c>
      <c r="U210" s="30">
        <v>0</v>
      </c>
      <c r="V210" s="30">
        <v>5</v>
      </c>
      <c r="W210" s="30">
        <v>2</v>
      </c>
      <c r="X210" s="31">
        <v>29</v>
      </c>
      <c r="Y210" s="29">
        <v>650</v>
      </c>
      <c r="Z210" s="31">
        <v>323</v>
      </c>
      <c r="AA210" s="29">
        <v>541</v>
      </c>
      <c r="AB210" s="31">
        <v>259</v>
      </c>
      <c r="AC210" s="29">
        <v>534</v>
      </c>
      <c r="AD210">
        <v>275</v>
      </c>
      <c r="AE210" s="29">
        <v>300</v>
      </c>
      <c r="AF210" s="30">
        <v>137</v>
      </c>
      <c r="AG210" s="31">
        <v>54</v>
      </c>
      <c r="AH210" s="136">
        <v>-0.1676923076923077</v>
      </c>
      <c r="AI210" s="33">
        <v>-0.17846153846153845</v>
      </c>
      <c r="AJ210" s="33">
        <v>-1.2939001848428836E-2</v>
      </c>
      <c r="AK210" s="33">
        <v>-0.19814241486068113</v>
      </c>
      <c r="AL210" s="33">
        <v>-0.14860681114551083</v>
      </c>
      <c r="AM210" s="33">
        <v>6.1776061776061778E-2</v>
      </c>
      <c r="AN210" s="34">
        <v>0.956989247311828</v>
      </c>
      <c r="AO210" s="33">
        <v>0.49283154121863798</v>
      </c>
      <c r="AP210" s="33">
        <v>0.24551971326164876</v>
      </c>
      <c r="AQ210" s="33">
        <v>9.6774193548387094E-2</v>
      </c>
      <c r="AR210" s="35">
        <v>7.1174377224199285E-3</v>
      </c>
      <c r="AS210" s="251">
        <f t="shared" si="6"/>
        <v>2.8673835125448029E-2</v>
      </c>
      <c r="AT210" s="252">
        <f t="shared" si="7"/>
        <v>-3.5842293906810034E-2</v>
      </c>
      <c r="AU210" s="29">
        <v>217</v>
      </c>
      <c r="AV210" s="30">
        <v>171</v>
      </c>
      <c r="AW210" s="31">
        <v>155</v>
      </c>
      <c r="AX210" s="136">
        <v>-0.2119815668202765</v>
      </c>
      <c r="AY210" s="33">
        <v>-0.2857142857142857</v>
      </c>
      <c r="AZ210" s="35">
        <v>-9.3567251461988299E-2</v>
      </c>
      <c r="BA210" s="29">
        <v>48</v>
      </c>
      <c r="BB210" s="31">
        <v>52</v>
      </c>
      <c r="BC210" s="29">
        <v>5</v>
      </c>
      <c r="BD210" s="31">
        <v>7</v>
      </c>
      <c r="BE210" s="29">
        <v>333</v>
      </c>
      <c r="BF210" s="30">
        <v>534</v>
      </c>
      <c r="BG210" s="33">
        <v>0.6235955056179775</v>
      </c>
      <c r="BH210" s="30">
        <v>96</v>
      </c>
      <c r="BI210" s="30">
        <v>155</v>
      </c>
      <c r="BJ210" s="35">
        <v>0.61935483870967745</v>
      </c>
    </row>
    <row r="211" spans="1:62" x14ac:dyDescent="0.25">
      <c r="E211" t="s">
        <v>203</v>
      </c>
      <c r="F211" s="32">
        <v>24</v>
      </c>
      <c r="G211" s="29">
        <v>24</v>
      </c>
      <c r="H211" s="30">
        <v>0</v>
      </c>
      <c r="I211" s="30">
        <v>24</v>
      </c>
      <c r="J211" s="31">
        <v>0</v>
      </c>
      <c r="K211" s="29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1">
        <v>0</v>
      </c>
      <c r="S211" s="32">
        <v>0</v>
      </c>
      <c r="T211" s="29"/>
      <c r="U211" s="30"/>
      <c r="V211" s="30"/>
      <c r="W211" s="30"/>
      <c r="X211" s="31"/>
      <c r="Y211" s="29">
        <v>0</v>
      </c>
      <c r="Z211" s="31">
        <v>0</v>
      </c>
      <c r="AA211" s="29">
        <v>2</v>
      </c>
      <c r="AB211" s="31">
        <v>2</v>
      </c>
      <c r="AC211" s="29">
        <v>5</v>
      </c>
      <c r="AD211">
        <v>5</v>
      </c>
      <c r="AE211" s="29">
        <v>19</v>
      </c>
      <c r="AF211" s="30">
        <v>18</v>
      </c>
      <c r="AG211" s="31">
        <v>0</v>
      </c>
      <c r="AH211" s="136"/>
      <c r="AI211" s="33"/>
      <c r="AJ211" s="33">
        <v>1.5</v>
      </c>
      <c r="AK211" s="33"/>
      <c r="AL211" s="33"/>
      <c r="AM211" s="33">
        <v>1.5</v>
      </c>
      <c r="AN211" s="34">
        <v>0.20833333333333334</v>
      </c>
      <c r="AO211" s="33">
        <v>0.20833333333333334</v>
      </c>
      <c r="AP211" s="33">
        <v>0.75</v>
      </c>
      <c r="AQ211" s="33">
        <v>0</v>
      </c>
      <c r="AR211" s="35">
        <v>0</v>
      </c>
      <c r="AS211" s="251">
        <f t="shared" si="6"/>
        <v>0</v>
      </c>
      <c r="AT211" s="252">
        <f t="shared" si="7"/>
        <v>0</v>
      </c>
      <c r="AU211" s="29">
        <v>0</v>
      </c>
      <c r="AV211" s="30">
        <v>2</v>
      </c>
      <c r="AW211" s="31">
        <v>4</v>
      </c>
      <c r="AX211" s="136"/>
      <c r="AY211" s="33"/>
      <c r="AZ211" s="35">
        <v>1</v>
      </c>
      <c r="BA211" s="29">
        <v>38</v>
      </c>
      <c r="BB211" s="31">
        <v>29</v>
      </c>
      <c r="BC211" s="29">
        <v>1</v>
      </c>
      <c r="BD211" s="31">
        <v>1</v>
      </c>
      <c r="BE211" s="29">
        <v>2</v>
      </c>
      <c r="BF211" s="30">
        <v>5</v>
      </c>
      <c r="BG211" s="33">
        <v>0.4</v>
      </c>
      <c r="BH211" s="30">
        <v>2</v>
      </c>
      <c r="BI211" s="30">
        <v>4</v>
      </c>
      <c r="BJ211" s="35">
        <v>0.5</v>
      </c>
    </row>
    <row r="212" spans="1:62" x14ac:dyDescent="0.25">
      <c r="E212" t="s">
        <v>97</v>
      </c>
      <c r="F212" s="32">
        <v>16</v>
      </c>
      <c r="G212" s="29">
        <v>15</v>
      </c>
      <c r="H212" s="30">
        <v>0</v>
      </c>
      <c r="I212" s="30">
        <v>15</v>
      </c>
      <c r="J212" s="31">
        <v>0</v>
      </c>
      <c r="K212" s="29">
        <v>0</v>
      </c>
      <c r="L212" s="30">
        <v>0</v>
      </c>
      <c r="M212" s="30">
        <v>0</v>
      </c>
      <c r="N212" s="30">
        <v>0</v>
      </c>
      <c r="O212" s="30">
        <v>1</v>
      </c>
      <c r="P212" s="30">
        <v>0</v>
      </c>
      <c r="Q212" s="30">
        <v>0</v>
      </c>
      <c r="R212" s="31">
        <v>0</v>
      </c>
      <c r="S212" s="32">
        <v>0</v>
      </c>
      <c r="T212" s="29"/>
      <c r="U212" s="30"/>
      <c r="V212" s="30"/>
      <c r="W212" s="30"/>
      <c r="X212" s="31"/>
      <c r="Y212" s="29">
        <v>0</v>
      </c>
      <c r="Z212" s="31">
        <v>0</v>
      </c>
      <c r="AA212" s="29">
        <v>0</v>
      </c>
      <c r="AB212" s="31">
        <v>0</v>
      </c>
      <c r="AC212" s="29">
        <v>3</v>
      </c>
      <c r="AD212">
        <v>1</v>
      </c>
      <c r="AE212" s="29">
        <v>14</v>
      </c>
      <c r="AF212" s="30">
        <v>9</v>
      </c>
      <c r="AG212" s="31">
        <v>0</v>
      </c>
      <c r="AH212" s="136"/>
      <c r="AI212" s="33"/>
      <c r="AJ212" s="33"/>
      <c r="AK212" s="33"/>
      <c r="AL212" s="33"/>
      <c r="AM212" s="33"/>
      <c r="AN212" s="34">
        <v>0.2</v>
      </c>
      <c r="AO212" s="33">
        <v>6.6666666666666666E-2</v>
      </c>
      <c r="AP212" s="33">
        <v>0.6</v>
      </c>
      <c r="AQ212" s="33">
        <v>0</v>
      </c>
      <c r="AR212" s="35">
        <v>0</v>
      </c>
      <c r="AS212" s="251">
        <f t="shared" si="6"/>
        <v>0</v>
      </c>
      <c r="AT212" s="252">
        <f t="shared" si="7"/>
        <v>0</v>
      </c>
      <c r="AU212" s="29">
        <v>0</v>
      </c>
      <c r="AV212" s="30">
        <v>0</v>
      </c>
      <c r="AW212" s="31">
        <v>3</v>
      </c>
      <c r="AX212" s="136"/>
      <c r="AY212" s="33"/>
      <c r="AZ212" s="35"/>
      <c r="BA212" s="29">
        <v>59</v>
      </c>
      <c r="BB212" s="31">
        <v>59</v>
      </c>
      <c r="BC212" s="29">
        <v>9</v>
      </c>
      <c r="BD212" s="31">
        <v>9</v>
      </c>
      <c r="BE212" s="29">
        <v>1</v>
      </c>
      <c r="BF212" s="30">
        <v>3</v>
      </c>
      <c r="BG212" s="33">
        <v>0.33333333333333331</v>
      </c>
      <c r="BH212" s="30">
        <v>1</v>
      </c>
      <c r="BI212" s="30">
        <v>3</v>
      </c>
      <c r="BJ212" s="35">
        <v>0.33333333333333331</v>
      </c>
    </row>
    <row r="213" spans="1:62" x14ac:dyDescent="0.25">
      <c r="A213" s="134"/>
      <c r="B213" s="134"/>
      <c r="C213" s="134"/>
      <c r="D213" s="134" t="s">
        <v>209</v>
      </c>
      <c r="E213" s="134"/>
      <c r="F213" s="25">
        <v>716</v>
      </c>
      <c r="G213" s="22">
        <v>683</v>
      </c>
      <c r="H213" s="23">
        <v>0</v>
      </c>
      <c r="I213" s="23">
        <v>445</v>
      </c>
      <c r="J213" s="24">
        <v>238</v>
      </c>
      <c r="K213" s="22">
        <v>0</v>
      </c>
      <c r="L213" s="23">
        <v>0</v>
      </c>
      <c r="M213" s="23">
        <v>7</v>
      </c>
      <c r="N213" s="23">
        <v>0</v>
      </c>
      <c r="O213" s="23">
        <v>1</v>
      </c>
      <c r="P213" s="23">
        <v>0</v>
      </c>
      <c r="Q213" s="23">
        <v>22</v>
      </c>
      <c r="R213" s="24">
        <v>3</v>
      </c>
      <c r="S213" s="25">
        <v>19</v>
      </c>
      <c r="T213" s="22">
        <v>124</v>
      </c>
      <c r="U213" s="23">
        <v>0</v>
      </c>
      <c r="V213" s="23">
        <v>18</v>
      </c>
      <c r="W213" s="23">
        <v>4</v>
      </c>
      <c r="X213" s="24">
        <v>102</v>
      </c>
      <c r="Y213" s="22">
        <v>830</v>
      </c>
      <c r="Z213" s="24">
        <v>379</v>
      </c>
      <c r="AA213" s="22">
        <v>713</v>
      </c>
      <c r="AB213" s="24">
        <v>343</v>
      </c>
      <c r="AC213" s="22">
        <v>605</v>
      </c>
      <c r="AD213" s="134">
        <v>302</v>
      </c>
      <c r="AE213" s="22">
        <v>414</v>
      </c>
      <c r="AF213" s="23">
        <v>143</v>
      </c>
      <c r="AG213" s="24">
        <v>39</v>
      </c>
      <c r="AH213" s="135">
        <v>-0.14096385542168674</v>
      </c>
      <c r="AI213" s="26">
        <v>-0.27108433734939757</v>
      </c>
      <c r="AJ213" s="26">
        <v>-0.1514726507713885</v>
      </c>
      <c r="AK213" s="26">
        <v>-9.498680738786279E-2</v>
      </c>
      <c r="AL213" s="26">
        <v>-0.20316622691292877</v>
      </c>
      <c r="AM213" s="26">
        <v>-0.119533527696793</v>
      </c>
      <c r="AN213" s="27">
        <v>0.88579795021961938</v>
      </c>
      <c r="AO213" s="26">
        <v>0.44216691068814057</v>
      </c>
      <c r="AP213" s="26">
        <v>0.20937042459736457</v>
      </c>
      <c r="AQ213" s="26">
        <v>5.7101024890190338E-2</v>
      </c>
      <c r="AR213" s="28">
        <v>4.3731778425655978E-3</v>
      </c>
      <c r="AS213" s="249">
        <f t="shared" si="6"/>
        <v>2.7818448023426062E-2</v>
      </c>
      <c r="AT213" s="250">
        <f t="shared" si="7"/>
        <v>-0.15373352855051245</v>
      </c>
      <c r="AU213" s="22">
        <v>229</v>
      </c>
      <c r="AV213" s="23">
        <v>210</v>
      </c>
      <c r="AW213" s="24">
        <v>162</v>
      </c>
      <c r="AX213" s="135">
        <v>-8.296943231441048E-2</v>
      </c>
      <c r="AY213" s="26">
        <v>-0.29257641921397382</v>
      </c>
      <c r="AZ213" s="28">
        <v>-0.22857142857142856</v>
      </c>
      <c r="BA213" s="22">
        <v>52</v>
      </c>
      <c r="BB213" s="24">
        <v>49</v>
      </c>
      <c r="BC213" s="22">
        <v>9</v>
      </c>
      <c r="BD213" s="24">
        <v>8</v>
      </c>
      <c r="BE213" s="22">
        <v>353</v>
      </c>
      <c r="BF213" s="23">
        <v>605</v>
      </c>
      <c r="BG213" s="26">
        <v>0.58347107438016532</v>
      </c>
      <c r="BH213" s="23">
        <v>92</v>
      </c>
      <c r="BI213" s="23">
        <v>162</v>
      </c>
      <c r="BJ213" s="28">
        <v>0.5679012345679012</v>
      </c>
    </row>
    <row r="214" spans="1:62" x14ac:dyDescent="0.25">
      <c r="E214" t="s">
        <v>82</v>
      </c>
      <c r="F214" s="32">
        <v>712</v>
      </c>
      <c r="G214" s="29">
        <v>679</v>
      </c>
      <c r="H214" s="30">
        <v>0</v>
      </c>
      <c r="I214" s="30">
        <v>441</v>
      </c>
      <c r="J214" s="31">
        <v>238</v>
      </c>
      <c r="K214" s="29">
        <v>0</v>
      </c>
      <c r="L214" s="30">
        <v>0</v>
      </c>
      <c r="M214" s="30">
        <v>7</v>
      </c>
      <c r="N214" s="30">
        <v>0</v>
      </c>
      <c r="O214" s="30">
        <v>1</v>
      </c>
      <c r="P214" s="30">
        <v>0</v>
      </c>
      <c r="Q214" s="30">
        <v>22</v>
      </c>
      <c r="R214" s="31">
        <v>3</v>
      </c>
      <c r="S214" s="32">
        <v>18</v>
      </c>
      <c r="T214" s="29">
        <v>124</v>
      </c>
      <c r="U214" s="30">
        <v>0</v>
      </c>
      <c r="V214" s="30">
        <v>18</v>
      </c>
      <c r="W214" s="30">
        <v>4</v>
      </c>
      <c r="X214" s="31">
        <v>102</v>
      </c>
      <c r="Y214" s="29">
        <v>826</v>
      </c>
      <c r="Z214" s="31">
        <v>377</v>
      </c>
      <c r="AA214" s="29">
        <v>711</v>
      </c>
      <c r="AB214" s="31">
        <v>342</v>
      </c>
      <c r="AC214" s="29">
        <v>597</v>
      </c>
      <c r="AD214">
        <v>299</v>
      </c>
      <c r="AE214" s="29">
        <v>413</v>
      </c>
      <c r="AF214" s="30">
        <v>142</v>
      </c>
      <c r="AG214" s="31">
        <v>38</v>
      </c>
      <c r="AH214" s="136">
        <v>-0.13922518159806296</v>
      </c>
      <c r="AI214" s="33">
        <v>-0.27723970944309928</v>
      </c>
      <c r="AJ214" s="33">
        <v>-0.16033755274261605</v>
      </c>
      <c r="AK214" s="33">
        <v>-9.2838196286472149E-2</v>
      </c>
      <c r="AL214" s="33">
        <v>-0.20689655172413793</v>
      </c>
      <c r="AM214" s="33">
        <v>-0.12573099415204678</v>
      </c>
      <c r="AN214" s="34">
        <v>0.87923416789396169</v>
      </c>
      <c r="AO214" s="33">
        <v>0.44035346097201766</v>
      </c>
      <c r="AP214" s="33">
        <v>0.20913107511045656</v>
      </c>
      <c r="AQ214" s="33">
        <v>5.5964653902798235E-2</v>
      </c>
      <c r="AR214" s="35">
        <v>4.3988269794721412E-3</v>
      </c>
      <c r="AS214" s="251">
        <f t="shared" si="6"/>
        <v>2.6509572901325478E-2</v>
      </c>
      <c r="AT214" s="252">
        <f t="shared" si="7"/>
        <v>-0.1561119293078056</v>
      </c>
      <c r="AU214" s="29">
        <v>225</v>
      </c>
      <c r="AV214" s="30">
        <v>208</v>
      </c>
      <c r="AW214" s="31">
        <v>157</v>
      </c>
      <c r="AX214" s="136">
        <v>-7.5555555555555556E-2</v>
      </c>
      <c r="AY214" s="33">
        <v>-0.30222222222222223</v>
      </c>
      <c r="AZ214" s="35">
        <v>-0.24519230769230768</v>
      </c>
      <c r="BA214" s="29">
        <v>52</v>
      </c>
      <c r="BB214" s="31">
        <v>50</v>
      </c>
      <c r="BC214" s="29">
        <v>9</v>
      </c>
      <c r="BD214" s="31">
        <v>8</v>
      </c>
      <c r="BE214" s="29">
        <v>347</v>
      </c>
      <c r="BF214" s="30">
        <v>597</v>
      </c>
      <c r="BG214" s="33">
        <v>0.58123953098827474</v>
      </c>
      <c r="BH214" s="30">
        <v>86</v>
      </c>
      <c r="BI214" s="30">
        <v>157</v>
      </c>
      <c r="BJ214" s="35">
        <v>0.54777070063694266</v>
      </c>
    </row>
    <row r="215" spans="1:62" x14ac:dyDescent="0.25">
      <c r="A215" s="134"/>
      <c r="B215" s="134"/>
      <c r="C215" s="134"/>
      <c r="D215" s="134" t="s">
        <v>210</v>
      </c>
      <c r="E215" s="134"/>
      <c r="F215" s="25">
        <v>178</v>
      </c>
      <c r="G215" s="22">
        <v>143</v>
      </c>
      <c r="H215" s="23">
        <v>6</v>
      </c>
      <c r="I215" s="23">
        <v>149</v>
      </c>
      <c r="J215" s="24">
        <v>0</v>
      </c>
      <c r="K215" s="22">
        <v>0</v>
      </c>
      <c r="L215" s="23">
        <v>0</v>
      </c>
      <c r="M215" s="23">
        <v>0</v>
      </c>
      <c r="N215" s="23">
        <v>0</v>
      </c>
      <c r="O215" s="23">
        <v>7</v>
      </c>
      <c r="P215" s="23">
        <v>0</v>
      </c>
      <c r="Q215" s="23">
        <v>19</v>
      </c>
      <c r="R215" s="24">
        <v>3</v>
      </c>
      <c r="S215" s="25">
        <v>32</v>
      </c>
      <c r="T215" s="22">
        <v>67</v>
      </c>
      <c r="U215" s="23">
        <v>0</v>
      </c>
      <c r="V215" s="23">
        <v>17</v>
      </c>
      <c r="W215" s="23">
        <v>0</v>
      </c>
      <c r="X215" s="24">
        <v>50</v>
      </c>
      <c r="Y215" s="22">
        <v>102</v>
      </c>
      <c r="Z215" s="24">
        <v>66</v>
      </c>
      <c r="AA215" s="22">
        <v>157</v>
      </c>
      <c r="AB215" s="24">
        <v>81</v>
      </c>
      <c r="AC215" s="22">
        <v>146</v>
      </c>
      <c r="AD215" s="134">
        <v>70</v>
      </c>
      <c r="AE215" s="22">
        <v>109</v>
      </c>
      <c r="AF215" s="23">
        <v>59</v>
      </c>
      <c r="AG215" s="24">
        <v>14</v>
      </c>
      <c r="AH215" s="135">
        <v>0.53921568627450978</v>
      </c>
      <c r="AI215" s="26">
        <v>0.43137254901960786</v>
      </c>
      <c r="AJ215" s="26">
        <v>-7.0063694267515922E-2</v>
      </c>
      <c r="AK215" s="26">
        <v>0.22727272727272727</v>
      </c>
      <c r="AL215" s="26">
        <v>6.0606060606060608E-2</v>
      </c>
      <c r="AM215" s="26">
        <v>-0.13580246913580246</v>
      </c>
      <c r="AN215" s="27">
        <v>1.020979020979021</v>
      </c>
      <c r="AO215" s="26">
        <v>0.48951048951048953</v>
      </c>
      <c r="AP215" s="26">
        <v>0.41258741258741261</v>
      </c>
      <c r="AQ215" s="26">
        <v>9.7902097902097904E-2</v>
      </c>
      <c r="AR215" s="28">
        <v>2.0547945205479451E-2</v>
      </c>
      <c r="AS215" s="249">
        <f t="shared" si="6"/>
        <v>0.22377622377622378</v>
      </c>
      <c r="AT215" s="250">
        <f t="shared" si="7"/>
        <v>-0.24475524475524477</v>
      </c>
      <c r="AU215" s="22">
        <v>53</v>
      </c>
      <c r="AV215" s="23">
        <v>62</v>
      </c>
      <c r="AW215" s="24">
        <v>77</v>
      </c>
      <c r="AX215" s="135">
        <v>0.16981132075471697</v>
      </c>
      <c r="AY215" s="26">
        <v>0.45283018867924529</v>
      </c>
      <c r="AZ215" s="28">
        <v>0.24193548387096775</v>
      </c>
      <c r="BA215" s="22">
        <v>50</v>
      </c>
      <c r="BB215" s="24">
        <v>50</v>
      </c>
      <c r="BC215" s="22">
        <v>7</v>
      </c>
      <c r="BD215" s="24">
        <v>7</v>
      </c>
      <c r="BE215" s="22">
        <v>59</v>
      </c>
      <c r="BF215" s="23">
        <v>146</v>
      </c>
      <c r="BG215" s="26">
        <v>0.4041095890410959</v>
      </c>
      <c r="BH215" s="23">
        <v>40</v>
      </c>
      <c r="BI215" s="23">
        <v>77</v>
      </c>
      <c r="BJ215" s="28">
        <v>0.51948051948051943</v>
      </c>
    </row>
    <row r="216" spans="1:62" x14ac:dyDescent="0.25">
      <c r="E216" t="s">
        <v>68</v>
      </c>
      <c r="F216" s="32">
        <v>135</v>
      </c>
      <c r="G216" s="29">
        <v>106</v>
      </c>
      <c r="H216" s="30">
        <v>0</v>
      </c>
      <c r="I216" s="30">
        <v>106</v>
      </c>
      <c r="J216" s="31">
        <v>0</v>
      </c>
      <c r="K216" s="29">
        <v>0</v>
      </c>
      <c r="L216" s="30">
        <v>0</v>
      </c>
      <c r="M216" s="30">
        <v>0</v>
      </c>
      <c r="N216" s="30">
        <v>0</v>
      </c>
      <c r="O216" s="30">
        <v>7</v>
      </c>
      <c r="P216" s="30">
        <v>0</v>
      </c>
      <c r="Q216" s="30">
        <v>19</v>
      </c>
      <c r="R216" s="31">
        <v>3</v>
      </c>
      <c r="S216" s="32">
        <v>9</v>
      </c>
      <c r="T216" s="29">
        <v>35</v>
      </c>
      <c r="U216" s="30">
        <v>0</v>
      </c>
      <c r="V216" s="30">
        <v>17</v>
      </c>
      <c r="W216" s="30">
        <v>0</v>
      </c>
      <c r="X216" s="31">
        <v>18</v>
      </c>
      <c r="Y216" s="29">
        <v>61</v>
      </c>
      <c r="Z216" s="31">
        <v>39</v>
      </c>
      <c r="AA216" s="29">
        <v>80</v>
      </c>
      <c r="AB216" s="31">
        <v>40</v>
      </c>
      <c r="AC216" s="29">
        <v>67</v>
      </c>
      <c r="AD216">
        <v>38</v>
      </c>
      <c r="AE216" s="29">
        <v>96</v>
      </c>
      <c r="AF216" s="30">
        <v>51</v>
      </c>
      <c r="AG216" s="31">
        <v>11</v>
      </c>
      <c r="AH216" s="136">
        <v>0.31147540983606559</v>
      </c>
      <c r="AI216" s="33">
        <v>9.8360655737704916E-2</v>
      </c>
      <c r="AJ216" s="33">
        <v>-0.16250000000000001</v>
      </c>
      <c r="AK216" s="33">
        <v>2.564102564102564E-2</v>
      </c>
      <c r="AL216" s="33">
        <v>-2.564102564102564E-2</v>
      </c>
      <c r="AM216" s="33">
        <v>-0.05</v>
      </c>
      <c r="AN216" s="34">
        <v>0.63207547169811318</v>
      </c>
      <c r="AO216" s="33">
        <v>0.35849056603773582</v>
      </c>
      <c r="AP216" s="33">
        <v>0.48113207547169812</v>
      </c>
      <c r="AQ216" s="33">
        <v>0.10377358490566038</v>
      </c>
      <c r="AR216" s="35">
        <v>2.7522935779816515E-2</v>
      </c>
      <c r="AS216" s="251">
        <f t="shared" si="6"/>
        <v>8.4905660377358486E-2</v>
      </c>
      <c r="AT216" s="252">
        <f t="shared" si="7"/>
        <v>-0.24528301886792453</v>
      </c>
      <c r="AU216" s="29">
        <v>42</v>
      </c>
      <c r="AV216" s="30">
        <v>48</v>
      </c>
      <c r="AW216" s="31">
        <v>46</v>
      </c>
      <c r="AX216" s="136">
        <v>0.14285714285714285</v>
      </c>
      <c r="AY216" s="33">
        <v>9.5238095238095233E-2</v>
      </c>
      <c r="AZ216" s="35">
        <v>-4.1666666666666664E-2</v>
      </c>
      <c r="BA216" s="29">
        <v>50</v>
      </c>
      <c r="BB216" s="31">
        <v>50</v>
      </c>
      <c r="BC216" s="29">
        <v>6</v>
      </c>
      <c r="BD216" s="31">
        <v>5</v>
      </c>
      <c r="BE216" s="29">
        <v>37</v>
      </c>
      <c r="BF216" s="30">
        <v>67</v>
      </c>
      <c r="BG216" s="33">
        <v>0.55223880597014929</v>
      </c>
      <c r="BH216" s="30">
        <v>26</v>
      </c>
      <c r="BI216" s="30">
        <v>46</v>
      </c>
      <c r="BJ216" s="35">
        <v>0.56521739130434778</v>
      </c>
    </row>
    <row r="217" spans="1:62" x14ac:dyDescent="0.25">
      <c r="E217" t="s">
        <v>148</v>
      </c>
      <c r="F217" s="32">
        <v>39</v>
      </c>
      <c r="G217" s="29">
        <v>33</v>
      </c>
      <c r="H217" s="30">
        <v>6</v>
      </c>
      <c r="I217" s="30">
        <v>39</v>
      </c>
      <c r="J217" s="31">
        <v>0</v>
      </c>
      <c r="K217" s="29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1">
        <v>0</v>
      </c>
      <c r="S217" s="32">
        <v>23</v>
      </c>
      <c r="T217" s="29">
        <v>32</v>
      </c>
      <c r="U217" s="30">
        <v>0</v>
      </c>
      <c r="V217" s="30">
        <v>0</v>
      </c>
      <c r="W217" s="30">
        <v>0</v>
      </c>
      <c r="X217" s="31">
        <v>32</v>
      </c>
      <c r="Y217" s="29">
        <v>41</v>
      </c>
      <c r="Z217" s="31">
        <v>27</v>
      </c>
      <c r="AA217" s="29">
        <v>74</v>
      </c>
      <c r="AB217" s="31">
        <v>40</v>
      </c>
      <c r="AC217" s="29">
        <v>70</v>
      </c>
      <c r="AD217">
        <v>31</v>
      </c>
      <c r="AE217" s="29">
        <v>10</v>
      </c>
      <c r="AF217" s="30">
        <v>5</v>
      </c>
      <c r="AG217" s="31">
        <v>3</v>
      </c>
      <c r="AH217" s="136">
        <v>0.80487804878048785</v>
      </c>
      <c r="AI217" s="33">
        <v>0.70731707317073167</v>
      </c>
      <c r="AJ217" s="33">
        <v>-5.4054054054054057E-2</v>
      </c>
      <c r="AK217" s="33">
        <v>0.48148148148148145</v>
      </c>
      <c r="AL217" s="33">
        <v>0.14814814814814814</v>
      </c>
      <c r="AM217" s="33">
        <v>-0.22500000000000001</v>
      </c>
      <c r="AN217" s="34">
        <v>2.1212121212121211</v>
      </c>
      <c r="AO217" s="33">
        <v>0.93939393939393945</v>
      </c>
      <c r="AP217" s="33">
        <v>0.15151515151515152</v>
      </c>
      <c r="AQ217" s="33">
        <v>9.0909090909090912E-2</v>
      </c>
      <c r="AR217" s="35">
        <v>0</v>
      </c>
      <c r="AS217" s="251">
        <f t="shared" si="6"/>
        <v>0.69696969696969702</v>
      </c>
      <c r="AT217" s="252">
        <f t="shared" si="7"/>
        <v>-0.27272727272727271</v>
      </c>
      <c r="AU217" s="29">
        <v>12</v>
      </c>
      <c r="AV217" s="30">
        <v>15</v>
      </c>
      <c r="AW217" s="31">
        <v>27</v>
      </c>
      <c r="AX217" s="136">
        <v>0.25</v>
      </c>
      <c r="AY217" s="33">
        <v>1.25</v>
      </c>
      <c r="AZ217" s="35">
        <v>0.8</v>
      </c>
      <c r="BA217" s="29">
        <v>53.5</v>
      </c>
      <c r="BB217" s="31">
        <v>50</v>
      </c>
      <c r="BC217" s="29">
        <v>7</v>
      </c>
      <c r="BD217" s="31">
        <v>8</v>
      </c>
      <c r="BE217" s="29">
        <v>16</v>
      </c>
      <c r="BF217" s="30">
        <v>70</v>
      </c>
      <c r="BG217" s="33">
        <v>0.22857142857142856</v>
      </c>
      <c r="BH217" s="30">
        <v>9</v>
      </c>
      <c r="BI217" s="30">
        <v>27</v>
      </c>
      <c r="BJ217" s="35">
        <v>0.33333333333333331</v>
      </c>
    </row>
    <row r="218" spans="1:62" x14ac:dyDescent="0.25">
      <c r="A218" s="134"/>
      <c r="B218" s="134"/>
      <c r="C218" s="134"/>
      <c r="D218" s="134" t="s">
        <v>211</v>
      </c>
      <c r="E218" s="134"/>
      <c r="F218" s="25">
        <v>625</v>
      </c>
      <c r="G218" s="22">
        <v>574</v>
      </c>
      <c r="H218" s="23">
        <v>0</v>
      </c>
      <c r="I218" s="23">
        <v>573</v>
      </c>
      <c r="J218" s="24">
        <v>1</v>
      </c>
      <c r="K218" s="22">
        <v>0</v>
      </c>
      <c r="L218" s="23">
        <v>0</v>
      </c>
      <c r="M218" s="23">
        <v>4</v>
      </c>
      <c r="N218" s="23">
        <v>0</v>
      </c>
      <c r="O218" s="23">
        <v>3</v>
      </c>
      <c r="P218" s="23">
        <v>0</v>
      </c>
      <c r="Q218" s="23">
        <v>11</v>
      </c>
      <c r="R218" s="24">
        <v>33</v>
      </c>
      <c r="S218" s="25">
        <v>53</v>
      </c>
      <c r="T218" s="22">
        <v>13</v>
      </c>
      <c r="U218" s="23">
        <v>0</v>
      </c>
      <c r="V218" s="23">
        <v>10</v>
      </c>
      <c r="W218" s="23">
        <v>0</v>
      </c>
      <c r="X218" s="24">
        <v>3</v>
      </c>
      <c r="Y218" s="22">
        <v>938</v>
      </c>
      <c r="Z218" s="24">
        <v>368</v>
      </c>
      <c r="AA218" s="22">
        <v>841</v>
      </c>
      <c r="AB218" s="24">
        <v>363</v>
      </c>
      <c r="AC218" s="22">
        <v>700</v>
      </c>
      <c r="AD218" s="134">
        <v>295</v>
      </c>
      <c r="AE218" s="22">
        <v>330</v>
      </c>
      <c r="AF218" s="23">
        <v>77</v>
      </c>
      <c r="AG218" s="24">
        <v>77</v>
      </c>
      <c r="AH218" s="135">
        <v>-0.10341151385927505</v>
      </c>
      <c r="AI218" s="26">
        <v>-0.2537313432835821</v>
      </c>
      <c r="AJ218" s="26">
        <v>-0.16765755053507728</v>
      </c>
      <c r="AK218" s="26">
        <v>-1.358695652173913E-2</v>
      </c>
      <c r="AL218" s="26">
        <v>-0.1983695652173913</v>
      </c>
      <c r="AM218" s="26">
        <v>-0.18732782369146006</v>
      </c>
      <c r="AN218" s="27">
        <v>1.2195121951219512</v>
      </c>
      <c r="AO218" s="26">
        <v>0.51393728222996515</v>
      </c>
      <c r="AP218" s="26">
        <v>0.13414634146341464</v>
      </c>
      <c r="AQ218" s="26">
        <v>0.13414634146341464</v>
      </c>
      <c r="AR218" s="28">
        <v>5.4365733113673806E-2</v>
      </c>
      <c r="AS218" s="249">
        <f t="shared" si="6"/>
        <v>9.2334494773519168E-2</v>
      </c>
      <c r="AT218" s="250">
        <f t="shared" si="7"/>
        <v>6.968641114982578E-2</v>
      </c>
      <c r="AU218" s="22">
        <v>169</v>
      </c>
      <c r="AV218" s="23">
        <v>175</v>
      </c>
      <c r="AW218" s="24">
        <v>172</v>
      </c>
      <c r="AX218" s="135">
        <v>3.5502958579881658E-2</v>
      </c>
      <c r="AY218" s="26">
        <v>1.7751479289940829E-2</v>
      </c>
      <c r="AZ218" s="28">
        <v>-1.7142857142857144E-2</v>
      </c>
      <c r="BA218" s="22">
        <v>37</v>
      </c>
      <c r="BB218" s="24">
        <v>38</v>
      </c>
      <c r="BC218" s="22">
        <v>3</v>
      </c>
      <c r="BD218" s="24">
        <v>3</v>
      </c>
      <c r="BE218" s="22">
        <v>502</v>
      </c>
      <c r="BF218" s="23">
        <v>700</v>
      </c>
      <c r="BG218" s="26">
        <v>0.71714285714285719</v>
      </c>
      <c r="BH218" s="23">
        <v>125</v>
      </c>
      <c r="BI218" s="23">
        <v>172</v>
      </c>
      <c r="BJ218" s="28">
        <v>0.72674418604651159</v>
      </c>
    </row>
    <row r="219" spans="1:62" x14ac:dyDescent="0.25">
      <c r="E219" t="s">
        <v>82</v>
      </c>
      <c r="F219" s="32">
        <v>590</v>
      </c>
      <c r="G219" s="29">
        <v>543</v>
      </c>
      <c r="H219" s="30">
        <v>0</v>
      </c>
      <c r="I219" s="30">
        <v>542</v>
      </c>
      <c r="J219" s="31">
        <v>1</v>
      </c>
      <c r="K219" s="29">
        <v>0</v>
      </c>
      <c r="L219" s="30">
        <v>0</v>
      </c>
      <c r="M219" s="30">
        <v>4</v>
      </c>
      <c r="N219" s="30">
        <v>0</v>
      </c>
      <c r="O219" s="30">
        <v>1</v>
      </c>
      <c r="P219" s="30">
        <v>0</v>
      </c>
      <c r="Q219" s="30">
        <v>11</v>
      </c>
      <c r="R219" s="31">
        <v>31</v>
      </c>
      <c r="S219" s="32">
        <v>49</v>
      </c>
      <c r="T219" s="29">
        <v>11</v>
      </c>
      <c r="U219" s="30">
        <v>0</v>
      </c>
      <c r="V219" s="30">
        <v>10</v>
      </c>
      <c r="W219" s="30">
        <v>0</v>
      </c>
      <c r="X219" s="31">
        <v>1</v>
      </c>
      <c r="Y219" s="29">
        <v>919</v>
      </c>
      <c r="Z219" s="31">
        <v>354</v>
      </c>
      <c r="AA219" s="29">
        <v>812</v>
      </c>
      <c r="AB219" s="31">
        <v>347</v>
      </c>
      <c r="AC219" s="29">
        <v>671</v>
      </c>
      <c r="AD219">
        <v>279</v>
      </c>
      <c r="AE219" s="29">
        <v>311</v>
      </c>
      <c r="AF219" s="30">
        <v>71</v>
      </c>
      <c r="AG219" s="31">
        <v>72</v>
      </c>
      <c r="AH219" s="136">
        <v>-0.11643090315560392</v>
      </c>
      <c r="AI219" s="33">
        <v>-0.26985854189336234</v>
      </c>
      <c r="AJ219" s="33">
        <v>-0.17364532019704434</v>
      </c>
      <c r="AK219" s="33">
        <v>-1.977401129943503E-2</v>
      </c>
      <c r="AL219" s="33">
        <v>-0.21186440677966101</v>
      </c>
      <c r="AM219" s="33">
        <v>-0.19596541786743515</v>
      </c>
      <c r="AN219" s="34">
        <v>1.2357274401473297</v>
      </c>
      <c r="AO219" s="33">
        <v>0.51381215469613262</v>
      </c>
      <c r="AP219" s="33">
        <v>0.13075506445672191</v>
      </c>
      <c r="AQ219" s="33">
        <v>0.13259668508287292</v>
      </c>
      <c r="AR219" s="35">
        <v>5.4006968641114983E-2</v>
      </c>
      <c r="AS219" s="251">
        <f t="shared" si="6"/>
        <v>9.0239410681399637E-2</v>
      </c>
      <c r="AT219" s="252">
        <f t="shared" si="7"/>
        <v>6.9981583793738492E-2</v>
      </c>
      <c r="AU219" s="29">
        <v>160</v>
      </c>
      <c r="AV219" s="30">
        <v>162</v>
      </c>
      <c r="AW219" s="31">
        <v>158</v>
      </c>
      <c r="AX219" s="136">
        <v>1.2500000000000001E-2</v>
      </c>
      <c r="AY219" s="33">
        <v>-1.2500000000000001E-2</v>
      </c>
      <c r="AZ219" s="35">
        <v>-2.4691358024691357E-2</v>
      </c>
      <c r="BA219" s="29">
        <v>37</v>
      </c>
      <c r="BB219" s="31">
        <v>39</v>
      </c>
      <c r="BC219" s="29">
        <v>3</v>
      </c>
      <c r="BD219" s="31">
        <v>4</v>
      </c>
      <c r="BE219" s="29">
        <v>485</v>
      </c>
      <c r="BF219" s="30">
        <v>671</v>
      </c>
      <c r="BG219" s="33">
        <v>0.72280178837555886</v>
      </c>
      <c r="BH219" s="30">
        <v>115</v>
      </c>
      <c r="BI219" s="30">
        <v>158</v>
      </c>
      <c r="BJ219" s="35">
        <v>0.72784810126582278</v>
      </c>
    </row>
    <row r="220" spans="1:62" x14ac:dyDescent="0.25">
      <c r="E220" t="s">
        <v>68</v>
      </c>
      <c r="F220" s="32">
        <v>31</v>
      </c>
      <c r="G220" s="29">
        <v>27</v>
      </c>
      <c r="H220" s="30">
        <v>0</v>
      </c>
      <c r="I220" s="30">
        <v>27</v>
      </c>
      <c r="J220" s="31">
        <v>0</v>
      </c>
      <c r="K220" s="29">
        <v>0</v>
      </c>
      <c r="L220" s="30">
        <v>0</v>
      </c>
      <c r="M220" s="30">
        <v>0</v>
      </c>
      <c r="N220" s="30">
        <v>0</v>
      </c>
      <c r="O220" s="30">
        <v>2</v>
      </c>
      <c r="P220" s="30">
        <v>0</v>
      </c>
      <c r="Q220" s="30">
        <v>0</v>
      </c>
      <c r="R220" s="31">
        <v>2</v>
      </c>
      <c r="S220" s="32">
        <v>3</v>
      </c>
      <c r="T220" s="29">
        <v>2</v>
      </c>
      <c r="U220" s="30">
        <v>0</v>
      </c>
      <c r="V220" s="30">
        <v>0</v>
      </c>
      <c r="W220" s="30">
        <v>0</v>
      </c>
      <c r="X220" s="31">
        <v>2</v>
      </c>
      <c r="Y220" s="29">
        <v>19</v>
      </c>
      <c r="Z220" s="31">
        <v>14</v>
      </c>
      <c r="AA220" s="29">
        <v>29</v>
      </c>
      <c r="AB220" s="31">
        <v>16</v>
      </c>
      <c r="AC220" s="29">
        <v>24</v>
      </c>
      <c r="AD220">
        <v>15</v>
      </c>
      <c r="AE220" s="29">
        <v>16</v>
      </c>
      <c r="AF220" s="30">
        <v>4</v>
      </c>
      <c r="AG220" s="31">
        <v>4</v>
      </c>
      <c r="AH220" s="136">
        <v>0.52631578947368418</v>
      </c>
      <c r="AI220" s="33">
        <v>0.26315789473684209</v>
      </c>
      <c r="AJ220" s="33">
        <v>-0.17241379310344829</v>
      </c>
      <c r="AK220" s="33">
        <v>0.14285714285714285</v>
      </c>
      <c r="AL220" s="33">
        <v>7.1428571428571425E-2</v>
      </c>
      <c r="AM220" s="33">
        <v>-6.25E-2</v>
      </c>
      <c r="AN220" s="34">
        <v>0.88888888888888884</v>
      </c>
      <c r="AO220" s="33">
        <v>0.55555555555555558</v>
      </c>
      <c r="AP220" s="33">
        <v>0.14814814814814814</v>
      </c>
      <c r="AQ220" s="33">
        <v>0.14814814814814814</v>
      </c>
      <c r="AR220" s="35">
        <v>6.8965517241379309E-2</v>
      </c>
      <c r="AS220" s="251">
        <f t="shared" si="6"/>
        <v>0.1111111111111111</v>
      </c>
      <c r="AT220" s="252">
        <f t="shared" si="7"/>
        <v>3.7037037037037035E-2</v>
      </c>
      <c r="AU220" s="29">
        <v>13</v>
      </c>
      <c r="AV220" s="30">
        <v>18</v>
      </c>
      <c r="AW220" s="31">
        <v>16</v>
      </c>
      <c r="AX220" s="136">
        <v>0.38461538461538464</v>
      </c>
      <c r="AY220" s="33">
        <v>0.23076923076923078</v>
      </c>
      <c r="AZ220" s="35">
        <v>-0.1111111111111111</v>
      </c>
      <c r="BA220" s="29">
        <v>35</v>
      </c>
      <c r="BB220" s="31">
        <v>33.5</v>
      </c>
      <c r="BC220" s="29">
        <v>1</v>
      </c>
      <c r="BD220" s="31">
        <v>1</v>
      </c>
      <c r="BE220" s="29">
        <v>16</v>
      </c>
      <c r="BF220" s="30">
        <v>24</v>
      </c>
      <c r="BG220" s="33">
        <v>0.66666666666666663</v>
      </c>
      <c r="BH220" s="30">
        <v>11</v>
      </c>
      <c r="BI220" s="30">
        <v>16</v>
      </c>
      <c r="BJ220" s="35">
        <v>0.6875</v>
      </c>
    </row>
    <row r="221" spans="1:62" x14ac:dyDescent="0.25">
      <c r="A221" s="134"/>
      <c r="B221" s="134"/>
      <c r="C221" s="134"/>
      <c r="D221" s="134" t="s">
        <v>212</v>
      </c>
      <c r="E221" s="134"/>
      <c r="F221" s="25">
        <v>550</v>
      </c>
      <c r="G221" s="22">
        <v>532</v>
      </c>
      <c r="H221" s="23">
        <v>0</v>
      </c>
      <c r="I221" s="23">
        <v>514</v>
      </c>
      <c r="J221" s="24">
        <v>18</v>
      </c>
      <c r="K221" s="22">
        <v>0</v>
      </c>
      <c r="L221" s="23">
        <v>0</v>
      </c>
      <c r="M221" s="23">
        <v>2</v>
      </c>
      <c r="N221" s="23">
        <v>0</v>
      </c>
      <c r="O221" s="23">
        <v>0</v>
      </c>
      <c r="P221" s="23">
        <v>0</v>
      </c>
      <c r="Q221" s="23">
        <v>6</v>
      </c>
      <c r="R221" s="24">
        <v>10</v>
      </c>
      <c r="S221" s="25">
        <v>16</v>
      </c>
      <c r="T221" s="22">
        <v>27</v>
      </c>
      <c r="U221" s="23">
        <v>1</v>
      </c>
      <c r="V221" s="23">
        <v>6</v>
      </c>
      <c r="W221" s="23">
        <v>1</v>
      </c>
      <c r="X221" s="24">
        <v>19</v>
      </c>
      <c r="Y221" s="22">
        <v>779</v>
      </c>
      <c r="Z221" s="24">
        <v>292</v>
      </c>
      <c r="AA221" s="22">
        <v>769</v>
      </c>
      <c r="AB221" s="24">
        <v>325</v>
      </c>
      <c r="AC221" s="22">
        <v>459</v>
      </c>
      <c r="AD221" s="134">
        <v>228</v>
      </c>
      <c r="AE221" s="22">
        <v>323</v>
      </c>
      <c r="AF221" s="23">
        <v>87</v>
      </c>
      <c r="AG221" s="24">
        <v>26</v>
      </c>
      <c r="AH221" s="135">
        <v>-1.2836970474967908E-2</v>
      </c>
      <c r="AI221" s="26">
        <v>-0.41078305519897307</v>
      </c>
      <c r="AJ221" s="26">
        <v>-0.40312093628088425</v>
      </c>
      <c r="AK221" s="26">
        <v>0.11301369863013698</v>
      </c>
      <c r="AL221" s="26">
        <v>-0.21917808219178081</v>
      </c>
      <c r="AM221" s="26">
        <v>-0.29846153846153844</v>
      </c>
      <c r="AN221" s="27">
        <v>0.86278195488721809</v>
      </c>
      <c r="AO221" s="26">
        <v>0.42857142857142855</v>
      </c>
      <c r="AP221" s="26">
        <v>0.16353383458646617</v>
      </c>
      <c r="AQ221" s="26">
        <v>4.8872180451127817E-2</v>
      </c>
      <c r="AR221" s="28">
        <v>1.8450184501845018E-2</v>
      </c>
      <c r="AS221" s="249">
        <f t="shared" si="6"/>
        <v>3.007518796992481E-2</v>
      </c>
      <c r="AT221" s="250">
        <f t="shared" si="7"/>
        <v>-2.0676691729323307E-2</v>
      </c>
      <c r="AU221" s="22">
        <v>158</v>
      </c>
      <c r="AV221" s="23">
        <v>140</v>
      </c>
      <c r="AW221" s="24">
        <v>123</v>
      </c>
      <c r="AX221" s="135">
        <v>-0.11392405063291139</v>
      </c>
      <c r="AY221" s="26">
        <v>-0.22151898734177214</v>
      </c>
      <c r="AZ221" s="28">
        <v>-0.12142857142857143</v>
      </c>
      <c r="BA221" s="22">
        <v>49</v>
      </c>
      <c r="BB221" s="24">
        <v>48.5</v>
      </c>
      <c r="BC221" s="22">
        <v>5</v>
      </c>
      <c r="BD221" s="24">
        <v>6</v>
      </c>
      <c r="BE221" s="22">
        <v>336</v>
      </c>
      <c r="BF221" s="23">
        <v>459</v>
      </c>
      <c r="BG221" s="26">
        <v>0.73202614379084963</v>
      </c>
      <c r="BH221" s="23">
        <v>85</v>
      </c>
      <c r="BI221" s="23">
        <v>123</v>
      </c>
      <c r="BJ221" s="28">
        <v>0.69105691056910568</v>
      </c>
    </row>
    <row r="222" spans="1:62" x14ac:dyDescent="0.25">
      <c r="E222" t="s">
        <v>82</v>
      </c>
      <c r="F222" s="32">
        <v>548</v>
      </c>
      <c r="G222" s="29">
        <v>530</v>
      </c>
      <c r="H222" s="30">
        <v>0</v>
      </c>
      <c r="I222" s="30">
        <v>512</v>
      </c>
      <c r="J222" s="31">
        <v>18</v>
      </c>
      <c r="K222" s="29">
        <v>0</v>
      </c>
      <c r="L222" s="30">
        <v>0</v>
      </c>
      <c r="M222" s="30">
        <v>2</v>
      </c>
      <c r="N222" s="30">
        <v>0</v>
      </c>
      <c r="O222" s="30">
        <v>0</v>
      </c>
      <c r="P222" s="30">
        <v>0</v>
      </c>
      <c r="Q222" s="30">
        <v>6</v>
      </c>
      <c r="R222" s="31">
        <v>10</v>
      </c>
      <c r="S222" s="32">
        <v>14</v>
      </c>
      <c r="T222" s="29">
        <v>27</v>
      </c>
      <c r="U222" s="30">
        <v>1</v>
      </c>
      <c r="V222" s="30">
        <v>6</v>
      </c>
      <c r="W222" s="30">
        <v>1</v>
      </c>
      <c r="X222" s="31">
        <v>19</v>
      </c>
      <c r="Y222" s="29">
        <v>779</v>
      </c>
      <c r="Z222" s="31">
        <v>292</v>
      </c>
      <c r="AA222" s="29">
        <v>769</v>
      </c>
      <c r="AB222" s="31">
        <v>325</v>
      </c>
      <c r="AC222" s="29">
        <v>457</v>
      </c>
      <c r="AD222">
        <v>226</v>
      </c>
      <c r="AE222" s="29">
        <v>323</v>
      </c>
      <c r="AF222" s="30">
        <v>87</v>
      </c>
      <c r="AG222" s="31">
        <v>24</v>
      </c>
      <c r="AH222" s="136">
        <v>-1.2836970474967908E-2</v>
      </c>
      <c r="AI222" s="33">
        <v>-0.41335044929396664</v>
      </c>
      <c r="AJ222" s="33">
        <v>-0.40572171651495448</v>
      </c>
      <c r="AK222" s="33">
        <v>0.11301369863013698</v>
      </c>
      <c r="AL222" s="33">
        <v>-0.22602739726027396</v>
      </c>
      <c r="AM222" s="33">
        <v>-0.30461538461538462</v>
      </c>
      <c r="AN222" s="34">
        <v>0.86226415094339626</v>
      </c>
      <c r="AO222" s="33">
        <v>0.42641509433962266</v>
      </c>
      <c r="AP222" s="33">
        <v>0.16415094339622641</v>
      </c>
      <c r="AQ222" s="33">
        <v>4.5283018867924525E-2</v>
      </c>
      <c r="AR222" s="35">
        <v>1.8518518518518517E-2</v>
      </c>
      <c r="AS222" s="251">
        <f t="shared" si="6"/>
        <v>2.6415094339622643E-2</v>
      </c>
      <c r="AT222" s="252">
        <f t="shared" si="7"/>
        <v>-2.4528301886792454E-2</v>
      </c>
      <c r="AU222" s="29">
        <v>158</v>
      </c>
      <c r="AV222" s="30">
        <v>140</v>
      </c>
      <c r="AW222" s="31">
        <v>122</v>
      </c>
      <c r="AX222" s="136">
        <v>-0.11392405063291139</v>
      </c>
      <c r="AY222" s="33">
        <v>-0.22784810126582278</v>
      </c>
      <c r="AZ222" s="35">
        <v>-0.12857142857142856</v>
      </c>
      <c r="BA222" s="29">
        <v>49</v>
      </c>
      <c r="BB222" s="31">
        <v>48</v>
      </c>
      <c r="BC222" s="29">
        <v>5</v>
      </c>
      <c r="BD222" s="31">
        <v>6</v>
      </c>
      <c r="BE222" s="29">
        <v>334</v>
      </c>
      <c r="BF222" s="30">
        <v>457</v>
      </c>
      <c r="BG222" s="33">
        <v>0.73085339168490149</v>
      </c>
      <c r="BH222" s="30">
        <v>84</v>
      </c>
      <c r="BI222" s="30">
        <v>122</v>
      </c>
      <c r="BJ222" s="35">
        <v>0.68852459016393441</v>
      </c>
    </row>
    <row r="223" spans="1:62" x14ac:dyDescent="0.25">
      <c r="A223" s="134"/>
      <c r="B223" s="134"/>
      <c r="C223" s="134"/>
      <c r="D223" s="134" t="s">
        <v>213</v>
      </c>
      <c r="E223" s="134"/>
      <c r="F223" s="25">
        <v>5230</v>
      </c>
      <c r="G223" s="22">
        <v>5095</v>
      </c>
      <c r="H223" s="23">
        <v>0</v>
      </c>
      <c r="I223" s="23">
        <v>3547</v>
      </c>
      <c r="J223" s="24">
        <v>1548</v>
      </c>
      <c r="K223" s="22">
        <v>0</v>
      </c>
      <c r="L223" s="23">
        <v>15</v>
      </c>
      <c r="M223" s="23">
        <v>28</v>
      </c>
      <c r="N223" s="23">
        <v>1</v>
      </c>
      <c r="O223" s="23">
        <v>21</v>
      </c>
      <c r="P223" s="23">
        <v>0</v>
      </c>
      <c r="Q223" s="23">
        <v>45</v>
      </c>
      <c r="R223" s="24">
        <v>23</v>
      </c>
      <c r="S223" s="25">
        <v>159</v>
      </c>
      <c r="T223" s="22">
        <v>260</v>
      </c>
      <c r="U223" s="23">
        <v>0</v>
      </c>
      <c r="V223" s="23">
        <v>39</v>
      </c>
      <c r="W223" s="23">
        <v>6</v>
      </c>
      <c r="X223" s="24">
        <v>215</v>
      </c>
      <c r="Y223" s="22">
        <v>9534</v>
      </c>
      <c r="Z223" s="24">
        <v>3488</v>
      </c>
      <c r="AA223" s="22">
        <v>7157</v>
      </c>
      <c r="AB223" s="24">
        <v>2955</v>
      </c>
      <c r="AC223" s="22">
        <v>5904</v>
      </c>
      <c r="AD223" s="134">
        <v>2420</v>
      </c>
      <c r="AE223" s="22">
        <v>2791</v>
      </c>
      <c r="AF223" s="23">
        <v>865</v>
      </c>
      <c r="AG223" s="24">
        <v>323</v>
      </c>
      <c r="AH223" s="135">
        <v>-0.24931822949444093</v>
      </c>
      <c r="AI223" s="26">
        <v>-0.38074260541220895</v>
      </c>
      <c r="AJ223" s="26">
        <v>-0.17507335475757999</v>
      </c>
      <c r="AK223" s="26">
        <v>-0.15280963302752293</v>
      </c>
      <c r="AL223" s="26">
        <v>-0.30619266055045874</v>
      </c>
      <c r="AM223" s="26">
        <v>-0.18104906937394247</v>
      </c>
      <c r="AN223" s="27">
        <v>1.1587831207065751</v>
      </c>
      <c r="AO223" s="26">
        <v>0.47497546614327774</v>
      </c>
      <c r="AP223" s="26">
        <v>0.16977428851815504</v>
      </c>
      <c r="AQ223" s="26">
        <v>6.3395485770363094E-2</v>
      </c>
      <c r="AR223" s="28">
        <v>4.4939429464634622E-3</v>
      </c>
      <c r="AS223" s="249">
        <f t="shared" si="6"/>
        <v>3.1207065750736014E-2</v>
      </c>
      <c r="AT223" s="250">
        <f t="shared" si="7"/>
        <v>-1.9823356231599608E-2</v>
      </c>
      <c r="AU223" s="22">
        <v>622</v>
      </c>
      <c r="AV223" s="23">
        <v>497</v>
      </c>
      <c r="AW223" s="24">
        <v>481</v>
      </c>
      <c r="AX223" s="135">
        <v>-0.20096463022508038</v>
      </c>
      <c r="AY223" s="26">
        <v>-0.22668810289389069</v>
      </c>
      <c r="AZ223" s="28">
        <v>-3.2193158953722337E-2</v>
      </c>
      <c r="BA223" s="22">
        <v>53</v>
      </c>
      <c r="BB223" s="24">
        <v>49</v>
      </c>
      <c r="BC223" s="22">
        <v>9</v>
      </c>
      <c r="BD223" s="24">
        <v>7</v>
      </c>
      <c r="BE223" s="22">
        <v>3342</v>
      </c>
      <c r="BF223" s="23">
        <v>5904</v>
      </c>
      <c r="BG223" s="26">
        <v>0.56605691056910568</v>
      </c>
      <c r="BH223" s="23">
        <v>304</v>
      </c>
      <c r="BI223" s="23">
        <v>481</v>
      </c>
      <c r="BJ223" s="28">
        <v>0.63201663201663205</v>
      </c>
    </row>
    <row r="224" spans="1:62" x14ac:dyDescent="0.25">
      <c r="E224" t="s">
        <v>82</v>
      </c>
      <c r="F224" s="32">
        <v>4829</v>
      </c>
      <c r="G224" s="29">
        <v>4710</v>
      </c>
      <c r="H224" s="30">
        <v>0</v>
      </c>
      <c r="I224" s="30">
        <v>3162</v>
      </c>
      <c r="J224" s="31">
        <v>1548</v>
      </c>
      <c r="K224" s="29">
        <v>0</v>
      </c>
      <c r="L224" s="30">
        <v>13</v>
      </c>
      <c r="M224" s="30">
        <v>25</v>
      </c>
      <c r="N224" s="30">
        <v>1</v>
      </c>
      <c r="O224" s="30">
        <v>11</v>
      </c>
      <c r="P224" s="30">
        <v>0</v>
      </c>
      <c r="Q224" s="30">
        <v>45</v>
      </c>
      <c r="R224" s="31">
        <v>22</v>
      </c>
      <c r="S224" s="32">
        <v>143</v>
      </c>
      <c r="T224" s="29">
        <v>217</v>
      </c>
      <c r="U224" s="30">
        <v>0</v>
      </c>
      <c r="V224" s="30">
        <v>39</v>
      </c>
      <c r="W224" s="30">
        <v>6</v>
      </c>
      <c r="X224" s="31">
        <v>172</v>
      </c>
      <c r="Y224" s="29">
        <v>9385</v>
      </c>
      <c r="Z224" s="31">
        <v>3395</v>
      </c>
      <c r="AA224" s="29">
        <v>6997</v>
      </c>
      <c r="AB224" s="31">
        <v>2857</v>
      </c>
      <c r="AC224" s="29">
        <v>5626</v>
      </c>
      <c r="AD224">
        <v>2259</v>
      </c>
      <c r="AE224" s="29">
        <v>2555</v>
      </c>
      <c r="AF224" s="30">
        <v>773</v>
      </c>
      <c r="AG224" s="31">
        <v>308</v>
      </c>
      <c r="AH224" s="136">
        <v>-0.2544485881726159</v>
      </c>
      <c r="AI224" s="33">
        <v>-0.40053276505061269</v>
      </c>
      <c r="AJ224" s="33">
        <v>-0.19594111762183794</v>
      </c>
      <c r="AK224" s="33">
        <v>-0.15846833578792341</v>
      </c>
      <c r="AL224" s="33">
        <v>-0.33460972017673046</v>
      </c>
      <c r="AM224" s="33">
        <v>-0.20931046552327617</v>
      </c>
      <c r="AN224" s="34">
        <v>1.1944798301486199</v>
      </c>
      <c r="AO224" s="33">
        <v>0.47961783439490446</v>
      </c>
      <c r="AP224" s="33">
        <v>0.16411889596602972</v>
      </c>
      <c r="AQ224" s="33">
        <v>6.5392781316348195E-2</v>
      </c>
      <c r="AR224" s="35">
        <v>4.6491969568892644E-3</v>
      </c>
      <c r="AS224" s="251">
        <f t="shared" si="6"/>
        <v>3.0360934182590234E-2</v>
      </c>
      <c r="AT224" s="252">
        <f t="shared" si="7"/>
        <v>-1.5711252653927813E-2</v>
      </c>
      <c r="AU224" s="29">
        <v>582</v>
      </c>
      <c r="AV224" s="30">
        <v>462</v>
      </c>
      <c r="AW224" s="31">
        <v>433</v>
      </c>
      <c r="AX224" s="136">
        <v>-0.20618556701030927</v>
      </c>
      <c r="AY224" s="33">
        <v>-0.25601374570446733</v>
      </c>
      <c r="AZ224" s="35">
        <v>-6.2770562770562768E-2</v>
      </c>
      <c r="BA224" s="29">
        <v>53</v>
      </c>
      <c r="BB224" s="31">
        <v>49</v>
      </c>
      <c r="BC224" s="29">
        <v>10</v>
      </c>
      <c r="BD224" s="31">
        <v>7</v>
      </c>
      <c r="BE224" s="29">
        <v>3163</v>
      </c>
      <c r="BF224" s="30">
        <v>5626</v>
      </c>
      <c r="BG224" s="33">
        <v>0.56221116246000713</v>
      </c>
      <c r="BH224" s="30">
        <v>274</v>
      </c>
      <c r="BI224" s="30">
        <v>433</v>
      </c>
      <c r="BJ224" s="35">
        <v>0.63279445727482675</v>
      </c>
    </row>
    <row r="225" spans="1:62" x14ac:dyDescent="0.25">
      <c r="E225" t="s">
        <v>203</v>
      </c>
      <c r="F225" s="32">
        <v>23</v>
      </c>
      <c r="G225" s="29">
        <v>22</v>
      </c>
      <c r="H225" s="30">
        <v>0</v>
      </c>
      <c r="I225" s="30">
        <v>22</v>
      </c>
      <c r="J225" s="31">
        <v>0</v>
      </c>
      <c r="K225" s="29">
        <v>0</v>
      </c>
      <c r="L225" s="30">
        <v>1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1">
        <v>0</v>
      </c>
      <c r="S225" s="32">
        <v>1</v>
      </c>
      <c r="T225" s="29"/>
      <c r="U225" s="30"/>
      <c r="V225" s="30"/>
      <c r="W225" s="30"/>
      <c r="X225" s="31"/>
      <c r="Y225" s="29">
        <v>7</v>
      </c>
      <c r="Z225" s="31">
        <v>3</v>
      </c>
      <c r="AA225" s="29">
        <v>3</v>
      </c>
      <c r="AB225" s="31">
        <v>2</v>
      </c>
      <c r="AC225" s="29">
        <v>5</v>
      </c>
      <c r="AD225">
        <v>4</v>
      </c>
      <c r="AE225" s="29">
        <v>18</v>
      </c>
      <c r="AF225" s="30">
        <v>17</v>
      </c>
      <c r="AG225" s="31">
        <v>0</v>
      </c>
      <c r="AH225" s="136">
        <v>-0.5714285714285714</v>
      </c>
      <c r="AI225" s="33">
        <v>-0.2857142857142857</v>
      </c>
      <c r="AJ225" s="33">
        <v>0.66666666666666663</v>
      </c>
      <c r="AK225" s="33">
        <v>-0.33333333333333331</v>
      </c>
      <c r="AL225" s="33">
        <v>0.33333333333333331</v>
      </c>
      <c r="AM225" s="33">
        <v>1</v>
      </c>
      <c r="AN225" s="34">
        <v>0.22727272727272727</v>
      </c>
      <c r="AO225" s="33">
        <v>0.18181818181818182</v>
      </c>
      <c r="AP225" s="33">
        <v>0.77272727272727271</v>
      </c>
      <c r="AQ225" s="33">
        <v>0</v>
      </c>
      <c r="AR225" s="35">
        <v>0</v>
      </c>
      <c r="AS225" s="251">
        <f t="shared" si="6"/>
        <v>4.5454545454545456E-2</v>
      </c>
      <c r="AT225" s="252">
        <f t="shared" si="7"/>
        <v>4.5454545454545456E-2</v>
      </c>
      <c r="AU225" s="29">
        <v>6</v>
      </c>
      <c r="AV225" s="30">
        <v>3</v>
      </c>
      <c r="AW225" s="31">
        <v>5</v>
      </c>
      <c r="AX225" s="136">
        <v>-0.5</v>
      </c>
      <c r="AY225" s="33">
        <v>-0.16666666666666666</v>
      </c>
      <c r="AZ225" s="35">
        <v>0.66666666666666663</v>
      </c>
      <c r="BA225" s="29">
        <v>56</v>
      </c>
      <c r="BB225" s="31">
        <v>56</v>
      </c>
      <c r="BC225" s="29">
        <v>13</v>
      </c>
      <c r="BD225" s="31">
        <v>13</v>
      </c>
      <c r="BE225" s="29">
        <v>2</v>
      </c>
      <c r="BF225" s="30">
        <v>5</v>
      </c>
      <c r="BG225" s="33">
        <v>0.4</v>
      </c>
      <c r="BH225" s="30">
        <v>2</v>
      </c>
      <c r="BI225" s="30">
        <v>5</v>
      </c>
      <c r="BJ225" s="35">
        <v>0.4</v>
      </c>
    </row>
    <row r="226" spans="1:62" x14ac:dyDescent="0.25">
      <c r="E226" t="s">
        <v>68</v>
      </c>
      <c r="F226" s="32">
        <v>223</v>
      </c>
      <c r="G226" s="29">
        <v>211</v>
      </c>
      <c r="H226" s="30">
        <v>0</v>
      </c>
      <c r="I226" s="30">
        <v>211</v>
      </c>
      <c r="J226" s="31">
        <v>0</v>
      </c>
      <c r="K226" s="29">
        <v>0</v>
      </c>
      <c r="L226" s="30">
        <v>1</v>
      </c>
      <c r="M226" s="30">
        <v>0</v>
      </c>
      <c r="N226" s="30">
        <v>0</v>
      </c>
      <c r="O226" s="30">
        <v>10</v>
      </c>
      <c r="P226" s="30">
        <v>0</v>
      </c>
      <c r="Q226" s="30">
        <v>0</v>
      </c>
      <c r="R226" s="31">
        <v>1</v>
      </c>
      <c r="S226" s="32">
        <v>10</v>
      </c>
      <c r="T226" s="29">
        <v>43</v>
      </c>
      <c r="U226" s="30">
        <v>0</v>
      </c>
      <c r="V226" s="30">
        <v>0</v>
      </c>
      <c r="W226" s="30">
        <v>0</v>
      </c>
      <c r="X226" s="31">
        <v>43</v>
      </c>
      <c r="Y226" s="29">
        <v>130</v>
      </c>
      <c r="Z226" s="31">
        <v>85</v>
      </c>
      <c r="AA226" s="29">
        <v>147</v>
      </c>
      <c r="AB226" s="31">
        <v>92</v>
      </c>
      <c r="AC226" s="29">
        <v>156</v>
      </c>
      <c r="AD226">
        <v>91</v>
      </c>
      <c r="AE226" s="29">
        <v>130</v>
      </c>
      <c r="AF226" s="30">
        <v>45</v>
      </c>
      <c r="AG226" s="31">
        <v>6</v>
      </c>
      <c r="AH226" s="136">
        <v>0.13076923076923078</v>
      </c>
      <c r="AI226" s="33">
        <v>0.2</v>
      </c>
      <c r="AJ226" s="33">
        <v>6.1224489795918366E-2</v>
      </c>
      <c r="AK226" s="33">
        <v>8.2352941176470587E-2</v>
      </c>
      <c r="AL226" s="33">
        <v>7.0588235294117646E-2</v>
      </c>
      <c r="AM226" s="33">
        <v>-1.0869565217391304E-2</v>
      </c>
      <c r="AN226" s="34">
        <v>0.73933649289099523</v>
      </c>
      <c r="AO226" s="33">
        <v>0.43127962085308058</v>
      </c>
      <c r="AP226" s="33">
        <v>0.2132701421800948</v>
      </c>
      <c r="AQ226" s="33">
        <v>2.843601895734597E-2</v>
      </c>
      <c r="AR226" s="35">
        <v>4.7169811320754715E-3</v>
      </c>
      <c r="AS226" s="251">
        <f t="shared" si="6"/>
        <v>4.7393364928909949E-2</v>
      </c>
      <c r="AT226" s="252">
        <f t="shared" si="7"/>
        <v>-0.15639810426540285</v>
      </c>
      <c r="AU226" s="29">
        <v>71</v>
      </c>
      <c r="AV226" s="30">
        <v>67</v>
      </c>
      <c r="AW226" s="31">
        <v>76</v>
      </c>
      <c r="AX226" s="136">
        <v>-5.6338028169014086E-2</v>
      </c>
      <c r="AY226" s="33">
        <v>7.0422535211267609E-2</v>
      </c>
      <c r="AZ226" s="35">
        <v>0.13432835820895522</v>
      </c>
      <c r="BA226" s="29">
        <v>48</v>
      </c>
      <c r="BB226" s="31">
        <v>48</v>
      </c>
      <c r="BC226" s="29">
        <v>3.5</v>
      </c>
      <c r="BD226" s="31">
        <v>5</v>
      </c>
      <c r="BE226" s="29">
        <v>104</v>
      </c>
      <c r="BF226" s="30">
        <v>156</v>
      </c>
      <c r="BG226" s="33">
        <v>0.66666666666666663</v>
      </c>
      <c r="BH226" s="30">
        <v>46</v>
      </c>
      <c r="BI226" s="30">
        <v>76</v>
      </c>
      <c r="BJ226" s="35">
        <v>0.60526315789473684</v>
      </c>
    </row>
    <row r="227" spans="1:62" x14ac:dyDescent="0.25">
      <c r="E227" t="s">
        <v>97</v>
      </c>
      <c r="F227" s="32">
        <v>155</v>
      </c>
      <c r="G227" s="29">
        <v>152</v>
      </c>
      <c r="H227" s="30">
        <v>0</v>
      </c>
      <c r="I227" s="30">
        <v>152</v>
      </c>
      <c r="J227" s="31">
        <v>0</v>
      </c>
      <c r="K227" s="29">
        <v>0</v>
      </c>
      <c r="L227" s="30">
        <v>0</v>
      </c>
      <c r="M227" s="30">
        <v>3</v>
      </c>
      <c r="N227" s="30">
        <v>0</v>
      </c>
      <c r="O227" s="30">
        <v>0</v>
      </c>
      <c r="P227" s="30">
        <v>0</v>
      </c>
      <c r="Q227" s="30">
        <v>0</v>
      </c>
      <c r="R227" s="31">
        <v>0</v>
      </c>
      <c r="S227" s="32">
        <v>5</v>
      </c>
      <c r="T227" s="29"/>
      <c r="U227" s="30"/>
      <c r="V227" s="30"/>
      <c r="W227" s="30"/>
      <c r="X227" s="31"/>
      <c r="Y227" s="29">
        <v>12</v>
      </c>
      <c r="Z227" s="31">
        <v>5</v>
      </c>
      <c r="AA227" s="29">
        <v>10</v>
      </c>
      <c r="AB227" s="31">
        <v>4</v>
      </c>
      <c r="AC227" s="29">
        <v>117</v>
      </c>
      <c r="AD227">
        <v>66</v>
      </c>
      <c r="AE227" s="29">
        <v>88</v>
      </c>
      <c r="AF227" s="30">
        <v>30</v>
      </c>
      <c r="AG227" s="31">
        <v>9</v>
      </c>
      <c r="AH227" s="136">
        <v>-0.16666666666666666</v>
      </c>
      <c r="AI227" s="33">
        <v>8.75</v>
      </c>
      <c r="AJ227" s="33">
        <v>10.7</v>
      </c>
      <c r="AK227" s="33">
        <v>-0.2</v>
      </c>
      <c r="AL227" s="33">
        <v>12.2</v>
      </c>
      <c r="AM227" s="33">
        <v>15.5</v>
      </c>
      <c r="AN227" s="34">
        <v>0.76973684210526316</v>
      </c>
      <c r="AO227" s="33">
        <v>0.43421052631578949</v>
      </c>
      <c r="AP227" s="33">
        <v>0.19736842105263158</v>
      </c>
      <c r="AQ227" s="33">
        <v>5.921052631578947E-2</v>
      </c>
      <c r="AR227" s="35">
        <v>0</v>
      </c>
      <c r="AS227" s="251">
        <f t="shared" si="6"/>
        <v>3.2894736842105261E-2</v>
      </c>
      <c r="AT227" s="252">
        <f t="shared" si="7"/>
        <v>3.2894736842105261E-2</v>
      </c>
      <c r="AU227" s="29">
        <v>12</v>
      </c>
      <c r="AV227" s="30">
        <v>8</v>
      </c>
      <c r="AW227" s="31">
        <v>45</v>
      </c>
      <c r="AX227" s="136">
        <v>-0.33333333333333331</v>
      </c>
      <c r="AY227" s="33">
        <v>2.75</v>
      </c>
      <c r="AZ227" s="35">
        <v>4.625</v>
      </c>
      <c r="BA227" s="29">
        <v>53</v>
      </c>
      <c r="BB227" s="31">
        <v>53</v>
      </c>
      <c r="BC227" s="29">
        <v>5</v>
      </c>
      <c r="BD227" s="31">
        <v>4</v>
      </c>
      <c r="BE227" s="29">
        <v>73</v>
      </c>
      <c r="BF227" s="30">
        <v>117</v>
      </c>
      <c r="BG227" s="33">
        <v>0.62393162393162394</v>
      </c>
      <c r="BH227" s="30">
        <v>29</v>
      </c>
      <c r="BI227" s="30">
        <v>45</v>
      </c>
      <c r="BJ227" s="35">
        <v>0.64444444444444449</v>
      </c>
    </row>
    <row r="228" spans="1:62" x14ac:dyDescent="0.25">
      <c r="A228" s="134"/>
      <c r="B228" s="134"/>
      <c r="C228" s="134"/>
      <c r="D228" s="134" t="s">
        <v>214</v>
      </c>
      <c r="E228" s="134"/>
      <c r="F228" s="25">
        <v>832</v>
      </c>
      <c r="G228" s="22">
        <v>788</v>
      </c>
      <c r="H228" s="23">
        <v>0</v>
      </c>
      <c r="I228" s="23">
        <v>526</v>
      </c>
      <c r="J228" s="24">
        <v>262</v>
      </c>
      <c r="K228" s="22">
        <v>0</v>
      </c>
      <c r="L228" s="23">
        <v>0</v>
      </c>
      <c r="M228" s="23">
        <v>5</v>
      </c>
      <c r="N228" s="23">
        <v>1</v>
      </c>
      <c r="O228" s="23">
        <v>3</v>
      </c>
      <c r="P228" s="23">
        <v>0</v>
      </c>
      <c r="Q228" s="23">
        <v>23</v>
      </c>
      <c r="R228" s="24">
        <v>12</v>
      </c>
      <c r="S228" s="25">
        <v>51</v>
      </c>
      <c r="T228" s="22">
        <v>39</v>
      </c>
      <c r="U228" s="23">
        <v>0</v>
      </c>
      <c r="V228" s="23">
        <v>19</v>
      </c>
      <c r="W228" s="23">
        <v>2</v>
      </c>
      <c r="X228" s="24">
        <v>18</v>
      </c>
      <c r="Y228" s="22">
        <v>1263</v>
      </c>
      <c r="Z228" s="24">
        <v>430</v>
      </c>
      <c r="AA228" s="22">
        <v>1217</v>
      </c>
      <c r="AB228" s="24">
        <v>460</v>
      </c>
      <c r="AC228" s="22">
        <v>1149</v>
      </c>
      <c r="AD228" s="134">
        <v>390</v>
      </c>
      <c r="AE228" s="22">
        <v>441</v>
      </c>
      <c r="AF228" s="23">
        <v>151</v>
      </c>
      <c r="AG228" s="24">
        <v>62</v>
      </c>
      <c r="AH228" s="135">
        <v>-3.6421219319081551E-2</v>
      </c>
      <c r="AI228" s="26">
        <v>-9.0261282660332537E-2</v>
      </c>
      <c r="AJ228" s="26">
        <v>-5.5875102711585869E-2</v>
      </c>
      <c r="AK228" s="26">
        <v>6.9767441860465115E-2</v>
      </c>
      <c r="AL228" s="26">
        <v>-9.3023255813953487E-2</v>
      </c>
      <c r="AM228" s="26">
        <v>-0.15217391304347827</v>
      </c>
      <c r="AN228" s="27">
        <v>1.4581218274111676</v>
      </c>
      <c r="AO228" s="26">
        <v>0.49492385786802029</v>
      </c>
      <c r="AP228" s="26">
        <v>0.19162436548223349</v>
      </c>
      <c r="AQ228" s="26">
        <v>7.8680203045685279E-2</v>
      </c>
      <c r="AR228" s="28">
        <v>1.4999999999999999E-2</v>
      </c>
      <c r="AS228" s="249">
        <f t="shared" si="6"/>
        <v>6.4720812182741116E-2</v>
      </c>
      <c r="AT228" s="250">
        <f t="shared" si="7"/>
        <v>1.5228426395939087E-2</v>
      </c>
      <c r="AU228" s="22">
        <v>259</v>
      </c>
      <c r="AV228" s="23">
        <v>240</v>
      </c>
      <c r="AW228" s="24">
        <v>224</v>
      </c>
      <c r="AX228" s="135">
        <v>-7.3359073359073365E-2</v>
      </c>
      <c r="AY228" s="26">
        <v>-0.13513513513513514</v>
      </c>
      <c r="AZ228" s="28">
        <v>-6.6666666666666666E-2</v>
      </c>
      <c r="BA228" s="22">
        <v>55</v>
      </c>
      <c r="BB228" s="24">
        <v>50</v>
      </c>
      <c r="BC228" s="22">
        <v>7</v>
      </c>
      <c r="BD228" s="24">
        <v>7</v>
      </c>
      <c r="BE228" s="22">
        <v>782</v>
      </c>
      <c r="BF228" s="23">
        <v>1149</v>
      </c>
      <c r="BG228" s="26">
        <v>0.68059181897302001</v>
      </c>
      <c r="BH228" s="23">
        <v>144</v>
      </c>
      <c r="BI228" s="23">
        <v>224</v>
      </c>
      <c r="BJ228" s="28">
        <v>0.6428571428571429</v>
      </c>
    </row>
    <row r="229" spans="1:62" x14ac:dyDescent="0.25">
      <c r="E229" t="s">
        <v>82</v>
      </c>
      <c r="F229" s="32">
        <v>783</v>
      </c>
      <c r="G229" s="29">
        <v>740</v>
      </c>
      <c r="H229" s="30">
        <v>0</v>
      </c>
      <c r="I229" s="30">
        <v>478</v>
      </c>
      <c r="J229" s="31">
        <v>262</v>
      </c>
      <c r="K229" s="29">
        <v>0</v>
      </c>
      <c r="L229" s="30">
        <v>0</v>
      </c>
      <c r="M229" s="30">
        <v>5</v>
      </c>
      <c r="N229" s="30">
        <v>0</v>
      </c>
      <c r="O229" s="30">
        <v>3</v>
      </c>
      <c r="P229" s="30">
        <v>0</v>
      </c>
      <c r="Q229" s="30">
        <v>23</v>
      </c>
      <c r="R229" s="31">
        <v>12</v>
      </c>
      <c r="S229" s="32">
        <v>44</v>
      </c>
      <c r="T229" s="29">
        <v>38</v>
      </c>
      <c r="U229" s="30">
        <v>0</v>
      </c>
      <c r="V229" s="30">
        <v>19</v>
      </c>
      <c r="W229" s="30">
        <v>2</v>
      </c>
      <c r="X229" s="31">
        <v>17</v>
      </c>
      <c r="Y229" s="29">
        <v>1248</v>
      </c>
      <c r="Z229" s="31">
        <v>417</v>
      </c>
      <c r="AA229" s="29">
        <v>1202</v>
      </c>
      <c r="AB229" s="31">
        <v>449</v>
      </c>
      <c r="AC229" s="29">
        <v>1093</v>
      </c>
      <c r="AD229">
        <v>362</v>
      </c>
      <c r="AE229" s="29">
        <v>420</v>
      </c>
      <c r="AF229" s="30">
        <v>145</v>
      </c>
      <c r="AG229" s="31">
        <v>57</v>
      </c>
      <c r="AH229" s="136">
        <v>-3.685897435897436E-2</v>
      </c>
      <c r="AI229" s="33">
        <v>-0.12419871794871795</v>
      </c>
      <c r="AJ229" s="33">
        <v>-9.0682196339434279E-2</v>
      </c>
      <c r="AK229" s="33">
        <v>7.6738609112709827E-2</v>
      </c>
      <c r="AL229" s="33">
        <v>-0.13189448441247004</v>
      </c>
      <c r="AM229" s="33">
        <v>-0.19376391982182628</v>
      </c>
      <c r="AN229" s="34">
        <v>1.4770270270270269</v>
      </c>
      <c r="AO229" s="33">
        <v>0.48918918918918919</v>
      </c>
      <c r="AP229" s="33">
        <v>0.19594594594594594</v>
      </c>
      <c r="AQ229" s="33">
        <v>7.7027027027027031E-2</v>
      </c>
      <c r="AR229" s="35">
        <v>1.5957446808510637E-2</v>
      </c>
      <c r="AS229" s="251">
        <f t="shared" si="6"/>
        <v>5.9459459459459463E-2</v>
      </c>
      <c r="AT229" s="252">
        <f t="shared" si="7"/>
        <v>8.1081081081081086E-3</v>
      </c>
      <c r="AU229" s="29">
        <v>249</v>
      </c>
      <c r="AV229" s="30">
        <v>228</v>
      </c>
      <c r="AW229" s="31">
        <v>204</v>
      </c>
      <c r="AX229" s="136">
        <v>-8.4337349397590355E-2</v>
      </c>
      <c r="AY229" s="33">
        <v>-0.18072289156626506</v>
      </c>
      <c r="AZ229" s="35">
        <v>-0.10526315789473684</v>
      </c>
      <c r="BA229" s="29">
        <v>55</v>
      </c>
      <c r="BB229" s="31">
        <v>50.5</v>
      </c>
      <c r="BC229" s="29">
        <v>7</v>
      </c>
      <c r="BD229" s="31">
        <v>8</v>
      </c>
      <c r="BE229" s="29">
        <v>735</v>
      </c>
      <c r="BF229" s="30">
        <v>1093</v>
      </c>
      <c r="BG229" s="33">
        <v>0.67246111619396154</v>
      </c>
      <c r="BH229" s="30">
        <v>130</v>
      </c>
      <c r="BI229" s="30">
        <v>204</v>
      </c>
      <c r="BJ229" s="35">
        <v>0.63725490196078427</v>
      </c>
    </row>
    <row r="230" spans="1:62" x14ac:dyDescent="0.25">
      <c r="E230" t="s">
        <v>68</v>
      </c>
      <c r="F230" s="32">
        <v>20</v>
      </c>
      <c r="G230" s="29">
        <v>20</v>
      </c>
      <c r="H230" s="30">
        <v>0</v>
      </c>
      <c r="I230" s="30">
        <v>20</v>
      </c>
      <c r="J230" s="31">
        <v>0</v>
      </c>
      <c r="K230" s="29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1">
        <v>0</v>
      </c>
      <c r="S230" s="32">
        <v>5</v>
      </c>
      <c r="T230" s="29">
        <v>1</v>
      </c>
      <c r="U230" s="30">
        <v>0</v>
      </c>
      <c r="V230" s="30">
        <v>0</v>
      </c>
      <c r="W230" s="30">
        <v>0</v>
      </c>
      <c r="X230" s="31">
        <v>1</v>
      </c>
      <c r="Y230" s="29">
        <v>15</v>
      </c>
      <c r="Z230" s="31">
        <v>13</v>
      </c>
      <c r="AA230" s="29">
        <v>14</v>
      </c>
      <c r="AB230" s="31">
        <v>10</v>
      </c>
      <c r="AC230" s="29">
        <v>15</v>
      </c>
      <c r="AD230">
        <v>5</v>
      </c>
      <c r="AE230" s="29">
        <v>15</v>
      </c>
      <c r="AF230" s="30">
        <v>2</v>
      </c>
      <c r="AG230" s="31">
        <v>3</v>
      </c>
      <c r="AH230" s="136">
        <v>-6.6666666666666666E-2</v>
      </c>
      <c r="AI230" s="33">
        <v>0</v>
      </c>
      <c r="AJ230" s="33">
        <v>7.1428571428571425E-2</v>
      </c>
      <c r="AK230" s="33">
        <v>-0.23076923076923078</v>
      </c>
      <c r="AL230" s="33">
        <v>-0.61538461538461542</v>
      </c>
      <c r="AM230" s="33">
        <v>-0.5</v>
      </c>
      <c r="AN230" s="34">
        <v>0.75</v>
      </c>
      <c r="AO230" s="33">
        <v>0.25</v>
      </c>
      <c r="AP230" s="33">
        <v>0.1</v>
      </c>
      <c r="AQ230" s="33">
        <v>0.15</v>
      </c>
      <c r="AR230" s="35">
        <v>0</v>
      </c>
      <c r="AS230" s="251">
        <f t="shared" si="6"/>
        <v>0.25</v>
      </c>
      <c r="AT230" s="252">
        <f t="shared" si="7"/>
        <v>0.2</v>
      </c>
      <c r="AU230" s="29">
        <v>11</v>
      </c>
      <c r="AV230" s="30">
        <v>12</v>
      </c>
      <c r="AW230" s="31">
        <v>15</v>
      </c>
      <c r="AX230" s="136">
        <v>9.0909090909090912E-2</v>
      </c>
      <c r="AY230" s="33">
        <v>0.36363636363636365</v>
      </c>
      <c r="AZ230" s="35">
        <v>0.25</v>
      </c>
      <c r="BA230" s="29">
        <v>37</v>
      </c>
      <c r="BB230" s="31">
        <v>37</v>
      </c>
      <c r="BC230" s="29">
        <v>2</v>
      </c>
      <c r="BD230" s="31">
        <v>2</v>
      </c>
      <c r="BE230" s="29">
        <v>9</v>
      </c>
      <c r="BF230" s="30">
        <v>15</v>
      </c>
      <c r="BG230" s="33">
        <v>0.6</v>
      </c>
      <c r="BH230" s="30">
        <v>9</v>
      </c>
      <c r="BI230" s="30">
        <v>15</v>
      </c>
      <c r="BJ230" s="35">
        <v>0.6</v>
      </c>
    </row>
    <row r="231" spans="1:62" x14ac:dyDescent="0.25">
      <c r="E231" t="s">
        <v>97</v>
      </c>
      <c r="F231" s="32">
        <v>28</v>
      </c>
      <c r="G231" s="29">
        <v>27</v>
      </c>
      <c r="H231" s="30">
        <v>0</v>
      </c>
      <c r="I231" s="30">
        <v>27</v>
      </c>
      <c r="J231" s="31">
        <v>0</v>
      </c>
      <c r="K231" s="29">
        <v>0</v>
      </c>
      <c r="L231" s="30">
        <v>0</v>
      </c>
      <c r="M231" s="30">
        <v>0</v>
      </c>
      <c r="N231" s="30">
        <v>1</v>
      </c>
      <c r="O231" s="30">
        <v>0</v>
      </c>
      <c r="P231" s="30">
        <v>0</v>
      </c>
      <c r="Q231" s="30">
        <v>0</v>
      </c>
      <c r="R231" s="31">
        <v>0</v>
      </c>
      <c r="S231" s="32">
        <v>2</v>
      </c>
      <c r="T231" s="29"/>
      <c r="U231" s="30"/>
      <c r="V231" s="30"/>
      <c r="W231" s="30"/>
      <c r="X231" s="31"/>
      <c r="Y231" s="29">
        <v>0</v>
      </c>
      <c r="Z231" s="31">
        <v>0</v>
      </c>
      <c r="AA231" s="29">
        <v>0</v>
      </c>
      <c r="AB231" s="31">
        <v>0</v>
      </c>
      <c r="AC231" s="29">
        <v>41</v>
      </c>
      <c r="AD231">
        <v>23</v>
      </c>
      <c r="AE231" s="29">
        <v>5</v>
      </c>
      <c r="AF231" s="30">
        <v>4</v>
      </c>
      <c r="AG231" s="31">
        <v>2</v>
      </c>
      <c r="AH231" s="136"/>
      <c r="AI231" s="33"/>
      <c r="AJ231" s="33"/>
      <c r="AK231" s="33"/>
      <c r="AL231" s="33"/>
      <c r="AM231" s="33"/>
      <c r="AN231" s="34">
        <v>1.5185185185185186</v>
      </c>
      <c r="AO231" s="33">
        <v>0.85185185185185186</v>
      </c>
      <c r="AP231" s="33">
        <v>0.14814814814814814</v>
      </c>
      <c r="AQ231" s="33">
        <v>7.407407407407407E-2</v>
      </c>
      <c r="AR231" s="35">
        <v>0</v>
      </c>
      <c r="AS231" s="251">
        <f t="shared" si="6"/>
        <v>7.407407407407407E-2</v>
      </c>
      <c r="AT231" s="252">
        <f t="shared" si="7"/>
        <v>7.407407407407407E-2</v>
      </c>
      <c r="AU231" s="29">
        <v>0</v>
      </c>
      <c r="AV231" s="30">
        <v>0</v>
      </c>
      <c r="AW231" s="31">
        <v>12</v>
      </c>
      <c r="AX231" s="136"/>
      <c r="AY231" s="33"/>
      <c r="AZ231" s="35"/>
      <c r="BA231" s="29">
        <v>56</v>
      </c>
      <c r="BB231" s="31">
        <v>60</v>
      </c>
      <c r="BC231" s="29">
        <v>0</v>
      </c>
      <c r="BD231" s="31">
        <v>4</v>
      </c>
      <c r="BE231" s="29">
        <v>38</v>
      </c>
      <c r="BF231" s="30">
        <v>41</v>
      </c>
      <c r="BG231" s="33">
        <v>0.92682926829268297</v>
      </c>
      <c r="BH231" s="30">
        <v>9</v>
      </c>
      <c r="BI231" s="30">
        <v>12</v>
      </c>
      <c r="BJ231" s="35">
        <v>0.75</v>
      </c>
    </row>
    <row r="232" spans="1:62" x14ac:dyDescent="0.25">
      <c r="A232" s="134"/>
      <c r="B232" s="134"/>
      <c r="C232" s="134"/>
      <c r="D232" s="134" t="s">
        <v>215</v>
      </c>
      <c r="E232" s="134"/>
      <c r="F232" s="25">
        <v>642</v>
      </c>
      <c r="G232" s="22">
        <v>628</v>
      </c>
      <c r="H232" s="23">
        <v>0</v>
      </c>
      <c r="I232" s="23">
        <v>596</v>
      </c>
      <c r="J232" s="24">
        <v>32</v>
      </c>
      <c r="K232" s="22">
        <v>0</v>
      </c>
      <c r="L232" s="23">
        <v>2</v>
      </c>
      <c r="M232" s="23">
        <v>1</v>
      </c>
      <c r="N232" s="23">
        <v>0</v>
      </c>
      <c r="O232" s="23">
        <v>0</v>
      </c>
      <c r="P232" s="23">
        <v>0</v>
      </c>
      <c r="Q232" s="23">
        <v>5</v>
      </c>
      <c r="R232" s="24">
        <v>6</v>
      </c>
      <c r="S232" s="25">
        <v>15</v>
      </c>
      <c r="T232" s="22">
        <v>48</v>
      </c>
      <c r="U232" s="23">
        <v>0</v>
      </c>
      <c r="V232" s="23">
        <v>4</v>
      </c>
      <c r="W232" s="23">
        <v>0</v>
      </c>
      <c r="X232" s="24">
        <v>44</v>
      </c>
      <c r="Y232" s="22">
        <v>907</v>
      </c>
      <c r="Z232" s="24">
        <v>403</v>
      </c>
      <c r="AA232" s="22">
        <v>858</v>
      </c>
      <c r="AB232" s="24">
        <v>391</v>
      </c>
      <c r="AC232" s="22">
        <v>583</v>
      </c>
      <c r="AD232" s="134">
        <v>287</v>
      </c>
      <c r="AE232" s="22">
        <v>353</v>
      </c>
      <c r="AF232" s="23">
        <v>78</v>
      </c>
      <c r="AG232" s="24">
        <v>57</v>
      </c>
      <c r="AH232" s="135">
        <v>-5.4024255788313123E-2</v>
      </c>
      <c r="AI232" s="26">
        <v>-0.35722160970231531</v>
      </c>
      <c r="AJ232" s="26">
        <v>-0.32051282051282054</v>
      </c>
      <c r="AK232" s="26">
        <v>-2.9776674937965261E-2</v>
      </c>
      <c r="AL232" s="26">
        <v>-0.28784119106699751</v>
      </c>
      <c r="AM232" s="26">
        <v>-0.26598465473145783</v>
      </c>
      <c r="AN232" s="27">
        <v>0.92834394904458595</v>
      </c>
      <c r="AO232" s="26">
        <v>0.4570063694267516</v>
      </c>
      <c r="AP232" s="26">
        <v>0.12420382165605096</v>
      </c>
      <c r="AQ232" s="26">
        <v>9.0764331210191077E-2</v>
      </c>
      <c r="AR232" s="28">
        <v>9.4637223974763408E-3</v>
      </c>
      <c r="AS232" s="249">
        <f t="shared" si="6"/>
        <v>2.3885350318471339E-2</v>
      </c>
      <c r="AT232" s="250">
        <f t="shared" si="7"/>
        <v>-5.2547770700636945E-2</v>
      </c>
      <c r="AU232" s="22">
        <v>190</v>
      </c>
      <c r="AV232" s="23">
        <v>148</v>
      </c>
      <c r="AW232" s="24">
        <v>138</v>
      </c>
      <c r="AX232" s="135">
        <v>-0.22105263157894736</v>
      </c>
      <c r="AY232" s="26">
        <v>-0.27368421052631581</v>
      </c>
      <c r="AZ232" s="28">
        <v>-6.7567567567567571E-2</v>
      </c>
      <c r="BA232" s="22">
        <v>44</v>
      </c>
      <c r="BB232" s="24">
        <v>47</v>
      </c>
      <c r="BC232" s="22">
        <v>6</v>
      </c>
      <c r="BD232" s="24">
        <v>5</v>
      </c>
      <c r="BE232" s="22">
        <v>386</v>
      </c>
      <c r="BF232" s="23">
        <v>583</v>
      </c>
      <c r="BG232" s="26">
        <v>0.66209262435677529</v>
      </c>
      <c r="BH232" s="23">
        <v>87</v>
      </c>
      <c r="BI232" s="23">
        <v>138</v>
      </c>
      <c r="BJ232" s="28">
        <v>0.63043478260869568</v>
      </c>
    </row>
    <row r="233" spans="1:62" x14ac:dyDescent="0.25">
      <c r="E233" t="s">
        <v>82</v>
      </c>
      <c r="F233" s="32">
        <v>637</v>
      </c>
      <c r="G233" s="29">
        <v>624</v>
      </c>
      <c r="H233" s="30">
        <v>0</v>
      </c>
      <c r="I233" s="30">
        <v>592</v>
      </c>
      <c r="J233" s="31">
        <v>32</v>
      </c>
      <c r="K233" s="29">
        <v>0</v>
      </c>
      <c r="L233" s="30">
        <v>2</v>
      </c>
      <c r="M233" s="30">
        <v>1</v>
      </c>
      <c r="N233" s="30">
        <v>0</v>
      </c>
      <c r="O233" s="30">
        <v>0</v>
      </c>
      <c r="P233" s="30">
        <v>0</v>
      </c>
      <c r="Q233" s="30">
        <v>4</v>
      </c>
      <c r="R233" s="31">
        <v>6</v>
      </c>
      <c r="S233" s="32">
        <v>15</v>
      </c>
      <c r="T233" s="29">
        <v>45</v>
      </c>
      <c r="U233" s="30">
        <v>0</v>
      </c>
      <c r="V233" s="30">
        <v>3</v>
      </c>
      <c r="W233" s="30">
        <v>0</v>
      </c>
      <c r="X233" s="31">
        <v>42</v>
      </c>
      <c r="Y233" s="29">
        <v>907</v>
      </c>
      <c r="Z233" s="31">
        <v>403</v>
      </c>
      <c r="AA233" s="29">
        <v>855</v>
      </c>
      <c r="AB233" s="31">
        <v>390</v>
      </c>
      <c r="AC233" s="29">
        <v>582</v>
      </c>
      <c r="AD233">
        <v>286</v>
      </c>
      <c r="AE233" s="29">
        <v>349</v>
      </c>
      <c r="AF233" s="30">
        <v>76</v>
      </c>
      <c r="AG233" s="31">
        <v>57</v>
      </c>
      <c r="AH233" s="136">
        <v>-5.7331863285556783E-2</v>
      </c>
      <c r="AI233" s="33">
        <v>-0.35832414553472985</v>
      </c>
      <c r="AJ233" s="33">
        <v>-0.31929824561403508</v>
      </c>
      <c r="AK233" s="33">
        <v>-3.2258064516129031E-2</v>
      </c>
      <c r="AL233" s="33">
        <v>-0.29032258064516131</v>
      </c>
      <c r="AM233" s="33">
        <v>-0.26666666666666666</v>
      </c>
      <c r="AN233" s="34">
        <v>0.93269230769230771</v>
      </c>
      <c r="AO233" s="33">
        <v>0.45833333333333331</v>
      </c>
      <c r="AP233" s="33">
        <v>0.12179487179487179</v>
      </c>
      <c r="AQ233" s="33">
        <v>9.1346153846153841E-2</v>
      </c>
      <c r="AR233" s="35">
        <v>9.5238095238095247E-3</v>
      </c>
      <c r="AS233" s="251">
        <f t="shared" si="6"/>
        <v>2.403846153846154E-2</v>
      </c>
      <c r="AT233" s="252">
        <f t="shared" si="7"/>
        <v>-4.807692307692308E-2</v>
      </c>
      <c r="AU233" s="29">
        <v>190</v>
      </c>
      <c r="AV233" s="30">
        <v>147</v>
      </c>
      <c r="AW233" s="31">
        <v>137</v>
      </c>
      <c r="AX233" s="136">
        <v>-0.22631578947368422</v>
      </c>
      <c r="AY233" s="33">
        <v>-0.27894736842105261</v>
      </c>
      <c r="AZ233" s="35">
        <v>-6.8027210884353748E-2</v>
      </c>
      <c r="BA233" s="29">
        <v>44</v>
      </c>
      <c r="BB233" s="31">
        <v>47</v>
      </c>
      <c r="BC233" s="29">
        <v>5.5</v>
      </c>
      <c r="BD233" s="31">
        <v>5</v>
      </c>
      <c r="BE233" s="29">
        <v>386</v>
      </c>
      <c r="BF233" s="30">
        <v>582</v>
      </c>
      <c r="BG233" s="33">
        <v>0.66323024054982815</v>
      </c>
      <c r="BH233" s="30">
        <v>86</v>
      </c>
      <c r="BI233" s="30">
        <v>137</v>
      </c>
      <c r="BJ233" s="35">
        <v>0.62773722627737227</v>
      </c>
    </row>
    <row r="234" spans="1:62" x14ac:dyDescent="0.25">
      <c r="A234" s="134"/>
      <c r="B234" s="134"/>
      <c r="C234" s="134"/>
      <c r="D234" s="134" t="s">
        <v>216</v>
      </c>
      <c r="E234" s="134"/>
      <c r="F234" s="25">
        <v>662</v>
      </c>
      <c r="G234" s="22">
        <v>622</v>
      </c>
      <c r="H234" s="23">
        <v>0</v>
      </c>
      <c r="I234" s="23">
        <v>499</v>
      </c>
      <c r="J234" s="24">
        <v>123</v>
      </c>
      <c r="K234" s="22">
        <v>0</v>
      </c>
      <c r="L234" s="23">
        <v>1</v>
      </c>
      <c r="M234" s="23">
        <v>5</v>
      </c>
      <c r="N234" s="23">
        <v>0</v>
      </c>
      <c r="O234" s="23">
        <v>1</v>
      </c>
      <c r="P234" s="23">
        <v>0</v>
      </c>
      <c r="Q234" s="23">
        <v>24</v>
      </c>
      <c r="R234" s="24">
        <v>9</v>
      </c>
      <c r="S234" s="25">
        <v>43</v>
      </c>
      <c r="T234" s="22">
        <v>52</v>
      </c>
      <c r="U234" s="23">
        <v>1</v>
      </c>
      <c r="V234" s="23">
        <v>22</v>
      </c>
      <c r="W234" s="23">
        <v>0</v>
      </c>
      <c r="X234" s="24">
        <v>29</v>
      </c>
      <c r="Y234" s="22">
        <v>1503</v>
      </c>
      <c r="Z234" s="24">
        <v>454</v>
      </c>
      <c r="AA234" s="22">
        <v>1424</v>
      </c>
      <c r="AB234" s="24">
        <v>458</v>
      </c>
      <c r="AC234" s="22">
        <v>1199</v>
      </c>
      <c r="AD234" s="134">
        <v>364</v>
      </c>
      <c r="AE234" s="22">
        <v>296</v>
      </c>
      <c r="AF234" s="23">
        <v>46</v>
      </c>
      <c r="AG234" s="24">
        <v>76</v>
      </c>
      <c r="AH234" s="135">
        <v>-5.2561543579507652E-2</v>
      </c>
      <c r="AI234" s="26">
        <v>-0.20226214238190285</v>
      </c>
      <c r="AJ234" s="26">
        <v>-0.1580056179775281</v>
      </c>
      <c r="AK234" s="26">
        <v>8.8105726872246704E-3</v>
      </c>
      <c r="AL234" s="26">
        <v>-0.19823788546255505</v>
      </c>
      <c r="AM234" s="26">
        <v>-0.20524017467248909</v>
      </c>
      <c r="AN234" s="27">
        <v>1.927652733118971</v>
      </c>
      <c r="AO234" s="26">
        <v>0.58520900321543412</v>
      </c>
      <c r="AP234" s="26">
        <v>7.3954983922829579E-2</v>
      </c>
      <c r="AQ234" s="26">
        <v>0.12218649517684887</v>
      </c>
      <c r="AR234" s="28">
        <v>1.4263074484944533E-2</v>
      </c>
      <c r="AS234" s="249">
        <f t="shared" si="6"/>
        <v>6.9131832797427656E-2</v>
      </c>
      <c r="AT234" s="250">
        <f t="shared" si="7"/>
        <v>-1.4469453376205787E-2</v>
      </c>
      <c r="AU234" s="22">
        <v>313</v>
      </c>
      <c r="AV234" s="23">
        <v>273</v>
      </c>
      <c r="AW234" s="24">
        <v>236</v>
      </c>
      <c r="AX234" s="135">
        <v>-0.12779552715654952</v>
      </c>
      <c r="AY234" s="26">
        <v>-0.24600638977635783</v>
      </c>
      <c r="AZ234" s="28">
        <v>-0.13553113553113552</v>
      </c>
      <c r="BA234" s="22">
        <v>53</v>
      </c>
      <c r="BB234" s="24">
        <v>49</v>
      </c>
      <c r="BC234" s="22">
        <v>10</v>
      </c>
      <c r="BD234" s="24">
        <v>7</v>
      </c>
      <c r="BE234" s="22">
        <v>815</v>
      </c>
      <c r="BF234" s="23">
        <v>1199</v>
      </c>
      <c r="BG234" s="26">
        <v>0.67973311092577149</v>
      </c>
      <c r="BH234" s="23">
        <v>153</v>
      </c>
      <c r="BI234" s="23">
        <v>236</v>
      </c>
      <c r="BJ234" s="28">
        <v>0.64830508474576276</v>
      </c>
    </row>
    <row r="235" spans="1:62" x14ac:dyDescent="0.25">
      <c r="E235" t="s">
        <v>82</v>
      </c>
      <c r="F235" s="32">
        <v>649</v>
      </c>
      <c r="G235" s="29">
        <v>609</v>
      </c>
      <c r="H235" s="30">
        <v>0</v>
      </c>
      <c r="I235" s="30">
        <v>486</v>
      </c>
      <c r="J235" s="31">
        <v>123</v>
      </c>
      <c r="K235" s="29">
        <v>0</v>
      </c>
      <c r="L235" s="30">
        <v>1</v>
      </c>
      <c r="M235" s="30">
        <v>5</v>
      </c>
      <c r="N235" s="30">
        <v>0</v>
      </c>
      <c r="O235" s="30">
        <v>1</v>
      </c>
      <c r="P235" s="30">
        <v>0</v>
      </c>
      <c r="Q235" s="30">
        <v>24</v>
      </c>
      <c r="R235" s="31">
        <v>9</v>
      </c>
      <c r="S235" s="32">
        <v>43</v>
      </c>
      <c r="T235" s="29">
        <v>52</v>
      </c>
      <c r="U235" s="30">
        <v>1</v>
      </c>
      <c r="V235" s="30">
        <v>22</v>
      </c>
      <c r="W235" s="30">
        <v>0</v>
      </c>
      <c r="X235" s="31">
        <v>29</v>
      </c>
      <c r="Y235" s="29">
        <v>1497</v>
      </c>
      <c r="Z235" s="31">
        <v>452</v>
      </c>
      <c r="AA235" s="29">
        <v>1409</v>
      </c>
      <c r="AB235" s="31">
        <v>457</v>
      </c>
      <c r="AC235" s="29">
        <v>1189</v>
      </c>
      <c r="AD235">
        <v>360</v>
      </c>
      <c r="AE235" s="29">
        <v>287</v>
      </c>
      <c r="AF235" s="30">
        <v>43</v>
      </c>
      <c r="AG235" s="31">
        <v>74</v>
      </c>
      <c r="AH235" s="136">
        <v>-5.8784235136940546E-2</v>
      </c>
      <c r="AI235" s="33">
        <v>-0.20574482297929192</v>
      </c>
      <c r="AJ235" s="33">
        <v>-0.15613910574875797</v>
      </c>
      <c r="AK235" s="33">
        <v>1.1061946902654867E-2</v>
      </c>
      <c r="AL235" s="33">
        <v>-0.20353982300884957</v>
      </c>
      <c r="AM235" s="33">
        <v>-0.21225382932166301</v>
      </c>
      <c r="AN235" s="34">
        <v>1.9523809523809523</v>
      </c>
      <c r="AO235" s="33">
        <v>0.59113300492610843</v>
      </c>
      <c r="AP235" s="33">
        <v>7.0607553366174053E-2</v>
      </c>
      <c r="AQ235" s="33">
        <v>0.12151067323481117</v>
      </c>
      <c r="AR235" s="35">
        <v>1.4563106796116505E-2</v>
      </c>
      <c r="AS235" s="251">
        <f t="shared" si="6"/>
        <v>7.0607553366174053E-2</v>
      </c>
      <c r="AT235" s="252">
        <f t="shared" si="7"/>
        <v>-1.4778325123152709E-2</v>
      </c>
      <c r="AU235" s="29">
        <v>312</v>
      </c>
      <c r="AV235" s="30">
        <v>273</v>
      </c>
      <c r="AW235" s="31">
        <v>235</v>
      </c>
      <c r="AX235" s="136">
        <v>-0.125</v>
      </c>
      <c r="AY235" s="33">
        <v>-0.24679487179487181</v>
      </c>
      <c r="AZ235" s="35">
        <v>-0.1391941391941392</v>
      </c>
      <c r="BA235" s="29">
        <v>53</v>
      </c>
      <c r="BB235" s="31">
        <v>49</v>
      </c>
      <c r="BC235" s="29">
        <v>10</v>
      </c>
      <c r="BD235" s="31">
        <v>7</v>
      </c>
      <c r="BE235" s="29">
        <v>807</v>
      </c>
      <c r="BF235" s="30">
        <v>1189</v>
      </c>
      <c r="BG235" s="33">
        <v>0.67872161480235493</v>
      </c>
      <c r="BH235" s="30">
        <v>151</v>
      </c>
      <c r="BI235" s="30">
        <v>235</v>
      </c>
      <c r="BJ235" s="35">
        <v>0.64255319148936174</v>
      </c>
    </row>
    <row r="236" spans="1:62" x14ac:dyDescent="0.25">
      <c r="E236" t="s">
        <v>97</v>
      </c>
      <c r="F236" s="32">
        <v>11</v>
      </c>
      <c r="G236" s="29">
        <v>11</v>
      </c>
      <c r="H236" s="30">
        <v>0</v>
      </c>
      <c r="I236" s="30">
        <v>11</v>
      </c>
      <c r="J236" s="31">
        <v>0</v>
      </c>
      <c r="K236" s="29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1">
        <v>0</v>
      </c>
      <c r="S236" s="32">
        <v>0</v>
      </c>
      <c r="T236" s="29"/>
      <c r="U236" s="30"/>
      <c r="V236" s="30"/>
      <c r="W236" s="30"/>
      <c r="X236" s="31"/>
      <c r="Y236" s="29">
        <v>0</v>
      </c>
      <c r="Z236" s="31">
        <v>0</v>
      </c>
      <c r="AA236" s="29">
        <v>0</v>
      </c>
      <c r="AB236" s="31">
        <v>0</v>
      </c>
      <c r="AC236" s="29">
        <v>3</v>
      </c>
      <c r="AD236">
        <v>3</v>
      </c>
      <c r="AE236" s="29">
        <v>8</v>
      </c>
      <c r="AF236" s="30">
        <v>3</v>
      </c>
      <c r="AG236" s="31">
        <v>2</v>
      </c>
      <c r="AH236" s="136"/>
      <c r="AI236" s="33"/>
      <c r="AJ236" s="33"/>
      <c r="AK236" s="33"/>
      <c r="AL236" s="33"/>
      <c r="AM236" s="33"/>
      <c r="AN236" s="34">
        <v>0.27272727272727271</v>
      </c>
      <c r="AO236" s="33">
        <v>0.27272727272727271</v>
      </c>
      <c r="AP236" s="33">
        <v>0.27272727272727271</v>
      </c>
      <c r="AQ236" s="33">
        <v>0.18181818181818182</v>
      </c>
      <c r="AR236" s="35">
        <v>0</v>
      </c>
      <c r="AS236" s="251">
        <f t="shared" si="6"/>
        <v>0</v>
      </c>
      <c r="AT236" s="252">
        <f t="shared" si="7"/>
        <v>0</v>
      </c>
      <c r="AU236" s="29">
        <v>0</v>
      </c>
      <c r="AV236" s="30">
        <v>0</v>
      </c>
      <c r="AW236" s="31">
        <v>2</v>
      </c>
      <c r="AX236" s="136"/>
      <c r="AY236" s="33"/>
      <c r="AZ236" s="35"/>
      <c r="BA236" s="29">
        <v>57</v>
      </c>
      <c r="BB236" s="31">
        <v>49</v>
      </c>
      <c r="BC236" s="29">
        <v>13</v>
      </c>
      <c r="BD236" s="31">
        <v>8</v>
      </c>
      <c r="BE236" s="29">
        <v>3</v>
      </c>
      <c r="BF236" s="30">
        <v>3</v>
      </c>
      <c r="BG236" s="33">
        <v>1</v>
      </c>
      <c r="BH236" s="30">
        <v>2</v>
      </c>
      <c r="BI236" s="30">
        <v>2</v>
      </c>
      <c r="BJ236" s="35">
        <v>1</v>
      </c>
    </row>
    <row r="237" spans="1:62" x14ac:dyDescent="0.25">
      <c r="A237" s="134"/>
      <c r="B237" s="134"/>
      <c r="C237" s="134"/>
      <c r="D237" s="134" t="s">
        <v>217</v>
      </c>
      <c r="E237" s="134"/>
      <c r="F237" s="25">
        <v>3077</v>
      </c>
      <c r="G237" s="22">
        <v>2896</v>
      </c>
      <c r="H237" s="23">
        <v>0</v>
      </c>
      <c r="I237" s="23">
        <v>2176</v>
      </c>
      <c r="J237" s="24">
        <v>720</v>
      </c>
      <c r="K237" s="22">
        <v>0</v>
      </c>
      <c r="L237" s="23">
        <v>15</v>
      </c>
      <c r="M237" s="23">
        <v>10</v>
      </c>
      <c r="N237" s="23">
        <v>1</v>
      </c>
      <c r="O237" s="23">
        <v>20</v>
      </c>
      <c r="P237" s="23">
        <v>0</v>
      </c>
      <c r="Q237" s="23">
        <v>102</v>
      </c>
      <c r="R237" s="24">
        <v>22</v>
      </c>
      <c r="S237" s="25">
        <v>48</v>
      </c>
      <c r="T237" s="22">
        <v>294</v>
      </c>
      <c r="U237" s="23">
        <v>0</v>
      </c>
      <c r="V237" s="23">
        <v>99</v>
      </c>
      <c r="W237" s="23">
        <v>3</v>
      </c>
      <c r="X237" s="24">
        <v>192</v>
      </c>
      <c r="Y237" s="22">
        <v>2525</v>
      </c>
      <c r="Z237" s="24">
        <v>1385</v>
      </c>
      <c r="AA237" s="22">
        <v>2273</v>
      </c>
      <c r="AB237" s="24">
        <v>1253</v>
      </c>
      <c r="AC237" s="22">
        <v>1791</v>
      </c>
      <c r="AD237" s="134">
        <v>1040</v>
      </c>
      <c r="AE237" s="22">
        <v>2018</v>
      </c>
      <c r="AF237" s="23">
        <v>914</v>
      </c>
      <c r="AG237" s="24">
        <v>150</v>
      </c>
      <c r="AH237" s="135">
        <v>-9.9801980198019807E-2</v>
      </c>
      <c r="AI237" s="26">
        <v>-0.29069306930693067</v>
      </c>
      <c r="AJ237" s="26">
        <v>-0.21205455345358556</v>
      </c>
      <c r="AK237" s="26">
        <v>-9.5306859205776168E-2</v>
      </c>
      <c r="AL237" s="26">
        <v>-0.24909747292418771</v>
      </c>
      <c r="AM237" s="26">
        <v>-0.16999201915403034</v>
      </c>
      <c r="AN237" s="27">
        <v>0.61843922651933703</v>
      </c>
      <c r="AO237" s="26">
        <v>0.35911602209944754</v>
      </c>
      <c r="AP237" s="26">
        <v>0.31560773480662985</v>
      </c>
      <c r="AQ237" s="26">
        <v>5.1795580110497237E-2</v>
      </c>
      <c r="AR237" s="28">
        <v>7.5394105551747775E-3</v>
      </c>
      <c r="AS237" s="249">
        <f t="shared" si="6"/>
        <v>1.6574585635359115E-2</v>
      </c>
      <c r="AT237" s="250">
        <f t="shared" si="7"/>
        <v>-8.4944751381215475E-2</v>
      </c>
      <c r="AU237" s="22">
        <v>454</v>
      </c>
      <c r="AV237" s="23">
        <v>367</v>
      </c>
      <c r="AW237" s="24">
        <v>316</v>
      </c>
      <c r="AX237" s="135">
        <v>-0.19162995594713655</v>
      </c>
      <c r="AY237" s="26">
        <v>-0.30396475770925108</v>
      </c>
      <c r="AZ237" s="28">
        <v>-0.13896457765667575</v>
      </c>
      <c r="BA237" s="22">
        <v>55</v>
      </c>
      <c r="BB237" s="24">
        <v>50.5</v>
      </c>
      <c r="BC237" s="22">
        <v>8</v>
      </c>
      <c r="BD237" s="24">
        <v>7</v>
      </c>
      <c r="BE237" s="22">
        <v>1068</v>
      </c>
      <c r="BF237" s="23">
        <v>1791</v>
      </c>
      <c r="BG237" s="26">
        <v>0.59631490787269681</v>
      </c>
      <c r="BH237" s="23">
        <v>201</v>
      </c>
      <c r="BI237" s="23">
        <v>316</v>
      </c>
      <c r="BJ237" s="28">
        <v>0.63607594936708856</v>
      </c>
    </row>
    <row r="238" spans="1:62" x14ac:dyDescent="0.25">
      <c r="E238" t="s">
        <v>82</v>
      </c>
      <c r="F238" s="32">
        <v>2798</v>
      </c>
      <c r="G238" s="29">
        <v>2631</v>
      </c>
      <c r="H238" s="30">
        <v>0</v>
      </c>
      <c r="I238" s="30">
        <v>1912</v>
      </c>
      <c r="J238" s="31">
        <v>719</v>
      </c>
      <c r="K238" s="29">
        <v>0</v>
      </c>
      <c r="L238" s="30">
        <v>12</v>
      </c>
      <c r="M238" s="30">
        <v>10</v>
      </c>
      <c r="N238" s="30">
        <v>1</v>
      </c>
      <c r="O238" s="30">
        <v>11</v>
      </c>
      <c r="P238" s="30">
        <v>0</v>
      </c>
      <c r="Q238" s="30">
        <v>100</v>
      </c>
      <c r="R238" s="31">
        <v>22</v>
      </c>
      <c r="S238" s="32">
        <v>42</v>
      </c>
      <c r="T238" s="29">
        <v>274</v>
      </c>
      <c r="U238" s="30">
        <v>0</v>
      </c>
      <c r="V238" s="30">
        <v>97</v>
      </c>
      <c r="W238" s="30">
        <v>3</v>
      </c>
      <c r="X238" s="31">
        <v>174</v>
      </c>
      <c r="Y238" s="29">
        <v>2475</v>
      </c>
      <c r="Z238" s="31">
        <v>1361</v>
      </c>
      <c r="AA238" s="29">
        <v>2254</v>
      </c>
      <c r="AB238" s="31">
        <v>1236</v>
      </c>
      <c r="AC238" s="29">
        <v>1756</v>
      </c>
      <c r="AD238">
        <v>1009</v>
      </c>
      <c r="AE238" s="29">
        <v>1773</v>
      </c>
      <c r="AF238" s="30">
        <v>738</v>
      </c>
      <c r="AG238" s="31">
        <v>146</v>
      </c>
      <c r="AH238" s="136">
        <v>-8.9292929292929299E-2</v>
      </c>
      <c r="AI238" s="33">
        <v>-0.29050505050505049</v>
      </c>
      <c r="AJ238" s="33">
        <v>-0.22094055013309671</v>
      </c>
      <c r="AK238" s="33">
        <v>-9.184423218221896E-2</v>
      </c>
      <c r="AL238" s="33">
        <v>-0.25863335782512858</v>
      </c>
      <c r="AM238" s="33">
        <v>-0.1836569579288026</v>
      </c>
      <c r="AN238" s="34">
        <v>0.6674268339034588</v>
      </c>
      <c r="AO238" s="33">
        <v>0.38350437096161155</v>
      </c>
      <c r="AP238" s="33">
        <v>0.2805017103762828</v>
      </c>
      <c r="AQ238" s="33">
        <v>5.549220828582288E-2</v>
      </c>
      <c r="AR238" s="35">
        <v>8.2924990576705611E-3</v>
      </c>
      <c r="AS238" s="251">
        <f t="shared" si="6"/>
        <v>1.596351197263398E-2</v>
      </c>
      <c r="AT238" s="252">
        <f t="shared" si="7"/>
        <v>-8.8179399467882932E-2</v>
      </c>
      <c r="AU238" s="29">
        <v>434</v>
      </c>
      <c r="AV238" s="30">
        <v>355</v>
      </c>
      <c r="AW238" s="31">
        <v>298</v>
      </c>
      <c r="AX238" s="136">
        <v>-0.18202764976958524</v>
      </c>
      <c r="AY238" s="33">
        <v>-0.31336405529953915</v>
      </c>
      <c r="AZ238" s="35">
        <v>-0.16056338028169015</v>
      </c>
      <c r="BA238" s="29">
        <v>55</v>
      </c>
      <c r="BB238" s="31">
        <v>51</v>
      </c>
      <c r="BC238" s="29">
        <v>9</v>
      </c>
      <c r="BD238" s="31">
        <v>7</v>
      </c>
      <c r="BE238" s="29">
        <v>1041</v>
      </c>
      <c r="BF238" s="30">
        <v>1756</v>
      </c>
      <c r="BG238" s="33">
        <v>0.59282460136674264</v>
      </c>
      <c r="BH238" s="30">
        <v>187</v>
      </c>
      <c r="BI238" s="30">
        <v>298</v>
      </c>
      <c r="BJ238" s="35">
        <v>0.62751677852348997</v>
      </c>
    </row>
    <row r="239" spans="1:62" x14ac:dyDescent="0.25">
      <c r="E239" t="s">
        <v>203</v>
      </c>
      <c r="F239" s="32">
        <v>103</v>
      </c>
      <c r="G239" s="29">
        <v>100</v>
      </c>
      <c r="H239" s="30">
        <v>0</v>
      </c>
      <c r="I239" s="30">
        <v>100</v>
      </c>
      <c r="J239" s="31">
        <v>0</v>
      </c>
      <c r="K239" s="29">
        <v>0</v>
      </c>
      <c r="L239" s="30">
        <v>3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1">
        <v>0</v>
      </c>
      <c r="S239" s="32">
        <v>0</v>
      </c>
      <c r="T239" s="29"/>
      <c r="U239" s="30"/>
      <c r="V239" s="30"/>
      <c r="W239" s="30"/>
      <c r="X239" s="31"/>
      <c r="Y239" s="29">
        <v>0</v>
      </c>
      <c r="Z239" s="31">
        <v>0</v>
      </c>
      <c r="AA239" s="29">
        <v>0</v>
      </c>
      <c r="AB239" s="31">
        <v>0</v>
      </c>
      <c r="AC239" s="29">
        <v>2</v>
      </c>
      <c r="AD239">
        <v>2</v>
      </c>
      <c r="AE239" s="29">
        <v>98</v>
      </c>
      <c r="AF239" s="30">
        <v>98</v>
      </c>
      <c r="AG239" s="31">
        <v>0</v>
      </c>
      <c r="AH239" s="136"/>
      <c r="AI239" s="33"/>
      <c r="AJ239" s="33"/>
      <c r="AK239" s="33"/>
      <c r="AL239" s="33"/>
      <c r="AM239" s="33"/>
      <c r="AN239" s="34">
        <v>0.02</v>
      </c>
      <c r="AO239" s="33">
        <v>0.02</v>
      </c>
      <c r="AP239" s="33">
        <v>0.98</v>
      </c>
      <c r="AQ239" s="33">
        <v>0</v>
      </c>
      <c r="AR239" s="35">
        <v>0</v>
      </c>
      <c r="AS239" s="251">
        <f t="shared" si="6"/>
        <v>0</v>
      </c>
      <c r="AT239" s="252">
        <f t="shared" si="7"/>
        <v>0</v>
      </c>
      <c r="AU239" s="29">
        <v>0</v>
      </c>
      <c r="AV239" s="30">
        <v>0</v>
      </c>
      <c r="AW239" s="31">
        <v>2</v>
      </c>
      <c r="AX239" s="136"/>
      <c r="AY239" s="33"/>
      <c r="AZ239" s="35"/>
      <c r="BA239" s="29">
        <v>16</v>
      </c>
      <c r="BB239" s="31">
        <v>16</v>
      </c>
      <c r="BC239" s="29">
        <v>0.5</v>
      </c>
      <c r="BD239" s="31">
        <v>0.5</v>
      </c>
      <c r="BE239" s="29">
        <v>1</v>
      </c>
      <c r="BF239" s="30">
        <v>2</v>
      </c>
      <c r="BG239" s="33">
        <v>0.5</v>
      </c>
      <c r="BH239" s="30">
        <v>1</v>
      </c>
      <c r="BI239" s="30">
        <v>2</v>
      </c>
      <c r="BJ239" s="35">
        <v>0.5</v>
      </c>
    </row>
    <row r="240" spans="1:62" x14ac:dyDescent="0.25">
      <c r="E240" t="s">
        <v>68</v>
      </c>
      <c r="F240" s="32">
        <v>60</v>
      </c>
      <c r="G240" s="29">
        <v>49</v>
      </c>
      <c r="H240" s="30">
        <v>0</v>
      </c>
      <c r="I240" s="30">
        <v>49</v>
      </c>
      <c r="J240" s="31">
        <v>0</v>
      </c>
      <c r="K240" s="29">
        <v>0</v>
      </c>
      <c r="L240" s="30">
        <v>0</v>
      </c>
      <c r="M240" s="30">
        <v>0</v>
      </c>
      <c r="N240" s="30">
        <v>0</v>
      </c>
      <c r="O240" s="30">
        <v>9</v>
      </c>
      <c r="P240" s="30">
        <v>0</v>
      </c>
      <c r="Q240" s="30">
        <v>2</v>
      </c>
      <c r="R240" s="31">
        <v>0</v>
      </c>
      <c r="S240" s="32">
        <v>1</v>
      </c>
      <c r="T240" s="29">
        <v>20</v>
      </c>
      <c r="U240" s="30">
        <v>0</v>
      </c>
      <c r="V240" s="30">
        <v>2</v>
      </c>
      <c r="W240" s="30">
        <v>0</v>
      </c>
      <c r="X240" s="31">
        <v>18</v>
      </c>
      <c r="Y240" s="29">
        <v>50</v>
      </c>
      <c r="Z240" s="31">
        <v>24</v>
      </c>
      <c r="AA240" s="29">
        <v>19</v>
      </c>
      <c r="AB240" s="31">
        <v>17</v>
      </c>
      <c r="AC240" s="29">
        <v>10</v>
      </c>
      <c r="AD240">
        <v>10</v>
      </c>
      <c r="AE240" s="29">
        <v>50</v>
      </c>
      <c r="AF240" s="30">
        <v>24</v>
      </c>
      <c r="AG240" s="31">
        <v>1</v>
      </c>
      <c r="AH240" s="136">
        <v>-0.62</v>
      </c>
      <c r="AI240" s="33">
        <v>-0.8</v>
      </c>
      <c r="AJ240" s="33">
        <v>-0.47368421052631576</v>
      </c>
      <c r="AK240" s="33">
        <v>-0.29166666666666669</v>
      </c>
      <c r="AL240" s="33">
        <v>-0.58333333333333337</v>
      </c>
      <c r="AM240" s="33">
        <v>-0.41176470588235292</v>
      </c>
      <c r="AN240" s="34">
        <v>0.20408163265306123</v>
      </c>
      <c r="AO240" s="33">
        <v>0.20408163265306123</v>
      </c>
      <c r="AP240" s="33">
        <v>0.48979591836734693</v>
      </c>
      <c r="AQ240" s="33">
        <v>2.0408163265306121E-2</v>
      </c>
      <c r="AR240" s="35">
        <v>0</v>
      </c>
      <c r="AS240" s="251">
        <f t="shared" si="6"/>
        <v>2.0408163265306121E-2</v>
      </c>
      <c r="AT240" s="252">
        <f t="shared" si="7"/>
        <v>-0.38775510204081631</v>
      </c>
      <c r="AU240" s="29">
        <v>24</v>
      </c>
      <c r="AV240" s="30">
        <v>13</v>
      </c>
      <c r="AW240" s="31">
        <v>7</v>
      </c>
      <c r="AX240" s="136">
        <v>-0.45833333333333331</v>
      </c>
      <c r="AY240" s="33">
        <v>-0.70833333333333337</v>
      </c>
      <c r="AZ240" s="35">
        <v>-0.46153846153846156</v>
      </c>
      <c r="BA240" s="29">
        <v>53</v>
      </c>
      <c r="BB240" s="31">
        <v>44</v>
      </c>
      <c r="BC240" s="29">
        <v>5</v>
      </c>
      <c r="BD240" s="31">
        <v>4</v>
      </c>
      <c r="BE240" s="29">
        <v>8</v>
      </c>
      <c r="BF240" s="30">
        <v>10</v>
      </c>
      <c r="BG240" s="33">
        <v>0.8</v>
      </c>
      <c r="BH240" s="30">
        <v>5</v>
      </c>
      <c r="BI240" s="30">
        <v>7</v>
      </c>
      <c r="BJ240" s="35">
        <v>0.7142857142857143</v>
      </c>
    </row>
    <row r="241" spans="1:62" x14ac:dyDescent="0.25">
      <c r="E241" t="s">
        <v>97</v>
      </c>
      <c r="F241" s="32">
        <v>116</v>
      </c>
      <c r="G241" s="29">
        <v>116</v>
      </c>
      <c r="H241" s="30">
        <v>0</v>
      </c>
      <c r="I241" s="30">
        <v>115</v>
      </c>
      <c r="J241" s="31">
        <v>1</v>
      </c>
      <c r="K241" s="29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1">
        <v>0</v>
      </c>
      <c r="S241" s="32">
        <v>5</v>
      </c>
      <c r="T241" s="29"/>
      <c r="U241" s="30"/>
      <c r="V241" s="30"/>
      <c r="W241" s="30"/>
      <c r="X241" s="31"/>
      <c r="Y241" s="29">
        <v>0</v>
      </c>
      <c r="Z241" s="31">
        <v>0</v>
      </c>
      <c r="AA241" s="29">
        <v>0</v>
      </c>
      <c r="AB241" s="31">
        <v>0</v>
      </c>
      <c r="AC241" s="29">
        <v>23</v>
      </c>
      <c r="AD241">
        <v>19</v>
      </c>
      <c r="AE241" s="29">
        <v>97</v>
      </c>
      <c r="AF241" s="30">
        <v>54</v>
      </c>
      <c r="AG241" s="31">
        <v>3</v>
      </c>
      <c r="AH241" s="136"/>
      <c r="AI241" s="33"/>
      <c r="AJ241" s="33"/>
      <c r="AK241" s="33"/>
      <c r="AL241" s="33"/>
      <c r="AM241" s="33"/>
      <c r="AN241" s="34">
        <v>0.19827586206896552</v>
      </c>
      <c r="AO241" s="33">
        <v>0.16379310344827586</v>
      </c>
      <c r="AP241" s="33">
        <v>0.46551724137931033</v>
      </c>
      <c r="AQ241" s="33">
        <v>2.5862068965517241E-2</v>
      </c>
      <c r="AR241" s="35">
        <v>0</v>
      </c>
      <c r="AS241" s="251">
        <f t="shared" si="6"/>
        <v>4.3103448275862072E-2</v>
      </c>
      <c r="AT241" s="252">
        <f t="shared" si="7"/>
        <v>4.3103448275862072E-2</v>
      </c>
      <c r="AU241" s="29">
        <v>0</v>
      </c>
      <c r="AV241" s="30">
        <v>0</v>
      </c>
      <c r="AW241" s="31">
        <v>20</v>
      </c>
      <c r="AX241" s="136"/>
      <c r="AY241" s="33"/>
      <c r="AZ241" s="35"/>
      <c r="BA241" s="29">
        <v>51</v>
      </c>
      <c r="BB241" s="31">
        <v>50</v>
      </c>
      <c r="BC241" s="29">
        <v>4</v>
      </c>
      <c r="BD241" s="31">
        <v>4.5</v>
      </c>
      <c r="BE241" s="29">
        <v>18</v>
      </c>
      <c r="BF241" s="30">
        <v>23</v>
      </c>
      <c r="BG241" s="33">
        <v>0.78260869565217395</v>
      </c>
      <c r="BH241" s="30">
        <v>15</v>
      </c>
      <c r="BI241" s="30">
        <v>20</v>
      </c>
      <c r="BJ241" s="35">
        <v>0.75</v>
      </c>
    </row>
    <row r="242" spans="1:62" x14ac:dyDescent="0.25">
      <c r="A242" s="162"/>
      <c r="B242" s="162"/>
      <c r="C242" s="162"/>
      <c r="D242" s="162" t="s">
        <v>218</v>
      </c>
      <c r="E242" s="162"/>
      <c r="F242" s="163"/>
      <c r="G242" s="164"/>
      <c r="H242" s="165"/>
      <c r="I242" s="165"/>
      <c r="J242" s="166"/>
      <c r="K242" s="164"/>
      <c r="L242" s="165"/>
      <c r="M242" s="165"/>
      <c r="N242" s="165"/>
      <c r="O242" s="165"/>
      <c r="P242" s="165"/>
      <c r="Q242" s="165"/>
      <c r="R242" s="166"/>
      <c r="S242" s="163"/>
      <c r="T242" s="164"/>
      <c r="U242" s="165"/>
      <c r="V242" s="165"/>
      <c r="W242" s="165"/>
      <c r="X242" s="166"/>
      <c r="Y242" s="164"/>
      <c r="Z242" s="166"/>
      <c r="AA242" s="164"/>
      <c r="AB242" s="166"/>
      <c r="AC242" s="164"/>
      <c r="AD242" s="162">
        <v>1301</v>
      </c>
      <c r="AE242" s="164"/>
      <c r="AF242" s="165"/>
      <c r="AG242" s="166"/>
      <c r="AH242" s="167"/>
      <c r="AI242" s="168"/>
      <c r="AJ242" s="168"/>
      <c r="AK242" s="168"/>
      <c r="AL242" s="168"/>
      <c r="AM242" s="168"/>
      <c r="AN242" s="169"/>
      <c r="AO242" s="168"/>
      <c r="AP242" s="168"/>
      <c r="AQ242" s="168"/>
      <c r="AR242" s="170"/>
      <c r="AS242" s="249" t="e">
        <f t="shared" si="6"/>
        <v>#DIV/0!</v>
      </c>
      <c r="AT242" s="250" t="e">
        <f t="shared" si="7"/>
        <v>#DIV/0!</v>
      </c>
      <c r="AU242" s="164">
        <v>605</v>
      </c>
      <c r="AV242" s="165">
        <v>527</v>
      </c>
      <c r="AW242" s="166">
        <v>430</v>
      </c>
      <c r="AX242" s="167">
        <v>-0.12892561983471074</v>
      </c>
      <c r="AY242" s="168">
        <v>-0.28925619834710742</v>
      </c>
      <c r="AZ242" s="170">
        <v>-0.18406072106261859</v>
      </c>
      <c r="BA242" s="164">
        <v>45</v>
      </c>
      <c r="BB242" s="166">
        <v>41.5</v>
      </c>
      <c r="BC242" s="164">
        <v>6</v>
      </c>
      <c r="BD242" s="166">
        <v>5</v>
      </c>
      <c r="BE242" s="164">
        <v>1232</v>
      </c>
      <c r="BF242" s="165">
        <v>2236</v>
      </c>
      <c r="BG242" s="168">
        <v>0.55098389982110907</v>
      </c>
      <c r="BH242" s="165">
        <v>256</v>
      </c>
      <c r="BI242" s="165">
        <v>430</v>
      </c>
      <c r="BJ242" s="170">
        <v>0.59534883720930232</v>
      </c>
    </row>
    <row r="243" spans="1:62" x14ac:dyDescent="0.25">
      <c r="E243" t="s">
        <v>82</v>
      </c>
      <c r="F243" s="32">
        <v>897</v>
      </c>
      <c r="G243" s="29">
        <v>513</v>
      </c>
      <c r="H243" s="30">
        <v>361</v>
      </c>
      <c r="I243" s="30">
        <v>485</v>
      </c>
      <c r="J243" s="31">
        <v>389</v>
      </c>
      <c r="K243" s="29">
        <v>0</v>
      </c>
      <c r="L243" s="30">
        <v>4</v>
      </c>
      <c r="M243" s="30">
        <v>5</v>
      </c>
      <c r="N243" s="30">
        <v>0</v>
      </c>
      <c r="O243" s="30">
        <v>8</v>
      </c>
      <c r="P243" s="30">
        <v>0</v>
      </c>
      <c r="Q243" s="30">
        <v>2</v>
      </c>
      <c r="R243" s="31">
        <v>4</v>
      </c>
      <c r="S243" s="32">
        <v>1</v>
      </c>
      <c r="T243" s="29">
        <v>6</v>
      </c>
      <c r="U243" s="30">
        <v>0</v>
      </c>
      <c r="V243" s="30">
        <v>2</v>
      </c>
      <c r="W243" s="30">
        <v>3</v>
      </c>
      <c r="X243" s="31">
        <v>1</v>
      </c>
      <c r="Y243" s="29">
        <v>596</v>
      </c>
      <c r="Z243" s="31">
        <v>236</v>
      </c>
      <c r="AA243" s="29">
        <v>523</v>
      </c>
      <c r="AB243" s="31">
        <v>217</v>
      </c>
      <c r="AC243" s="29">
        <v>445</v>
      </c>
      <c r="AD243">
        <v>186</v>
      </c>
      <c r="AE243" s="29">
        <v>346</v>
      </c>
      <c r="AF243" s="30">
        <v>238</v>
      </c>
      <c r="AG243" s="31">
        <v>19</v>
      </c>
      <c r="AH243" s="136">
        <v>-0.12248322147651007</v>
      </c>
      <c r="AI243" s="33">
        <v>-0.25335570469798657</v>
      </c>
      <c r="AJ243" s="33">
        <v>-0.14913957934990441</v>
      </c>
      <c r="AK243" s="33">
        <v>-8.050847457627118E-2</v>
      </c>
      <c r="AL243" s="33">
        <v>-0.21186440677966101</v>
      </c>
      <c r="AM243" s="33">
        <v>-0.14285714285714285</v>
      </c>
      <c r="AN243" s="34">
        <v>0.86744639376218324</v>
      </c>
      <c r="AO243" s="33">
        <v>0.36257309941520466</v>
      </c>
      <c r="AP243" s="33">
        <v>0.46393762183235865</v>
      </c>
      <c r="AQ243" s="33">
        <v>3.7037037037037035E-2</v>
      </c>
      <c r="AR243" s="35">
        <v>7.7369439071566732E-3</v>
      </c>
      <c r="AS243" s="251">
        <f t="shared" si="6"/>
        <v>1.9493177387914229E-3</v>
      </c>
      <c r="AT243" s="252">
        <f t="shared" si="7"/>
        <v>-9.7465886939571145E-3</v>
      </c>
      <c r="AU243" s="29">
        <v>226</v>
      </c>
      <c r="AV243" s="30">
        <v>192</v>
      </c>
      <c r="AW243" s="31">
        <v>139</v>
      </c>
      <c r="AX243" s="136">
        <v>-0.15044247787610621</v>
      </c>
      <c r="AY243" s="33">
        <v>-0.38495575221238937</v>
      </c>
      <c r="AZ243" s="35">
        <v>-0.27604166666666669</v>
      </c>
      <c r="BA243" s="29">
        <v>52</v>
      </c>
      <c r="BB243" s="31">
        <v>53.5</v>
      </c>
      <c r="BC243" s="29">
        <v>11</v>
      </c>
      <c r="BD243" s="31">
        <v>8</v>
      </c>
      <c r="BE243" s="29">
        <v>309</v>
      </c>
      <c r="BF243" s="30">
        <v>445</v>
      </c>
      <c r="BG243" s="33">
        <v>0.69438202247191017</v>
      </c>
      <c r="BH243" s="30">
        <v>82</v>
      </c>
      <c r="BI243" s="30">
        <v>139</v>
      </c>
      <c r="BJ243" s="35">
        <v>0.58992805755395683</v>
      </c>
    </row>
    <row r="244" spans="1:62" x14ac:dyDescent="0.25">
      <c r="E244" t="s">
        <v>219</v>
      </c>
      <c r="F244" s="32">
        <v>457</v>
      </c>
      <c r="G244" s="29">
        <v>0</v>
      </c>
      <c r="H244" s="30">
        <v>457</v>
      </c>
      <c r="I244" s="30">
        <v>0</v>
      </c>
      <c r="J244" s="31">
        <v>457</v>
      </c>
      <c r="K244" s="29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1">
        <v>0</v>
      </c>
      <c r="S244" s="32">
        <v>0</v>
      </c>
      <c r="T244" s="29"/>
      <c r="U244" s="30"/>
      <c r="V244" s="30"/>
      <c r="W244" s="30"/>
      <c r="X244" s="31"/>
      <c r="Y244" s="29"/>
      <c r="Z244" s="31"/>
      <c r="AA244" s="29"/>
      <c r="AB244" s="31"/>
      <c r="AC244" s="29"/>
      <c r="AE244" s="29">
        <v>0</v>
      </c>
      <c r="AF244" s="30">
        <v>0</v>
      </c>
      <c r="AG244" s="31">
        <v>0</v>
      </c>
      <c r="AH244" s="136"/>
      <c r="AI244" s="33"/>
      <c r="AJ244" s="33"/>
      <c r="AK244" s="33"/>
      <c r="AL244" s="33"/>
      <c r="AM244" s="33"/>
      <c r="AN244" s="34"/>
      <c r="AO244" s="33"/>
      <c r="AP244" s="33"/>
      <c r="AQ244" s="33"/>
      <c r="AR244" s="35"/>
      <c r="AS244" s="251" t="e">
        <f t="shared" si="6"/>
        <v>#DIV/0!</v>
      </c>
      <c r="AT244" s="252" t="e">
        <f t="shared" si="7"/>
        <v>#DIV/0!</v>
      </c>
      <c r="AU244" s="29">
        <v>0</v>
      </c>
      <c r="AV244" s="30">
        <v>0</v>
      </c>
      <c r="AW244" s="31">
        <v>0</v>
      </c>
      <c r="AX244" s="136"/>
      <c r="AY244" s="33"/>
      <c r="AZ244" s="35"/>
      <c r="BA244" s="29"/>
      <c r="BB244" s="31"/>
      <c r="BC244" s="29"/>
      <c r="BD244" s="31"/>
      <c r="BE244" s="29">
        <v>0</v>
      </c>
      <c r="BF244" s="30">
        <v>0</v>
      </c>
      <c r="BG244" s="33"/>
      <c r="BH244" s="30">
        <v>0</v>
      </c>
      <c r="BI244" s="30">
        <v>0</v>
      </c>
      <c r="BJ244" s="35"/>
    </row>
    <row r="245" spans="1:62" x14ac:dyDescent="0.25">
      <c r="E245" t="s">
        <v>203</v>
      </c>
      <c r="F245" s="32">
        <v>7125</v>
      </c>
      <c r="G245" s="29">
        <v>7024</v>
      </c>
      <c r="H245" s="30">
        <v>14</v>
      </c>
      <c r="I245" s="30">
        <v>7022</v>
      </c>
      <c r="J245" s="31">
        <v>16</v>
      </c>
      <c r="K245" s="29">
        <v>0</v>
      </c>
      <c r="L245" s="30">
        <v>65</v>
      </c>
      <c r="M245" s="30">
        <v>0</v>
      </c>
      <c r="N245" s="30">
        <v>1</v>
      </c>
      <c r="O245" s="30">
        <v>2</v>
      </c>
      <c r="P245" s="30">
        <v>0</v>
      </c>
      <c r="Q245" s="30">
        <v>4</v>
      </c>
      <c r="R245" s="31">
        <v>15</v>
      </c>
      <c r="S245" s="32">
        <v>0</v>
      </c>
      <c r="T245" s="29">
        <v>267</v>
      </c>
      <c r="U245" s="30">
        <v>0</v>
      </c>
      <c r="V245" s="30">
        <v>4</v>
      </c>
      <c r="W245" s="30">
        <v>0</v>
      </c>
      <c r="X245" s="31">
        <v>263</v>
      </c>
      <c r="Y245" s="29">
        <v>931</v>
      </c>
      <c r="Z245" s="31">
        <v>773</v>
      </c>
      <c r="AA245" s="29">
        <v>653</v>
      </c>
      <c r="AB245" s="31">
        <v>527</v>
      </c>
      <c r="AC245" s="29">
        <v>674</v>
      </c>
      <c r="AD245">
        <v>566</v>
      </c>
      <c r="AE245" s="29">
        <v>6478</v>
      </c>
      <c r="AF245" s="30">
        <v>5487</v>
      </c>
      <c r="AG245" s="31">
        <v>65</v>
      </c>
      <c r="AH245" s="136">
        <v>-0.29860365198711064</v>
      </c>
      <c r="AI245" s="33">
        <v>-0.27604726100966703</v>
      </c>
      <c r="AJ245" s="33">
        <v>3.2159264931087291E-2</v>
      </c>
      <c r="AK245" s="33">
        <v>-0.31824062095730921</v>
      </c>
      <c r="AL245" s="33">
        <v>-0.26778783958602848</v>
      </c>
      <c r="AM245" s="33">
        <v>7.4003795066413663E-2</v>
      </c>
      <c r="AN245" s="34">
        <v>9.5956719817767655E-2</v>
      </c>
      <c r="AO245" s="33">
        <v>8.058086560364465E-2</v>
      </c>
      <c r="AP245" s="33">
        <v>0.78117881548974943</v>
      </c>
      <c r="AQ245" s="33">
        <v>9.2539863325740313E-3</v>
      </c>
      <c r="AR245" s="35">
        <v>2.1309845148458589E-3</v>
      </c>
      <c r="AS245" s="251">
        <f t="shared" si="6"/>
        <v>0</v>
      </c>
      <c r="AT245" s="252">
        <f t="shared" si="7"/>
        <v>-3.8012528473804097E-2</v>
      </c>
      <c r="AU245" s="29">
        <v>73</v>
      </c>
      <c r="AV245" s="30">
        <v>68</v>
      </c>
      <c r="AW245" s="31">
        <v>66</v>
      </c>
      <c r="AX245" s="136">
        <v>-6.8493150684931503E-2</v>
      </c>
      <c r="AY245" s="33">
        <v>-9.5890410958904104E-2</v>
      </c>
      <c r="AZ245" s="35">
        <v>-2.9411764705882353E-2</v>
      </c>
      <c r="BA245" s="29">
        <v>43</v>
      </c>
      <c r="BB245" s="31">
        <v>38</v>
      </c>
      <c r="BC245" s="29">
        <v>4</v>
      </c>
      <c r="BD245" s="31">
        <v>3.5</v>
      </c>
      <c r="BE245" s="29">
        <v>338</v>
      </c>
      <c r="BF245" s="30">
        <v>674</v>
      </c>
      <c r="BG245" s="33">
        <v>0.50148367952522255</v>
      </c>
      <c r="BH245" s="30">
        <v>43</v>
      </c>
      <c r="BI245" s="30">
        <v>66</v>
      </c>
      <c r="BJ245" s="35">
        <v>0.65151515151515149</v>
      </c>
    </row>
    <row r="246" spans="1:62" x14ac:dyDescent="0.25">
      <c r="E246" t="s">
        <v>220</v>
      </c>
      <c r="F246" s="32">
        <v>232</v>
      </c>
      <c r="G246" s="29">
        <v>231</v>
      </c>
      <c r="H246" s="30">
        <v>0</v>
      </c>
      <c r="I246" s="30">
        <v>231</v>
      </c>
      <c r="J246" s="31">
        <v>0</v>
      </c>
      <c r="K246" s="29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1</v>
      </c>
      <c r="R246" s="31">
        <v>0</v>
      </c>
      <c r="S246" s="32">
        <v>0</v>
      </c>
      <c r="T246" s="29"/>
      <c r="U246" s="30"/>
      <c r="V246" s="30"/>
      <c r="W246" s="30"/>
      <c r="X246" s="31"/>
      <c r="Y246" s="29"/>
      <c r="Z246" s="31"/>
      <c r="AA246" s="29"/>
      <c r="AB246" s="31"/>
      <c r="AC246" s="29"/>
      <c r="AE246" s="29">
        <v>232</v>
      </c>
      <c r="AF246" s="30">
        <v>232</v>
      </c>
      <c r="AG246" s="31">
        <v>0</v>
      </c>
      <c r="AH246" s="136"/>
      <c r="AI246" s="33"/>
      <c r="AJ246" s="33"/>
      <c r="AK246" s="33"/>
      <c r="AL246" s="33"/>
      <c r="AM246" s="33"/>
      <c r="AN246" s="34">
        <v>0</v>
      </c>
      <c r="AO246" s="33">
        <v>0</v>
      </c>
      <c r="AP246" s="33">
        <v>1.0043290043290043</v>
      </c>
      <c r="AQ246" s="33">
        <v>0</v>
      </c>
      <c r="AR246" s="35">
        <v>0</v>
      </c>
      <c r="AS246" s="251">
        <f t="shared" si="6"/>
        <v>0</v>
      </c>
      <c r="AT246" s="252">
        <f t="shared" si="7"/>
        <v>0</v>
      </c>
      <c r="AU246" s="29">
        <v>0</v>
      </c>
      <c r="AV246" s="30">
        <v>0</v>
      </c>
      <c r="AW246" s="31">
        <v>0</v>
      </c>
      <c r="AX246" s="136"/>
      <c r="AY246" s="33"/>
      <c r="AZ246" s="35"/>
      <c r="BA246" s="29"/>
      <c r="BB246" s="31"/>
      <c r="BC246" s="29"/>
      <c r="BD246" s="31"/>
      <c r="BE246" s="29">
        <v>0</v>
      </c>
      <c r="BF246" s="30">
        <v>0</v>
      </c>
      <c r="BG246" s="33"/>
      <c r="BH246" s="30">
        <v>0</v>
      </c>
      <c r="BI246" s="30">
        <v>0</v>
      </c>
      <c r="BJ246" s="35"/>
    </row>
    <row r="247" spans="1:62" x14ac:dyDescent="0.25">
      <c r="E247" t="s">
        <v>68</v>
      </c>
      <c r="F247" s="32">
        <v>47</v>
      </c>
      <c r="G247" s="29">
        <v>47</v>
      </c>
      <c r="H247" s="30">
        <v>0</v>
      </c>
      <c r="I247" s="30">
        <v>42</v>
      </c>
      <c r="J247" s="31">
        <v>5</v>
      </c>
      <c r="K247" s="29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1">
        <v>0</v>
      </c>
      <c r="S247" s="32">
        <v>0</v>
      </c>
      <c r="T247" s="29">
        <v>2</v>
      </c>
      <c r="U247" s="30">
        <v>0</v>
      </c>
      <c r="V247" s="30">
        <v>0</v>
      </c>
      <c r="W247" s="30">
        <v>0</v>
      </c>
      <c r="X247" s="31">
        <v>2</v>
      </c>
      <c r="Y247" s="29">
        <v>17</v>
      </c>
      <c r="Z247" s="31">
        <v>8</v>
      </c>
      <c r="AA247" s="29">
        <v>24</v>
      </c>
      <c r="AB247" s="31">
        <v>6</v>
      </c>
      <c r="AC247" s="29">
        <v>13</v>
      </c>
      <c r="AD247">
        <v>4</v>
      </c>
      <c r="AE247" s="29">
        <v>43</v>
      </c>
      <c r="AF247" s="30">
        <v>40</v>
      </c>
      <c r="AG247" s="31">
        <v>1</v>
      </c>
      <c r="AH247" s="136">
        <v>0.41176470588235292</v>
      </c>
      <c r="AI247" s="33">
        <v>-0.23529411764705882</v>
      </c>
      <c r="AJ247" s="33">
        <v>-0.45833333333333331</v>
      </c>
      <c r="AK247" s="33">
        <v>-0.25</v>
      </c>
      <c r="AL247" s="33">
        <v>-0.5</v>
      </c>
      <c r="AM247" s="33">
        <v>-0.33333333333333331</v>
      </c>
      <c r="AN247" s="34">
        <v>0.27659574468085107</v>
      </c>
      <c r="AO247" s="33">
        <v>8.5106382978723402E-2</v>
      </c>
      <c r="AP247" s="33">
        <v>0.85106382978723405</v>
      </c>
      <c r="AQ247" s="33">
        <v>2.1276595744680851E-2</v>
      </c>
      <c r="AR247" s="35">
        <v>0</v>
      </c>
      <c r="AS247" s="251">
        <f t="shared" si="6"/>
        <v>0</v>
      </c>
      <c r="AT247" s="252">
        <f t="shared" si="7"/>
        <v>-4.2553191489361701E-2</v>
      </c>
      <c r="AU247" s="29">
        <v>13</v>
      </c>
      <c r="AV247" s="30">
        <v>19</v>
      </c>
      <c r="AW247" s="31">
        <v>11</v>
      </c>
      <c r="AX247" s="136">
        <v>0.46153846153846156</v>
      </c>
      <c r="AY247" s="33">
        <v>-0.15384615384615385</v>
      </c>
      <c r="AZ247" s="35">
        <v>-0.42105263157894735</v>
      </c>
      <c r="BA247" s="29">
        <v>41</v>
      </c>
      <c r="BB247" s="31">
        <v>41</v>
      </c>
      <c r="BC247" s="29">
        <v>2</v>
      </c>
      <c r="BD247" s="31">
        <v>2</v>
      </c>
      <c r="BE247" s="29">
        <v>10</v>
      </c>
      <c r="BF247" s="30">
        <v>13</v>
      </c>
      <c r="BG247" s="33">
        <v>0.76923076923076927</v>
      </c>
      <c r="BH247" s="30">
        <v>8</v>
      </c>
      <c r="BI247" s="30">
        <v>11</v>
      </c>
      <c r="BJ247" s="35">
        <v>0.72727272727272729</v>
      </c>
    </row>
    <row r="248" spans="1:62" x14ac:dyDescent="0.25">
      <c r="E248" t="s">
        <v>221</v>
      </c>
      <c r="F248" s="32">
        <v>1551</v>
      </c>
      <c r="G248" s="29">
        <v>1509</v>
      </c>
      <c r="H248" s="30">
        <v>0</v>
      </c>
      <c r="I248" s="30">
        <v>1063</v>
      </c>
      <c r="J248" s="31">
        <v>446</v>
      </c>
      <c r="K248" s="29">
        <v>0</v>
      </c>
      <c r="L248" s="30">
        <v>18</v>
      </c>
      <c r="M248" s="30">
        <v>3</v>
      </c>
      <c r="N248" s="30">
        <v>1</v>
      </c>
      <c r="O248" s="30">
        <v>2</v>
      </c>
      <c r="P248" s="30">
        <v>0</v>
      </c>
      <c r="Q248" s="30">
        <v>5</v>
      </c>
      <c r="R248" s="31">
        <v>12</v>
      </c>
      <c r="S248" s="32">
        <v>103</v>
      </c>
      <c r="T248" s="29">
        <v>389</v>
      </c>
      <c r="U248" s="30">
        <v>0</v>
      </c>
      <c r="V248" s="30">
        <v>2</v>
      </c>
      <c r="W248" s="30">
        <v>2</v>
      </c>
      <c r="X248" s="31">
        <v>385</v>
      </c>
      <c r="Y248" s="29">
        <v>1136</v>
      </c>
      <c r="Z248" s="31">
        <v>563</v>
      </c>
      <c r="AA248" s="29">
        <v>929</v>
      </c>
      <c r="AB248" s="31">
        <v>495</v>
      </c>
      <c r="AC248" s="29">
        <v>1097</v>
      </c>
      <c r="AD248">
        <v>541</v>
      </c>
      <c r="AE248" s="29">
        <v>989</v>
      </c>
      <c r="AF248" s="30">
        <v>653</v>
      </c>
      <c r="AG248" s="31">
        <v>130</v>
      </c>
      <c r="AH248" s="136">
        <v>-0.18221830985915494</v>
      </c>
      <c r="AI248" s="33">
        <v>-3.4330985915492961E-2</v>
      </c>
      <c r="AJ248" s="33">
        <v>0.18083961248654468</v>
      </c>
      <c r="AK248" s="33">
        <v>-0.12078152753108348</v>
      </c>
      <c r="AL248" s="33">
        <v>-3.9076376554174071E-2</v>
      </c>
      <c r="AM248" s="33">
        <v>9.2929292929292931E-2</v>
      </c>
      <c r="AN248" s="34">
        <v>0.72697150430748836</v>
      </c>
      <c r="AO248" s="33">
        <v>0.35851557322730288</v>
      </c>
      <c r="AP248" s="33">
        <v>0.43273691186216034</v>
      </c>
      <c r="AQ248" s="33">
        <v>8.614976805831677E-2</v>
      </c>
      <c r="AR248" s="35">
        <v>7.889546351084813E-3</v>
      </c>
      <c r="AS248" s="251">
        <f t="shared" si="6"/>
        <v>6.8257123923127896E-2</v>
      </c>
      <c r="AT248" s="252">
        <f t="shared" si="7"/>
        <v>-0.18952948972829689</v>
      </c>
      <c r="AU248" s="29">
        <v>265</v>
      </c>
      <c r="AV248" s="30">
        <v>248</v>
      </c>
      <c r="AW248" s="31">
        <v>268</v>
      </c>
      <c r="AX248" s="136">
        <v>-6.4150943396226415E-2</v>
      </c>
      <c r="AY248" s="33">
        <v>1.1320754716981131E-2</v>
      </c>
      <c r="AZ248" s="35">
        <v>8.0645161290322578E-2</v>
      </c>
      <c r="BA248" s="29">
        <v>40</v>
      </c>
      <c r="BB248" s="31">
        <v>37</v>
      </c>
      <c r="BC248" s="29">
        <v>5</v>
      </c>
      <c r="BD248" s="31">
        <v>4</v>
      </c>
      <c r="BE248" s="29">
        <v>569</v>
      </c>
      <c r="BF248" s="30">
        <v>1097</v>
      </c>
      <c r="BG248" s="33">
        <v>0.51868732907930715</v>
      </c>
      <c r="BH248" s="30">
        <v>158</v>
      </c>
      <c r="BI248" s="30">
        <v>268</v>
      </c>
      <c r="BJ248" s="35">
        <v>0.58955223880597019</v>
      </c>
    </row>
    <row r="249" spans="1:62" x14ac:dyDescent="0.25">
      <c r="E249" t="s">
        <v>97</v>
      </c>
      <c r="F249" s="32">
        <v>34</v>
      </c>
      <c r="G249" s="29">
        <v>21</v>
      </c>
      <c r="H249" s="30">
        <v>0</v>
      </c>
      <c r="I249" s="30">
        <v>20</v>
      </c>
      <c r="J249" s="31">
        <v>1</v>
      </c>
      <c r="K249" s="29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1</v>
      </c>
      <c r="R249" s="31">
        <v>12</v>
      </c>
      <c r="S249" s="32">
        <v>0</v>
      </c>
      <c r="T249" s="29">
        <v>1</v>
      </c>
      <c r="U249" s="30">
        <v>0</v>
      </c>
      <c r="V249" s="30">
        <v>1</v>
      </c>
      <c r="W249" s="30">
        <v>0</v>
      </c>
      <c r="X249" s="31">
        <v>0</v>
      </c>
      <c r="Y249" s="29">
        <v>572</v>
      </c>
      <c r="Z249" s="31">
        <v>303</v>
      </c>
      <c r="AA249" s="29">
        <v>417</v>
      </c>
      <c r="AB249" s="31">
        <v>228</v>
      </c>
      <c r="AC249" s="29">
        <v>7</v>
      </c>
      <c r="AD249">
        <v>4</v>
      </c>
      <c r="AE249" s="29">
        <v>30</v>
      </c>
      <c r="AF249" s="30">
        <v>24</v>
      </c>
      <c r="AG249" s="31">
        <v>13</v>
      </c>
      <c r="AH249" s="136">
        <v>-0.27097902097902099</v>
      </c>
      <c r="AI249" s="33">
        <v>-0.98776223776223782</v>
      </c>
      <c r="AJ249" s="33">
        <v>-0.98321342925659472</v>
      </c>
      <c r="AK249" s="33">
        <v>-0.24752475247524752</v>
      </c>
      <c r="AL249" s="33">
        <v>-0.98679867986798675</v>
      </c>
      <c r="AM249" s="33">
        <v>-0.98245614035087714</v>
      </c>
      <c r="AN249" s="34">
        <v>0.33333333333333331</v>
      </c>
      <c r="AO249" s="33">
        <v>0.19047619047619047</v>
      </c>
      <c r="AP249" s="33">
        <v>1.1428571428571428</v>
      </c>
      <c r="AQ249" s="33">
        <v>0.61904761904761907</v>
      </c>
      <c r="AR249" s="35">
        <v>0.36363636363636365</v>
      </c>
      <c r="AS249" s="251">
        <f t="shared" ref="AS249:AS312" si="8">S249/G249</f>
        <v>0</v>
      </c>
      <c r="AT249" s="252">
        <f t="shared" ref="AT249:AT312" si="9">(S249-T249)/G249</f>
        <v>-4.7619047619047616E-2</v>
      </c>
      <c r="AU249" s="29">
        <v>208</v>
      </c>
      <c r="AV249" s="30">
        <v>147</v>
      </c>
      <c r="AW249" s="31">
        <v>5</v>
      </c>
      <c r="AX249" s="136">
        <v>-0.29326923076923078</v>
      </c>
      <c r="AY249" s="33">
        <v>-0.97596153846153844</v>
      </c>
      <c r="AZ249" s="35">
        <v>-0.96598639455782309</v>
      </c>
      <c r="BA249" s="29">
        <v>61</v>
      </c>
      <c r="BB249" s="31">
        <v>61</v>
      </c>
      <c r="BC249" s="29">
        <v>4</v>
      </c>
      <c r="BD249" s="31">
        <v>4</v>
      </c>
      <c r="BE249" s="29">
        <v>6</v>
      </c>
      <c r="BF249" s="30">
        <v>7</v>
      </c>
      <c r="BG249" s="33">
        <v>0.8571428571428571</v>
      </c>
      <c r="BH249" s="30">
        <v>4</v>
      </c>
      <c r="BI249" s="30">
        <v>5</v>
      </c>
      <c r="BJ249" s="35">
        <v>0.8</v>
      </c>
    </row>
    <row r="250" spans="1:62" x14ac:dyDescent="0.25">
      <c r="A250" s="130"/>
      <c r="B250" s="130" t="s">
        <v>222</v>
      </c>
      <c r="C250" s="130"/>
      <c r="D250" s="130"/>
      <c r="E250" s="130"/>
      <c r="F250" s="11">
        <v>3956</v>
      </c>
      <c r="G250" s="8">
        <v>3839</v>
      </c>
      <c r="H250" s="9">
        <v>37</v>
      </c>
      <c r="I250" s="9">
        <v>3854</v>
      </c>
      <c r="J250" s="10">
        <v>22</v>
      </c>
      <c r="K250" s="8">
        <v>0</v>
      </c>
      <c r="L250" s="9">
        <v>7</v>
      </c>
      <c r="M250" s="9">
        <v>18</v>
      </c>
      <c r="N250" s="9">
        <v>1</v>
      </c>
      <c r="O250" s="9">
        <v>6</v>
      </c>
      <c r="P250" s="9">
        <v>0</v>
      </c>
      <c r="Q250" s="9">
        <v>11</v>
      </c>
      <c r="R250" s="10">
        <v>35</v>
      </c>
      <c r="S250" s="11">
        <v>342</v>
      </c>
      <c r="T250" s="8">
        <v>229</v>
      </c>
      <c r="U250" s="9">
        <v>1</v>
      </c>
      <c r="V250" s="9">
        <v>10</v>
      </c>
      <c r="W250" s="9">
        <v>10</v>
      </c>
      <c r="X250" s="10">
        <v>208</v>
      </c>
      <c r="Y250" s="8">
        <v>4575</v>
      </c>
      <c r="Z250" s="10">
        <v>1630</v>
      </c>
      <c r="AA250" s="8">
        <v>4794</v>
      </c>
      <c r="AB250" s="10">
        <v>1815</v>
      </c>
      <c r="AC250" s="8">
        <v>4544</v>
      </c>
      <c r="AD250" s="130">
        <v>1763</v>
      </c>
      <c r="AE250" s="8">
        <v>2142</v>
      </c>
      <c r="AF250" s="9">
        <v>1202</v>
      </c>
      <c r="AG250" s="10">
        <v>305</v>
      </c>
      <c r="AH250" s="131">
        <v>4.7868852459016391E-2</v>
      </c>
      <c r="AI250" s="12">
        <v>-6.7759562841530055E-3</v>
      </c>
      <c r="AJ250" s="12">
        <v>-5.214851898206091E-2</v>
      </c>
      <c r="AK250" s="12">
        <v>0.11349693251533742</v>
      </c>
      <c r="AL250" s="12">
        <v>8.1595092024539878E-2</v>
      </c>
      <c r="AM250" s="12">
        <v>-2.8650137741046831E-2</v>
      </c>
      <c r="AN250" s="13">
        <v>1.183641573326387</v>
      </c>
      <c r="AO250" s="12">
        <v>0.45923417556655377</v>
      </c>
      <c r="AP250" s="12">
        <v>0.31310237040896066</v>
      </c>
      <c r="AQ250" s="12">
        <v>7.9447772857514976E-2</v>
      </c>
      <c r="AR250" s="14">
        <v>9.0345895715023238E-3</v>
      </c>
      <c r="AS250" s="245">
        <f t="shared" si="8"/>
        <v>8.9085699400885648E-2</v>
      </c>
      <c r="AT250" s="246">
        <f t="shared" si="9"/>
        <v>2.9434748632456369E-2</v>
      </c>
      <c r="AU250" s="8">
        <v>994</v>
      </c>
      <c r="AV250" s="9">
        <v>988</v>
      </c>
      <c r="AW250" s="10">
        <v>947</v>
      </c>
      <c r="AX250" s="131">
        <v>-6.0362173038229373E-3</v>
      </c>
      <c r="AY250" s="12">
        <v>-4.7283702213279676E-2</v>
      </c>
      <c r="AZ250" s="14">
        <v>-4.1497975708502027E-2</v>
      </c>
      <c r="BA250" s="8">
        <v>58</v>
      </c>
      <c r="BB250" s="10">
        <v>47</v>
      </c>
      <c r="BC250" s="8">
        <v>6</v>
      </c>
      <c r="BD250" s="10">
        <v>4</v>
      </c>
      <c r="BE250" s="8">
        <v>2703</v>
      </c>
      <c r="BF250" s="9">
        <v>4544</v>
      </c>
      <c r="BG250" s="12">
        <v>0.59485035211267601</v>
      </c>
      <c r="BH250" s="9">
        <v>539</v>
      </c>
      <c r="BI250" s="9">
        <v>947</v>
      </c>
      <c r="BJ250" s="14">
        <v>0.56916578669482576</v>
      </c>
    </row>
    <row r="251" spans="1:62" x14ac:dyDescent="0.25">
      <c r="A251" s="132"/>
      <c r="B251" s="132"/>
      <c r="C251" s="132" t="s">
        <v>223</v>
      </c>
      <c r="D251" s="132"/>
      <c r="E251" s="132"/>
      <c r="F251" s="18">
        <v>229</v>
      </c>
      <c r="G251" s="15">
        <v>219</v>
      </c>
      <c r="H251" s="16">
        <v>0</v>
      </c>
      <c r="I251" s="16">
        <v>219</v>
      </c>
      <c r="J251" s="17">
        <v>0</v>
      </c>
      <c r="K251" s="15">
        <v>0</v>
      </c>
      <c r="L251" s="16">
        <v>1</v>
      </c>
      <c r="M251" s="16">
        <v>4</v>
      </c>
      <c r="N251" s="16">
        <v>1</v>
      </c>
      <c r="O251" s="16">
        <v>1</v>
      </c>
      <c r="P251" s="16">
        <v>0</v>
      </c>
      <c r="Q251" s="16">
        <v>2</v>
      </c>
      <c r="R251" s="17">
        <v>1</v>
      </c>
      <c r="S251" s="18">
        <v>13</v>
      </c>
      <c r="T251" s="15">
        <v>5</v>
      </c>
      <c r="U251" s="16">
        <v>1</v>
      </c>
      <c r="V251" s="16">
        <v>2</v>
      </c>
      <c r="W251" s="16">
        <v>1</v>
      </c>
      <c r="X251" s="17">
        <v>1</v>
      </c>
      <c r="Y251" s="15">
        <v>759</v>
      </c>
      <c r="Z251" s="17">
        <v>130</v>
      </c>
      <c r="AA251" s="15">
        <v>673</v>
      </c>
      <c r="AB251" s="17">
        <v>142</v>
      </c>
      <c r="AC251" s="15">
        <v>760</v>
      </c>
      <c r="AD251" s="132">
        <v>179</v>
      </c>
      <c r="AE251" s="15">
        <v>48</v>
      </c>
      <c r="AF251" s="16">
        <v>12</v>
      </c>
      <c r="AG251" s="17">
        <v>48</v>
      </c>
      <c r="AH251" s="133">
        <v>-0.11330698287220026</v>
      </c>
      <c r="AI251" s="19">
        <v>1.3175230566534915E-3</v>
      </c>
      <c r="AJ251" s="19">
        <v>0.12927191679049035</v>
      </c>
      <c r="AK251" s="19">
        <v>9.2307692307692313E-2</v>
      </c>
      <c r="AL251" s="19">
        <v>0.37692307692307692</v>
      </c>
      <c r="AM251" s="19">
        <v>0.26056338028169013</v>
      </c>
      <c r="AN251" s="20">
        <v>3.4703196347031962</v>
      </c>
      <c r="AO251" s="19">
        <v>0.81735159817351599</v>
      </c>
      <c r="AP251" s="19">
        <v>5.4794520547945202E-2</v>
      </c>
      <c r="AQ251" s="19">
        <v>0.21917808219178081</v>
      </c>
      <c r="AR251" s="21">
        <v>4.5454545454545452E-3</v>
      </c>
      <c r="AS251" s="247">
        <f t="shared" si="8"/>
        <v>5.9360730593607303E-2</v>
      </c>
      <c r="AT251" s="248">
        <f t="shared" si="9"/>
        <v>3.6529680365296802E-2</v>
      </c>
      <c r="AU251" s="15">
        <v>189</v>
      </c>
      <c r="AV251" s="16">
        <v>194</v>
      </c>
      <c r="AW251" s="17">
        <v>184</v>
      </c>
      <c r="AX251" s="133">
        <v>2.6455026455026454E-2</v>
      </c>
      <c r="AY251" s="19">
        <v>-2.6455026455026454E-2</v>
      </c>
      <c r="AZ251" s="21">
        <v>-5.1546391752577317E-2</v>
      </c>
      <c r="BA251" s="15">
        <v>57</v>
      </c>
      <c r="BB251" s="17">
        <v>51</v>
      </c>
      <c r="BC251" s="15">
        <v>5</v>
      </c>
      <c r="BD251" s="17">
        <v>5</v>
      </c>
      <c r="BE251" s="15">
        <v>548</v>
      </c>
      <c r="BF251" s="16">
        <v>760</v>
      </c>
      <c r="BG251" s="19">
        <v>0.72105263157894739</v>
      </c>
      <c r="BH251" s="16">
        <v>130</v>
      </c>
      <c r="BI251" s="16">
        <v>184</v>
      </c>
      <c r="BJ251" s="21">
        <v>0.70652173913043481</v>
      </c>
    </row>
    <row r="252" spans="1:62" x14ac:dyDescent="0.25">
      <c r="E252" t="s">
        <v>97</v>
      </c>
      <c r="F252" s="32">
        <v>228</v>
      </c>
      <c r="G252" s="29">
        <v>218</v>
      </c>
      <c r="H252" s="30">
        <v>0</v>
      </c>
      <c r="I252" s="30">
        <v>218</v>
      </c>
      <c r="J252" s="31">
        <v>0</v>
      </c>
      <c r="K252" s="29">
        <v>0</v>
      </c>
      <c r="L252" s="30">
        <v>1</v>
      </c>
      <c r="M252" s="30">
        <v>4</v>
      </c>
      <c r="N252" s="30">
        <v>1</v>
      </c>
      <c r="O252" s="30">
        <v>1</v>
      </c>
      <c r="P252" s="30">
        <v>0</v>
      </c>
      <c r="Q252" s="30">
        <v>2</v>
      </c>
      <c r="R252" s="31">
        <v>1</v>
      </c>
      <c r="S252" s="32">
        <v>13</v>
      </c>
      <c r="T252" s="29">
        <v>5</v>
      </c>
      <c r="U252" s="30">
        <v>1</v>
      </c>
      <c r="V252" s="30">
        <v>2</v>
      </c>
      <c r="W252" s="30">
        <v>1</v>
      </c>
      <c r="X252" s="31">
        <v>1</v>
      </c>
      <c r="Y252" s="29">
        <v>759</v>
      </c>
      <c r="Z252" s="31">
        <v>130</v>
      </c>
      <c r="AA252" s="29">
        <v>673</v>
      </c>
      <c r="AB252" s="31">
        <v>142</v>
      </c>
      <c r="AC252" s="29">
        <v>760</v>
      </c>
      <c r="AD252">
        <v>179</v>
      </c>
      <c r="AE252" s="29">
        <v>47</v>
      </c>
      <c r="AF252" s="30">
        <v>11</v>
      </c>
      <c r="AG252" s="31">
        <v>48</v>
      </c>
      <c r="AH252" s="136">
        <v>-0.11330698287220026</v>
      </c>
      <c r="AI252" s="33">
        <v>1.3175230566534915E-3</v>
      </c>
      <c r="AJ252" s="33">
        <v>0.12927191679049035</v>
      </c>
      <c r="AK252" s="33">
        <v>9.2307692307692313E-2</v>
      </c>
      <c r="AL252" s="33">
        <v>0.37692307692307692</v>
      </c>
      <c r="AM252" s="33">
        <v>0.26056338028169013</v>
      </c>
      <c r="AN252" s="34">
        <v>3.4862385321100917</v>
      </c>
      <c r="AO252" s="33">
        <v>0.82110091743119262</v>
      </c>
      <c r="AP252" s="33">
        <v>5.0458715596330278E-2</v>
      </c>
      <c r="AQ252" s="33">
        <v>0.22018348623853212</v>
      </c>
      <c r="AR252" s="35">
        <v>4.5662100456621002E-3</v>
      </c>
      <c r="AS252" s="251">
        <f t="shared" si="8"/>
        <v>5.9633027522935783E-2</v>
      </c>
      <c r="AT252" s="252">
        <f t="shared" si="9"/>
        <v>3.669724770642202E-2</v>
      </c>
      <c r="AU252" s="29">
        <v>189</v>
      </c>
      <c r="AV252" s="30">
        <v>194</v>
      </c>
      <c r="AW252" s="31">
        <v>184</v>
      </c>
      <c r="AX252" s="136">
        <v>2.6455026455026454E-2</v>
      </c>
      <c r="AY252" s="33">
        <v>-2.6455026455026454E-2</v>
      </c>
      <c r="AZ252" s="35">
        <v>-5.1546391752577317E-2</v>
      </c>
      <c r="BA252" s="29">
        <v>57</v>
      </c>
      <c r="BB252" s="31">
        <v>51</v>
      </c>
      <c r="BC252" s="29">
        <v>5</v>
      </c>
      <c r="BD252" s="31">
        <v>5</v>
      </c>
      <c r="BE252" s="29">
        <v>548</v>
      </c>
      <c r="BF252" s="30">
        <v>760</v>
      </c>
      <c r="BG252" s="33">
        <v>0.72105263157894739</v>
      </c>
      <c r="BH252" s="30">
        <v>130</v>
      </c>
      <c r="BI252" s="30">
        <v>184</v>
      </c>
      <c r="BJ252" s="35">
        <v>0.70652173913043481</v>
      </c>
    </row>
    <row r="253" spans="1:62" x14ac:dyDescent="0.25">
      <c r="A253" s="132"/>
      <c r="B253" s="132"/>
      <c r="C253" s="132" t="s">
        <v>224</v>
      </c>
      <c r="D253" s="132"/>
      <c r="E253" s="132"/>
      <c r="F253" s="18">
        <v>611</v>
      </c>
      <c r="G253" s="15">
        <v>597</v>
      </c>
      <c r="H253" s="16">
        <v>7</v>
      </c>
      <c r="I253" s="16">
        <v>598</v>
      </c>
      <c r="J253" s="17">
        <v>6</v>
      </c>
      <c r="K253" s="15">
        <v>0</v>
      </c>
      <c r="L253" s="16">
        <v>5</v>
      </c>
      <c r="M253" s="16">
        <v>1</v>
      </c>
      <c r="N253" s="16">
        <v>0</v>
      </c>
      <c r="O253" s="16">
        <v>1</v>
      </c>
      <c r="P253" s="16">
        <v>0</v>
      </c>
      <c r="Q253" s="16">
        <v>0</v>
      </c>
      <c r="R253" s="17">
        <v>0</v>
      </c>
      <c r="S253" s="18">
        <v>37</v>
      </c>
      <c r="T253" s="15">
        <v>1</v>
      </c>
      <c r="U253" s="16">
        <v>0</v>
      </c>
      <c r="V253" s="16">
        <v>0</v>
      </c>
      <c r="W253" s="16">
        <v>0</v>
      </c>
      <c r="X253" s="17">
        <v>1</v>
      </c>
      <c r="Y253" s="15">
        <v>154</v>
      </c>
      <c r="Z253" s="17">
        <v>107</v>
      </c>
      <c r="AA253" s="15">
        <v>169</v>
      </c>
      <c r="AB253" s="17">
        <v>126</v>
      </c>
      <c r="AC253" s="15">
        <v>116</v>
      </c>
      <c r="AD253" s="132">
        <v>77</v>
      </c>
      <c r="AE253" s="15">
        <v>519</v>
      </c>
      <c r="AF253" s="16">
        <v>318</v>
      </c>
      <c r="AG253" s="17">
        <v>5</v>
      </c>
      <c r="AH253" s="133">
        <v>9.7402597402597407E-2</v>
      </c>
      <c r="AI253" s="19">
        <v>-0.24675324675324675</v>
      </c>
      <c r="AJ253" s="19">
        <v>-0.31360946745562129</v>
      </c>
      <c r="AK253" s="19">
        <v>0.17757009345794392</v>
      </c>
      <c r="AL253" s="19">
        <v>-0.28037383177570091</v>
      </c>
      <c r="AM253" s="19">
        <v>-0.3888888888888889</v>
      </c>
      <c r="AN253" s="20">
        <v>0.19430485762144054</v>
      </c>
      <c r="AO253" s="19">
        <v>0.12897822445561138</v>
      </c>
      <c r="AP253" s="19">
        <v>0.53266331658291455</v>
      </c>
      <c r="AQ253" s="19">
        <v>8.3752093802345051E-3</v>
      </c>
      <c r="AR253" s="21">
        <v>0</v>
      </c>
      <c r="AS253" s="247">
        <f t="shared" si="8"/>
        <v>6.1976549413735343E-2</v>
      </c>
      <c r="AT253" s="248">
        <f t="shared" si="9"/>
        <v>6.030150753768844E-2</v>
      </c>
      <c r="AU253" s="15">
        <v>53</v>
      </c>
      <c r="AV253" s="16">
        <v>50</v>
      </c>
      <c r="AW253" s="17">
        <v>45</v>
      </c>
      <c r="AX253" s="133">
        <v>-5.6603773584905662E-2</v>
      </c>
      <c r="AY253" s="19">
        <v>-0.15094339622641509</v>
      </c>
      <c r="AZ253" s="21">
        <v>-0.1</v>
      </c>
      <c r="BA253" s="15">
        <v>57</v>
      </c>
      <c r="BB253" s="17">
        <v>55</v>
      </c>
      <c r="BC253" s="15">
        <v>10</v>
      </c>
      <c r="BD253" s="17">
        <v>9</v>
      </c>
      <c r="BE253" s="15">
        <v>77</v>
      </c>
      <c r="BF253" s="16">
        <v>116</v>
      </c>
      <c r="BG253" s="19">
        <v>0.66379310344827591</v>
      </c>
      <c r="BH253" s="16">
        <v>27</v>
      </c>
      <c r="BI253" s="16">
        <v>45</v>
      </c>
      <c r="BJ253" s="21">
        <v>0.6</v>
      </c>
    </row>
    <row r="254" spans="1:62" x14ac:dyDescent="0.25">
      <c r="E254" t="s">
        <v>82</v>
      </c>
      <c r="F254" s="32">
        <v>603</v>
      </c>
      <c r="G254" s="29">
        <v>589</v>
      </c>
      <c r="H254" s="30">
        <v>7</v>
      </c>
      <c r="I254" s="30">
        <v>590</v>
      </c>
      <c r="J254" s="31">
        <v>6</v>
      </c>
      <c r="K254" s="29">
        <v>0</v>
      </c>
      <c r="L254" s="30">
        <v>5</v>
      </c>
      <c r="M254" s="30">
        <v>1</v>
      </c>
      <c r="N254" s="30">
        <v>0</v>
      </c>
      <c r="O254" s="30">
        <v>1</v>
      </c>
      <c r="P254" s="30">
        <v>0</v>
      </c>
      <c r="Q254" s="30">
        <v>0</v>
      </c>
      <c r="R254" s="31">
        <v>0</v>
      </c>
      <c r="S254" s="32">
        <v>36</v>
      </c>
      <c r="T254" s="29"/>
      <c r="U254" s="30"/>
      <c r="V254" s="30"/>
      <c r="W254" s="30"/>
      <c r="X254" s="31"/>
      <c r="Y254" s="29">
        <v>148</v>
      </c>
      <c r="Z254" s="31">
        <v>104</v>
      </c>
      <c r="AA254" s="29">
        <v>159</v>
      </c>
      <c r="AB254" s="31">
        <v>122</v>
      </c>
      <c r="AC254" s="29">
        <v>112</v>
      </c>
      <c r="AD254">
        <v>74</v>
      </c>
      <c r="AE254" s="29">
        <v>514</v>
      </c>
      <c r="AF254" s="30">
        <v>316</v>
      </c>
      <c r="AG254" s="31">
        <v>5</v>
      </c>
      <c r="AH254" s="136">
        <v>7.4324324324324328E-2</v>
      </c>
      <c r="AI254" s="33">
        <v>-0.24324324324324326</v>
      </c>
      <c r="AJ254" s="33">
        <v>-0.29559748427672955</v>
      </c>
      <c r="AK254" s="33">
        <v>0.17307692307692307</v>
      </c>
      <c r="AL254" s="33">
        <v>-0.28846153846153844</v>
      </c>
      <c r="AM254" s="33">
        <v>-0.39344262295081966</v>
      </c>
      <c r="AN254" s="34">
        <v>0.19015280135823429</v>
      </c>
      <c r="AO254" s="33">
        <v>0.12563667232597622</v>
      </c>
      <c r="AP254" s="33">
        <v>0.53650254668930386</v>
      </c>
      <c r="AQ254" s="33">
        <v>8.4889643463497456E-3</v>
      </c>
      <c r="AR254" s="35">
        <v>0</v>
      </c>
      <c r="AS254" s="251">
        <f t="shared" si="8"/>
        <v>6.1120543293718167E-2</v>
      </c>
      <c r="AT254" s="252">
        <f t="shared" si="9"/>
        <v>6.1120543293718167E-2</v>
      </c>
      <c r="AU254" s="29">
        <v>50</v>
      </c>
      <c r="AV254" s="30">
        <v>44</v>
      </c>
      <c r="AW254" s="31">
        <v>41</v>
      </c>
      <c r="AX254" s="136">
        <v>-0.12</v>
      </c>
      <c r="AY254" s="33">
        <v>-0.18</v>
      </c>
      <c r="AZ254" s="35">
        <v>-6.8181818181818177E-2</v>
      </c>
      <c r="BA254" s="29">
        <v>57</v>
      </c>
      <c r="BB254" s="31">
        <v>53</v>
      </c>
      <c r="BC254" s="29">
        <v>10</v>
      </c>
      <c r="BD254" s="31">
        <v>9</v>
      </c>
      <c r="BE254" s="29">
        <v>73</v>
      </c>
      <c r="BF254" s="30">
        <v>112</v>
      </c>
      <c r="BG254" s="33">
        <v>0.6517857142857143</v>
      </c>
      <c r="BH254" s="30">
        <v>23</v>
      </c>
      <c r="BI254" s="30">
        <v>41</v>
      </c>
      <c r="BJ254" s="35">
        <v>0.56097560975609762</v>
      </c>
    </row>
    <row r="255" spans="1:62" x14ac:dyDescent="0.25">
      <c r="A255" s="132"/>
      <c r="B255" s="132"/>
      <c r="C255" s="132" t="s">
        <v>225</v>
      </c>
      <c r="D255" s="132"/>
      <c r="E255" s="132"/>
      <c r="F255" s="18">
        <v>2836</v>
      </c>
      <c r="G255" s="15">
        <v>2751</v>
      </c>
      <c r="H255" s="16">
        <v>28</v>
      </c>
      <c r="I255" s="16">
        <v>2765</v>
      </c>
      <c r="J255" s="17">
        <v>14</v>
      </c>
      <c r="K255" s="15">
        <v>0</v>
      </c>
      <c r="L255" s="16">
        <v>1</v>
      </c>
      <c r="M255" s="16">
        <v>12</v>
      </c>
      <c r="N255" s="16">
        <v>0</v>
      </c>
      <c r="O255" s="16">
        <v>4</v>
      </c>
      <c r="P255" s="16">
        <v>0</v>
      </c>
      <c r="Q255" s="16">
        <v>9</v>
      </c>
      <c r="R255" s="17">
        <v>29</v>
      </c>
      <c r="S255" s="18">
        <v>273</v>
      </c>
      <c r="T255" s="15">
        <v>222</v>
      </c>
      <c r="U255" s="16">
        <v>0</v>
      </c>
      <c r="V255" s="16">
        <v>8</v>
      </c>
      <c r="W255" s="16">
        <v>8</v>
      </c>
      <c r="X255" s="17">
        <v>206</v>
      </c>
      <c r="Y255" s="15">
        <v>3306</v>
      </c>
      <c r="Z255" s="17">
        <v>1260</v>
      </c>
      <c r="AA255" s="15">
        <v>3640</v>
      </c>
      <c r="AB255" s="17">
        <v>1434</v>
      </c>
      <c r="AC255" s="15">
        <v>3382</v>
      </c>
      <c r="AD255" s="132">
        <v>1397</v>
      </c>
      <c r="AE255" s="15">
        <v>1408</v>
      </c>
      <c r="AF255" s="16">
        <v>777</v>
      </c>
      <c r="AG255" s="17">
        <v>225</v>
      </c>
      <c r="AH255" s="133">
        <v>0.10102843315184513</v>
      </c>
      <c r="AI255" s="19">
        <v>2.2988505747126436E-2</v>
      </c>
      <c r="AJ255" s="19">
        <v>-7.0879120879120877E-2</v>
      </c>
      <c r="AK255" s="19">
        <v>0.1380952380952381</v>
      </c>
      <c r="AL255" s="19">
        <v>0.10873015873015873</v>
      </c>
      <c r="AM255" s="19">
        <v>-2.5801952580195259E-2</v>
      </c>
      <c r="AN255" s="20">
        <v>1.2293711377680843</v>
      </c>
      <c r="AO255" s="19">
        <v>0.50781533987640859</v>
      </c>
      <c r="AP255" s="19">
        <v>0.28244274809160308</v>
      </c>
      <c r="AQ255" s="19">
        <v>8.1788440567066523E-2</v>
      </c>
      <c r="AR255" s="21">
        <v>1.0431654676258994E-2</v>
      </c>
      <c r="AS255" s="247">
        <f t="shared" si="8"/>
        <v>9.9236641221374045E-2</v>
      </c>
      <c r="AT255" s="248">
        <f t="shared" si="9"/>
        <v>1.8538713195201745E-2</v>
      </c>
      <c r="AU255" s="15">
        <v>786</v>
      </c>
      <c r="AV255" s="16">
        <v>811</v>
      </c>
      <c r="AW255" s="17">
        <v>771</v>
      </c>
      <c r="AX255" s="133">
        <v>3.1806615776081425E-2</v>
      </c>
      <c r="AY255" s="19">
        <v>-1.9083969465648856E-2</v>
      </c>
      <c r="AZ255" s="21">
        <v>-4.9321824907521579E-2</v>
      </c>
      <c r="BA255" s="15">
        <v>59.5</v>
      </c>
      <c r="BB255" s="17">
        <v>47</v>
      </c>
      <c r="BC255" s="15">
        <v>6</v>
      </c>
      <c r="BD255" s="17">
        <v>4</v>
      </c>
      <c r="BE255" s="15">
        <v>1904</v>
      </c>
      <c r="BF255" s="16">
        <v>3382</v>
      </c>
      <c r="BG255" s="19">
        <v>0.56298048492016561</v>
      </c>
      <c r="BH255" s="16">
        <v>421</v>
      </c>
      <c r="BI255" s="16">
        <v>771</v>
      </c>
      <c r="BJ255" s="21">
        <v>0.5460440985732814</v>
      </c>
    </row>
    <row r="256" spans="1:62" x14ac:dyDescent="0.25">
      <c r="E256" t="s">
        <v>165</v>
      </c>
      <c r="F256" s="32">
        <v>16</v>
      </c>
      <c r="G256" s="29">
        <v>16</v>
      </c>
      <c r="H256" s="30">
        <v>0</v>
      </c>
      <c r="I256" s="30">
        <v>16</v>
      </c>
      <c r="J256" s="31">
        <v>0</v>
      </c>
      <c r="K256" s="29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1">
        <v>0</v>
      </c>
      <c r="S256" s="32">
        <v>5</v>
      </c>
      <c r="T256" s="29"/>
      <c r="U256" s="30"/>
      <c r="V256" s="30"/>
      <c r="W256" s="30"/>
      <c r="X256" s="31"/>
      <c r="Y256" s="29">
        <v>10</v>
      </c>
      <c r="Z256" s="31">
        <v>5</v>
      </c>
      <c r="AA256" s="29">
        <v>8</v>
      </c>
      <c r="AB256" s="31">
        <v>6</v>
      </c>
      <c r="AC256" s="29">
        <v>22</v>
      </c>
      <c r="AD256">
        <v>10</v>
      </c>
      <c r="AE256" s="29">
        <v>6</v>
      </c>
      <c r="AF256" s="30">
        <v>4</v>
      </c>
      <c r="AG256" s="31">
        <v>3</v>
      </c>
      <c r="AH256" s="136">
        <v>-0.2</v>
      </c>
      <c r="AI256" s="33">
        <v>1.2</v>
      </c>
      <c r="AJ256" s="33">
        <v>1.75</v>
      </c>
      <c r="AK256" s="33">
        <v>0.2</v>
      </c>
      <c r="AL256" s="33">
        <v>1</v>
      </c>
      <c r="AM256" s="33">
        <v>0.66666666666666663</v>
      </c>
      <c r="AN256" s="34">
        <v>1.375</v>
      </c>
      <c r="AO256" s="33">
        <v>0.625</v>
      </c>
      <c r="AP256" s="33">
        <v>0.25</v>
      </c>
      <c r="AQ256" s="33">
        <v>0.1875</v>
      </c>
      <c r="AR256" s="35">
        <v>0</v>
      </c>
      <c r="AS256" s="251">
        <f t="shared" si="8"/>
        <v>0.3125</v>
      </c>
      <c r="AT256" s="252">
        <f t="shared" si="9"/>
        <v>0.3125</v>
      </c>
      <c r="AU256" s="29">
        <v>4</v>
      </c>
      <c r="AV256" s="30">
        <v>7</v>
      </c>
      <c r="AW256" s="31">
        <v>13</v>
      </c>
      <c r="AX256" s="136">
        <v>0.75</v>
      </c>
      <c r="AY256" s="33">
        <v>2.25</v>
      </c>
      <c r="AZ256" s="35">
        <v>0.8571428571428571</v>
      </c>
      <c r="BA256" s="29">
        <v>42</v>
      </c>
      <c r="BB256" s="31">
        <v>47.5</v>
      </c>
      <c r="BC256" s="29">
        <v>11</v>
      </c>
      <c r="BD256" s="31">
        <v>5</v>
      </c>
      <c r="BE256" s="29">
        <v>3</v>
      </c>
      <c r="BF256" s="30">
        <v>22</v>
      </c>
      <c r="BG256" s="33">
        <v>0.13636363636363635</v>
      </c>
      <c r="BH256" s="30">
        <v>3</v>
      </c>
      <c r="BI256" s="30">
        <v>13</v>
      </c>
      <c r="BJ256" s="35">
        <v>0.23076923076923078</v>
      </c>
    </row>
    <row r="257" spans="1:62" x14ac:dyDescent="0.25">
      <c r="E257" t="s">
        <v>68</v>
      </c>
      <c r="F257" s="32">
        <v>2707</v>
      </c>
      <c r="G257" s="29">
        <v>2645</v>
      </c>
      <c r="H257" s="30">
        <v>5</v>
      </c>
      <c r="I257" s="30">
        <v>2636</v>
      </c>
      <c r="J257" s="31">
        <v>14</v>
      </c>
      <c r="K257" s="29">
        <v>0</v>
      </c>
      <c r="L257" s="30">
        <v>1</v>
      </c>
      <c r="M257" s="30">
        <v>12</v>
      </c>
      <c r="N257" s="30">
        <v>0</v>
      </c>
      <c r="O257" s="30">
        <v>4</v>
      </c>
      <c r="P257" s="30">
        <v>0</v>
      </c>
      <c r="Q257" s="30">
        <v>9</v>
      </c>
      <c r="R257" s="31">
        <v>29</v>
      </c>
      <c r="S257" s="32">
        <v>220</v>
      </c>
      <c r="T257" s="29">
        <v>156</v>
      </c>
      <c r="U257" s="30">
        <v>0</v>
      </c>
      <c r="V257" s="30">
        <v>8</v>
      </c>
      <c r="W257" s="30">
        <v>8</v>
      </c>
      <c r="X257" s="31">
        <v>140</v>
      </c>
      <c r="Y257" s="29">
        <v>3267</v>
      </c>
      <c r="Z257" s="31">
        <v>1236</v>
      </c>
      <c r="AA257" s="29">
        <v>3604</v>
      </c>
      <c r="AB257" s="31">
        <v>1408</v>
      </c>
      <c r="AC257" s="29">
        <v>3337</v>
      </c>
      <c r="AD257">
        <v>1369</v>
      </c>
      <c r="AE257" s="29">
        <v>1329</v>
      </c>
      <c r="AF257" s="30">
        <v>711</v>
      </c>
      <c r="AG257" s="31">
        <v>220</v>
      </c>
      <c r="AH257" s="136">
        <v>0.10315273951637588</v>
      </c>
      <c r="AI257" s="33">
        <v>2.1426385062748698E-2</v>
      </c>
      <c r="AJ257" s="33">
        <v>-7.4084350721420639E-2</v>
      </c>
      <c r="AK257" s="33">
        <v>0.13915857605177995</v>
      </c>
      <c r="AL257" s="33">
        <v>0.10760517799352751</v>
      </c>
      <c r="AM257" s="33">
        <v>-2.7698863636363636E-2</v>
      </c>
      <c r="AN257" s="34">
        <v>1.2616257088846881</v>
      </c>
      <c r="AO257" s="33">
        <v>0.51758034026465027</v>
      </c>
      <c r="AP257" s="33">
        <v>0.26880907372400759</v>
      </c>
      <c r="AQ257" s="33">
        <v>8.3175803402646506E-2</v>
      </c>
      <c r="AR257" s="35">
        <v>1.0845175766641735E-2</v>
      </c>
      <c r="AS257" s="251">
        <f t="shared" si="8"/>
        <v>8.3175803402646506E-2</v>
      </c>
      <c r="AT257" s="252">
        <f t="shared" si="9"/>
        <v>2.4196597353497166E-2</v>
      </c>
      <c r="AU257" s="29">
        <v>776</v>
      </c>
      <c r="AV257" s="30">
        <v>806</v>
      </c>
      <c r="AW257" s="31">
        <v>764</v>
      </c>
      <c r="AX257" s="136">
        <v>3.8659793814432991E-2</v>
      </c>
      <c r="AY257" s="33">
        <v>-1.5463917525773196E-2</v>
      </c>
      <c r="AZ257" s="35">
        <v>-5.2109181141439205E-2</v>
      </c>
      <c r="BA257" s="29">
        <v>60</v>
      </c>
      <c r="BB257" s="31">
        <v>47</v>
      </c>
      <c r="BC257" s="29">
        <v>6</v>
      </c>
      <c r="BD257" s="31">
        <v>4</v>
      </c>
      <c r="BE257" s="29">
        <v>1887</v>
      </c>
      <c r="BF257" s="30">
        <v>3337</v>
      </c>
      <c r="BG257" s="33">
        <v>0.56547797422834878</v>
      </c>
      <c r="BH257" s="30">
        <v>417</v>
      </c>
      <c r="BI257" s="30">
        <v>764</v>
      </c>
      <c r="BJ257" s="35">
        <v>0.54581151832460728</v>
      </c>
    </row>
    <row r="258" spans="1:62" x14ac:dyDescent="0.25">
      <c r="E258" t="s">
        <v>148</v>
      </c>
      <c r="F258" s="32">
        <v>107</v>
      </c>
      <c r="G258" s="29">
        <v>84</v>
      </c>
      <c r="H258" s="30">
        <v>23</v>
      </c>
      <c r="I258" s="30">
        <v>107</v>
      </c>
      <c r="J258" s="31">
        <v>0</v>
      </c>
      <c r="K258" s="29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1">
        <v>0</v>
      </c>
      <c r="S258" s="32">
        <v>44</v>
      </c>
      <c r="T258" s="29">
        <v>66</v>
      </c>
      <c r="U258" s="30">
        <v>0</v>
      </c>
      <c r="V258" s="30">
        <v>0</v>
      </c>
      <c r="W258" s="30">
        <v>0</v>
      </c>
      <c r="X258" s="31">
        <v>66</v>
      </c>
      <c r="Y258" s="29">
        <v>16</v>
      </c>
      <c r="Z258" s="31">
        <v>14</v>
      </c>
      <c r="AA258" s="29">
        <v>20</v>
      </c>
      <c r="AB258" s="31">
        <v>18</v>
      </c>
      <c r="AC258" s="29">
        <v>16</v>
      </c>
      <c r="AD258">
        <v>15</v>
      </c>
      <c r="AE258" s="29">
        <v>70</v>
      </c>
      <c r="AF258" s="30">
        <v>59</v>
      </c>
      <c r="AG258" s="31">
        <v>0</v>
      </c>
      <c r="AH258" s="136">
        <v>0.25</v>
      </c>
      <c r="AI258" s="33">
        <v>0</v>
      </c>
      <c r="AJ258" s="33">
        <v>-0.2</v>
      </c>
      <c r="AK258" s="33">
        <v>0.2857142857142857</v>
      </c>
      <c r="AL258" s="33">
        <v>7.1428571428571425E-2</v>
      </c>
      <c r="AM258" s="33">
        <v>-0.16666666666666666</v>
      </c>
      <c r="AN258" s="34">
        <v>0.19047619047619047</v>
      </c>
      <c r="AO258" s="33">
        <v>0.17857142857142858</v>
      </c>
      <c r="AP258" s="33">
        <v>0.70238095238095233</v>
      </c>
      <c r="AQ258" s="33">
        <v>0</v>
      </c>
      <c r="AR258" s="35">
        <v>0</v>
      </c>
      <c r="AS258" s="251">
        <f t="shared" si="8"/>
        <v>0.52380952380952384</v>
      </c>
      <c r="AT258" s="252">
        <f t="shared" si="9"/>
        <v>-0.26190476190476192</v>
      </c>
      <c r="AU258" s="29">
        <v>9</v>
      </c>
      <c r="AV258" s="30">
        <v>5</v>
      </c>
      <c r="AW258" s="31">
        <v>5</v>
      </c>
      <c r="AX258" s="136">
        <v>-0.44444444444444442</v>
      </c>
      <c r="AY258" s="33">
        <v>-0.44444444444444442</v>
      </c>
      <c r="AZ258" s="35">
        <v>0</v>
      </c>
      <c r="BA258" s="29">
        <v>44</v>
      </c>
      <c r="BB258" s="31">
        <v>44</v>
      </c>
      <c r="BC258" s="29">
        <v>4</v>
      </c>
      <c r="BD258" s="31">
        <v>11</v>
      </c>
      <c r="BE258" s="29">
        <v>10</v>
      </c>
      <c r="BF258" s="30">
        <v>16</v>
      </c>
      <c r="BG258" s="33">
        <v>0.625</v>
      </c>
      <c r="BH258" s="30">
        <v>4</v>
      </c>
      <c r="BI258" s="30">
        <v>5</v>
      </c>
      <c r="BJ258" s="35">
        <v>0.8</v>
      </c>
    </row>
    <row r="259" spans="1:62" x14ac:dyDescent="0.25">
      <c r="A259" s="132"/>
      <c r="B259" s="132"/>
      <c r="C259" s="132" t="s">
        <v>226</v>
      </c>
      <c r="D259" s="132"/>
      <c r="E259" s="132"/>
      <c r="F259" s="18">
        <v>280</v>
      </c>
      <c r="G259" s="15">
        <v>272</v>
      </c>
      <c r="H259" s="16">
        <v>2</v>
      </c>
      <c r="I259" s="16">
        <v>272</v>
      </c>
      <c r="J259" s="17">
        <v>2</v>
      </c>
      <c r="K259" s="15">
        <v>0</v>
      </c>
      <c r="L259" s="16">
        <v>0</v>
      </c>
      <c r="M259" s="16">
        <v>1</v>
      </c>
      <c r="N259" s="16">
        <v>0</v>
      </c>
      <c r="O259" s="16">
        <v>0</v>
      </c>
      <c r="P259" s="16">
        <v>0</v>
      </c>
      <c r="Q259" s="16">
        <v>0</v>
      </c>
      <c r="R259" s="17">
        <v>5</v>
      </c>
      <c r="S259" s="18">
        <v>19</v>
      </c>
      <c r="T259" s="15">
        <v>1</v>
      </c>
      <c r="U259" s="16">
        <v>0</v>
      </c>
      <c r="V259" s="16">
        <v>0</v>
      </c>
      <c r="W259" s="16">
        <v>1</v>
      </c>
      <c r="X259" s="17">
        <v>0</v>
      </c>
      <c r="Y259" s="15">
        <v>356</v>
      </c>
      <c r="Z259" s="17">
        <v>133</v>
      </c>
      <c r="AA259" s="15">
        <v>312</v>
      </c>
      <c r="AB259" s="17">
        <v>113</v>
      </c>
      <c r="AC259" s="15">
        <v>286</v>
      </c>
      <c r="AD259" s="132">
        <v>110</v>
      </c>
      <c r="AE259" s="15">
        <v>167</v>
      </c>
      <c r="AF259" s="16">
        <v>95</v>
      </c>
      <c r="AG259" s="17">
        <v>27</v>
      </c>
      <c r="AH259" s="133">
        <v>-0.12359550561797752</v>
      </c>
      <c r="AI259" s="19">
        <v>-0.19662921348314608</v>
      </c>
      <c r="AJ259" s="19">
        <v>-8.3333333333333329E-2</v>
      </c>
      <c r="AK259" s="19">
        <v>-0.15037593984962405</v>
      </c>
      <c r="AL259" s="19">
        <v>-0.17293233082706766</v>
      </c>
      <c r="AM259" s="19">
        <v>-2.6548672566371681E-2</v>
      </c>
      <c r="AN259" s="20">
        <v>1.0514705882352942</v>
      </c>
      <c r="AO259" s="19">
        <v>0.40441176470588236</v>
      </c>
      <c r="AP259" s="19">
        <v>0.34926470588235292</v>
      </c>
      <c r="AQ259" s="19">
        <v>9.9264705882352935E-2</v>
      </c>
      <c r="AR259" s="21">
        <v>1.8050541516245487E-2</v>
      </c>
      <c r="AS259" s="247">
        <f t="shared" si="8"/>
        <v>6.985294117647059E-2</v>
      </c>
      <c r="AT259" s="248">
        <f t="shared" si="9"/>
        <v>6.6176470588235295E-2</v>
      </c>
      <c r="AU259" s="15">
        <v>166</v>
      </c>
      <c r="AV259" s="16">
        <v>112</v>
      </c>
      <c r="AW259" s="17">
        <v>135</v>
      </c>
      <c r="AX259" s="133">
        <v>-0.3253012048192771</v>
      </c>
      <c r="AY259" s="19">
        <v>-0.18674698795180722</v>
      </c>
      <c r="AZ259" s="21">
        <v>0.20535714285714285</v>
      </c>
      <c r="BA259" s="15">
        <v>53</v>
      </c>
      <c r="BB259" s="17">
        <v>51</v>
      </c>
      <c r="BC259" s="15">
        <v>3</v>
      </c>
      <c r="BD259" s="17">
        <v>3</v>
      </c>
      <c r="BE259" s="15">
        <v>174</v>
      </c>
      <c r="BF259" s="16">
        <v>286</v>
      </c>
      <c r="BG259" s="19">
        <v>0.60839160839160844</v>
      </c>
      <c r="BH259" s="16">
        <v>79</v>
      </c>
      <c r="BI259" s="16">
        <v>135</v>
      </c>
      <c r="BJ259" s="21">
        <v>0.58518518518518514</v>
      </c>
    </row>
    <row r="260" spans="1:62" x14ac:dyDescent="0.25">
      <c r="E260" t="s">
        <v>68</v>
      </c>
      <c r="F260" s="32">
        <v>248</v>
      </c>
      <c r="G260" s="29">
        <v>242</v>
      </c>
      <c r="H260" s="30">
        <v>0</v>
      </c>
      <c r="I260" s="30">
        <v>240</v>
      </c>
      <c r="J260" s="31">
        <v>2</v>
      </c>
      <c r="K260" s="29">
        <v>0</v>
      </c>
      <c r="L260" s="30">
        <v>0</v>
      </c>
      <c r="M260" s="30">
        <v>1</v>
      </c>
      <c r="N260" s="30">
        <v>0</v>
      </c>
      <c r="O260" s="30">
        <v>0</v>
      </c>
      <c r="P260" s="30">
        <v>0</v>
      </c>
      <c r="Q260" s="30">
        <v>0</v>
      </c>
      <c r="R260" s="31">
        <v>5</v>
      </c>
      <c r="S260" s="32">
        <v>15</v>
      </c>
      <c r="T260" s="29">
        <v>1</v>
      </c>
      <c r="U260" s="30">
        <v>0</v>
      </c>
      <c r="V260" s="30">
        <v>0</v>
      </c>
      <c r="W260" s="30">
        <v>1</v>
      </c>
      <c r="X260" s="31">
        <v>0</v>
      </c>
      <c r="Y260" s="29">
        <v>307</v>
      </c>
      <c r="Z260" s="31">
        <v>118</v>
      </c>
      <c r="AA260" s="29">
        <v>285</v>
      </c>
      <c r="AB260" s="31">
        <v>103</v>
      </c>
      <c r="AC260" s="29">
        <v>266</v>
      </c>
      <c r="AD260">
        <v>100</v>
      </c>
      <c r="AE260" s="29">
        <v>147</v>
      </c>
      <c r="AF260" s="30">
        <v>87</v>
      </c>
      <c r="AG260" s="31">
        <v>27</v>
      </c>
      <c r="AH260" s="136">
        <v>-7.1661237785016291E-2</v>
      </c>
      <c r="AI260" s="33">
        <v>-0.13355048859934854</v>
      </c>
      <c r="AJ260" s="33">
        <v>-6.6666666666666666E-2</v>
      </c>
      <c r="AK260" s="33">
        <v>-0.1271186440677966</v>
      </c>
      <c r="AL260" s="33">
        <v>-0.15254237288135594</v>
      </c>
      <c r="AM260" s="33">
        <v>-2.9126213592233011E-2</v>
      </c>
      <c r="AN260" s="34">
        <v>1.0991735537190082</v>
      </c>
      <c r="AO260" s="33">
        <v>0.41322314049586778</v>
      </c>
      <c r="AP260" s="33">
        <v>0.35950413223140498</v>
      </c>
      <c r="AQ260" s="33">
        <v>0.1115702479338843</v>
      </c>
      <c r="AR260" s="35">
        <v>2.0242914979757085E-2</v>
      </c>
      <c r="AS260" s="251">
        <f t="shared" si="8"/>
        <v>6.1983471074380167E-2</v>
      </c>
      <c r="AT260" s="252">
        <f t="shared" si="9"/>
        <v>5.7851239669421489E-2</v>
      </c>
      <c r="AU260" s="29">
        <v>157</v>
      </c>
      <c r="AV260" s="30">
        <v>104</v>
      </c>
      <c r="AW260" s="31">
        <v>127</v>
      </c>
      <c r="AX260" s="136">
        <v>-0.33757961783439489</v>
      </c>
      <c r="AY260" s="33">
        <v>-0.19108280254777071</v>
      </c>
      <c r="AZ260" s="35">
        <v>0.22115384615384615</v>
      </c>
      <c r="BA260" s="29">
        <v>49</v>
      </c>
      <c r="BB260" s="31">
        <v>49</v>
      </c>
      <c r="BC260" s="29">
        <v>2</v>
      </c>
      <c r="BD260" s="31">
        <v>3</v>
      </c>
      <c r="BE260" s="29">
        <v>164</v>
      </c>
      <c r="BF260" s="30">
        <v>266</v>
      </c>
      <c r="BG260" s="33">
        <v>0.61654135338345861</v>
      </c>
      <c r="BH260" s="30">
        <v>76</v>
      </c>
      <c r="BI260" s="30">
        <v>127</v>
      </c>
      <c r="BJ260" s="35">
        <v>0.59842519685039375</v>
      </c>
    </row>
    <row r="261" spans="1:62" x14ac:dyDescent="0.25">
      <c r="E261" t="s">
        <v>148</v>
      </c>
      <c r="F261" s="32">
        <v>32</v>
      </c>
      <c r="G261" s="29">
        <v>30</v>
      </c>
      <c r="H261" s="30">
        <v>2</v>
      </c>
      <c r="I261" s="30">
        <v>32</v>
      </c>
      <c r="J261" s="31">
        <v>0</v>
      </c>
      <c r="K261" s="29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1">
        <v>0</v>
      </c>
      <c r="S261" s="32">
        <v>4</v>
      </c>
      <c r="T261" s="29"/>
      <c r="U261" s="30"/>
      <c r="V261" s="30"/>
      <c r="W261" s="30"/>
      <c r="X261" s="31"/>
      <c r="Y261" s="29">
        <v>49</v>
      </c>
      <c r="Z261" s="31">
        <v>15</v>
      </c>
      <c r="AA261" s="29">
        <v>27</v>
      </c>
      <c r="AB261" s="31">
        <v>10</v>
      </c>
      <c r="AC261" s="29">
        <v>20</v>
      </c>
      <c r="AD261">
        <v>10</v>
      </c>
      <c r="AE261" s="29">
        <v>20</v>
      </c>
      <c r="AF261" s="30">
        <v>8</v>
      </c>
      <c r="AG261" s="31">
        <v>0</v>
      </c>
      <c r="AH261" s="136">
        <v>-0.44897959183673469</v>
      </c>
      <c r="AI261" s="33">
        <v>-0.59183673469387754</v>
      </c>
      <c r="AJ261" s="33">
        <v>-0.25925925925925924</v>
      </c>
      <c r="AK261" s="33">
        <v>-0.33333333333333331</v>
      </c>
      <c r="AL261" s="33">
        <v>-0.33333333333333331</v>
      </c>
      <c r="AM261" s="33">
        <v>0</v>
      </c>
      <c r="AN261" s="34">
        <v>0.66666666666666663</v>
      </c>
      <c r="AO261" s="33">
        <v>0.33333333333333331</v>
      </c>
      <c r="AP261" s="33">
        <v>0.26666666666666666</v>
      </c>
      <c r="AQ261" s="33">
        <v>0</v>
      </c>
      <c r="AR261" s="35">
        <v>0</v>
      </c>
      <c r="AS261" s="251">
        <f t="shared" si="8"/>
        <v>0.13333333333333333</v>
      </c>
      <c r="AT261" s="252">
        <f t="shared" si="9"/>
        <v>0.13333333333333333</v>
      </c>
      <c r="AU261" s="29">
        <v>23</v>
      </c>
      <c r="AV261" s="30">
        <v>12</v>
      </c>
      <c r="AW261" s="31">
        <v>11</v>
      </c>
      <c r="AX261" s="136">
        <v>-0.47826086956521741</v>
      </c>
      <c r="AY261" s="33">
        <v>-0.52173913043478259</v>
      </c>
      <c r="AZ261" s="35">
        <v>-8.3333333333333329E-2</v>
      </c>
      <c r="BA261" s="29">
        <v>64</v>
      </c>
      <c r="BB261" s="31">
        <v>63</v>
      </c>
      <c r="BC261" s="29">
        <v>11</v>
      </c>
      <c r="BD261" s="31">
        <v>11</v>
      </c>
      <c r="BE261" s="29">
        <v>10</v>
      </c>
      <c r="BF261" s="30">
        <v>20</v>
      </c>
      <c r="BG261" s="33">
        <v>0.5</v>
      </c>
      <c r="BH261" s="30">
        <v>6</v>
      </c>
      <c r="BI261" s="30">
        <v>11</v>
      </c>
      <c r="BJ261" s="35">
        <v>0.54545454545454541</v>
      </c>
    </row>
    <row r="262" spans="1:62" x14ac:dyDescent="0.25">
      <c r="A262" s="128" t="s">
        <v>182</v>
      </c>
      <c r="B262" s="128"/>
      <c r="C262" s="128"/>
      <c r="D262" s="128"/>
      <c r="E262" s="128"/>
      <c r="F262" s="137">
        <v>339</v>
      </c>
      <c r="G262" s="138">
        <v>296</v>
      </c>
      <c r="H262" s="139">
        <v>43</v>
      </c>
      <c r="I262" s="139">
        <v>339</v>
      </c>
      <c r="J262" s="140">
        <v>0</v>
      </c>
      <c r="K262" s="138">
        <v>0</v>
      </c>
      <c r="L262" s="139">
        <v>0</v>
      </c>
      <c r="M262" s="139">
        <v>0</v>
      </c>
      <c r="N262" s="139">
        <v>0</v>
      </c>
      <c r="O262" s="139">
        <v>0</v>
      </c>
      <c r="P262" s="139">
        <v>0</v>
      </c>
      <c r="Q262" s="139">
        <v>0</v>
      </c>
      <c r="R262" s="140">
        <v>0</v>
      </c>
      <c r="S262" s="137">
        <v>6</v>
      </c>
      <c r="T262" s="138">
        <v>1</v>
      </c>
      <c r="U262" s="139">
        <v>0</v>
      </c>
      <c r="V262" s="139">
        <v>0</v>
      </c>
      <c r="W262" s="139">
        <v>0</v>
      </c>
      <c r="X262" s="140">
        <v>1</v>
      </c>
      <c r="Y262" s="138">
        <v>0</v>
      </c>
      <c r="Z262" s="140">
        <v>0</v>
      </c>
      <c r="AA262" s="138">
        <v>0</v>
      </c>
      <c r="AB262" s="140">
        <v>0</v>
      </c>
      <c r="AC262" s="138">
        <v>1</v>
      </c>
      <c r="AD262" s="128">
        <v>1</v>
      </c>
      <c r="AE262" s="138">
        <v>295</v>
      </c>
      <c r="AF262" s="139">
        <v>295</v>
      </c>
      <c r="AG262" s="140">
        <v>0</v>
      </c>
      <c r="AH262" s="141"/>
      <c r="AI262" s="142"/>
      <c r="AJ262" s="142"/>
      <c r="AK262" s="142"/>
      <c r="AL262" s="142"/>
      <c r="AM262" s="142"/>
      <c r="AN262" s="143">
        <v>3.3783783783783786E-3</v>
      </c>
      <c r="AO262" s="142">
        <v>3.3783783783783786E-3</v>
      </c>
      <c r="AP262" s="142">
        <v>0.9966216216216216</v>
      </c>
      <c r="AQ262" s="142">
        <v>0</v>
      </c>
      <c r="AR262" s="144">
        <v>0</v>
      </c>
      <c r="AS262" s="253">
        <f t="shared" si="8"/>
        <v>2.0270270270270271E-2</v>
      </c>
      <c r="AT262" s="254">
        <f t="shared" si="9"/>
        <v>1.6891891891891893E-2</v>
      </c>
      <c r="AU262" s="138">
        <v>0</v>
      </c>
      <c r="AV262" s="139">
        <v>0</v>
      </c>
      <c r="AW262" s="140">
        <v>1</v>
      </c>
      <c r="AX262" s="141"/>
      <c r="AY262" s="142"/>
      <c r="AZ262" s="144"/>
      <c r="BA262" s="138">
        <v>61</v>
      </c>
      <c r="BB262" s="140">
        <v>61</v>
      </c>
      <c r="BC262" s="138">
        <v>13</v>
      </c>
      <c r="BD262" s="140">
        <v>13</v>
      </c>
      <c r="BE262" s="138">
        <v>1</v>
      </c>
      <c r="BF262" s="139">
        <v>1</v>
      </c>
      <c r="BG262" s="142">
        <v>1</v>
      </c>
      <c r="BH262" s="139">
        <v>1</v>
      </c>
      <c r="BI262" s="139">
        <v>1</v>
      </c>
      <c r="BJ262" s="144">
        <v>1</v>
      </c>
    </row>
    <row r="263" spans="1:62" x14ac:dyDescent="0.25">
      <c r="E263" t="s">
        <v>148</v>
      </c>
      <c r="F263" s="32">
        <v>338</v>
      </c>
      <c r="G263" s="29">
        <v>295</v>
      </c>
      <c r="H263" s="30">
        <v>43</v>
      </c>
      <c r="I263" s="30">
        <v>338</v>
      </c>
      <c r="J263" s="31">
        <v>0</v>
      </c>
      <c r="K263" s="29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1">
        <v>0</v>
      </c>
      <c r="S263" s="32">
        <v>6</v>
      </c>
      <c r="T263" s="29">
        <v>1</v>
      </c>
      <c r="U263" s="30">
        <v>0</v>
      </c>
      <c r="V263" s="30">
        <v>0</v>
      </c>
      <c r="W263" s="30">
        <v>0</v>
      </c>
      <c r="X263" s="31">
        <v>1</v>
      </c>
      <c r="Y263" s="29">
        <v>0</v>
      </c>
      <c r="Z263" s="31">
        <v>0</v>
      </c>
      <c r="AA263" s="29">
        <v>0</v>
      </c>
      <c r="AB263" s="31">
        <v>0</v>
      </c>
      <c r="AC263" s="29">
        <v>1</v>
      </c>
      <c r="AD263">
        <v>1</v>
      </c>
      <c r="AE263" s="29">
        <v>294</v>
      </c>
      <c r="AF263" s="30">
        <v>294</v>
      </c>
      <c r="AG263" s="31">
        <v>0</v>
      </c>
      <c r="AH263" s="136"/>
      <c r="AI263" s="33"/>
      <c r="AJ263" s="33"/>
      <c r="AK263" s="33"/>
      <c r="AL263" s="33"/>
      <c r="AM263" s="33"/>
      <c r="AN263" s="34">
        <v>3.3898305084745762E-3</v>
      </c>
      <c r="AO263" s="33">
        <v>3.3898305084745762E-3</v>
      </c>
      <c r="AP263" s="33">
        <v>0.99661016949152548</v>
      </c>
      <c r="AQ263" s="33">
        <v>0</v>
      </c>
      <c r="AR263" s="35">
        <v>0</v>
      </c>
      <c r="AS263" s="251">
        <f t="shared" si="8"/>
        <v>2.0338983050847456E-2</v>
      </c>
      <c r="AT263" s="252">
        <f t="shared" si="9"/>
        <v>1.6949152542372881E-2</v>
      </c>
      <c r="AU263" s="29">
        <v>0</v>
      </c>
      <c r="AV263" s="30">
        <v>0</v>
      </c>
      <c r="AW263" s="31">
        <v>1</v>
      </c>
      <c r="AX263" s="136"/>
      <c r="AY263" s="33"/>
      <c r="AZ263" s="35"/>
      <c r="BA263" s="29">
        <v>61</v>
      </c>
      <c r="BB263" s="31">
        <v>61</v>
      </c>
      <c r="BC263" s="29">
        <v>13</v>
      </c>
      <c r="BD263" s="31">
        <v>13</v>
      </c>
      <c r="BE263" s="29">
        <v>1</v>
      </c>
      <c r="BF263" s="30">
        <v>1</v>
      </c>
      <c r="BG263" s="33">
        <v>1</v>
      </c>
      <c r="BH263" s="30">
        <v>1</v>
      </c>
      <c r="BI263" s="30">
        <v>1</v>
      </c>
      <c r="BJ263" s="35">
        <v>1</v>
      </c>
    </row>
    <row r="264" spans="1:62" x14ac:dyDescent="0.25">
      <c r="A264" s="128" t="s">
        <v>64</v>
      </c>
      <c r="B264" s="128"/>
      <c r="C264" s="128"/>
      <c r="D264" s="128"/>
      <c r="E264" s="128"/>
      <c r="F264" s="137">
        <v>35796</v>
      </c>
      <c r="G264" s="138">
        <v>29710</v>
      </c>
      <c r="H264" s="139">
        <v>93</v>
      </c>
      <c r="I264" s="139">
        <v>28899</v>
      </c>
      <c r="J264" s="140">
        <v>904</v>
      </c>
      <c r="K264" s="138">
        <v>0</v>
      </c>
      <c r="L264" s="139">
        <v>351</v>
      </c>
      <c r="M264" s="139">
        <v>1688</v>
      </c>
      <c r="N264" s="139">
        <v>43</v>
      </c>
      <c r="O264" s="139">
        <v>130</v>
      </c>
      <c r="P264" s="139">
        <v>1</v>
      </c>
      <c r="Q264" s="139">
        <v>269</v>
      </c>
      <c r="R264" s="140">
        <v>3437</v>
      </c>
      <c r="S264" s="137">
        <v>3329</v>
      </c>
      <c r="T264" s="138">
        <v>2537</v>
      </c>
      <c r="U264" s="139">
        <v>83</v>
      </c>
      <c r="V264" s="139">
        <v>188</v>
      </c>
      <c r="W264" s="139">
        <v>1128</v>
      </c>
      <c r="X264" s="140">
        <v>1138</v>
      </c>
      <c r="Y264" s="138">
        <v>148733</v>
      </c>
      <c r="Z264" s="140">
        <v>28294</v>
      </c>
      <c r="AA264" s="138">
        <v>154848</v>
      </c>
      <c r="AB264" s="140">
        <v>26660</v>
      </c>
      <c r="AC264" s="138">
        <v>155744</v>
      </c>
      <c r="AD264" s="128">
        <v>26760</v>
      </c>
      <c r="AE264" s="138">
        <v>8861</v>
      </c>
      <c r="AF264" s="139">
        <v>4067</v>
      </c>
      <c r="AG264" s="140">
        <v>14786</v>
      </c>
      <c r="AH264" s="141">
        <v>4.1113942433757135E-2</v>
      </c>
      <c r="AI264" s="142">
        <v>4.7138160327566847E-2</v>
      </c>
      <c r="AJ264" s="142">
        <v>5.7863194874974164E-3</v>
      </c>
      <c r="AK264" s="142">
        <v>-5.7750759878419454E-2</v>
      </c>
      <c r="AL264" s="142">
        <v>-5.421644164840602E-2</v>
      </c>
      <c r="AM264" s="142">
        <v>3.7509377344336083E-3</v>
      </c>
      <c r="AN264" s="143">
        <v>5.2421406933692358</v>
      </c>
      <c r="AO264" s="142">
        <v>0.90070683271625718</v>
      </c>
      <c r="AP264" s="142">
        <v>0.13688993604846852</v>
      </c>
      <c r="AQ264" s="142">
        <v>0.49767754964658362</v>
      </c>
      <c r="AR264" s="144">
        <v>0.10368962500377107</v>
      </c>
      <c r="AS264" s="253">
        <f t="shared" si="8"/>
        <v>0.11204981487714574</v>
      </c>
      <c r="AT264" s="254">
        <f t="shared" si="9"/>
        <v>2.6657691013126893E-2</v>
      </c>
      <c r="AU264" s="138">
        <v>7731</v>
      </c>
      <c r="AV264" s="139">
        <v>7829</v>
      </c>
      <c r="AW264" s="140">
        <v>7850</v>
      </c>
      <c r="AX264" s="141">
        <v>1.2676238520243176E-2</v>
      </c>
      <c r="AY264" s="142">
        <v>1.5392575346009572E-2</v>
      </c>
      <c r="AZ264" s="144">
        <v>2.6823349086728828E-3</v>
      </c>
      <c r="BA264" s="138">
        <v>11</v>
      </c>
      <c r="BB264" s="140">
        <v>12</v>
      </c>
      <c r="BC264" s="138">
        <v>2</v>
      </c>
      <c r="BD264" s="140">
        <v>2</v>
      </c>
      <c r="BE264" s="138">
        <v>110966</v>
      </c>
      <c r="BF264" s="139">
        <v>155744</v>
      </c>
      <c r="BG264" s="142">
        <v>0.71248972673104582</v>
      </c>
      <c r="BH264" s="139">
        <v>5954</v>
      </c>
      <c r="BI264" s="139">
        <v>7850</v>
      </c>
      <c r="BJ264" s="144">
        <v>0.75847133757961782</v>
      </c>
    </row>
    <row r="265" spans="1:62" x14ac:dyDescent="0.25">
      <c r="A265" s="130"/>
      <c r="B265" s="130" t="s">
        <v>65</v>
      </c>
      <c r="C265" s="130"/>
      <c r="D265" s="130"/>
      <c r="E265" s="130"/>
      <c r="F265" s="11">
        <v>10762</v>
      </c>
      <c r="G265" s="8">
        <v>8422</v>
      </c>
      <c r="H265" s="9">
        <v>2</v>
      </c>
      <c r="I265" s="9">
        <v>7706</v>
      </c>
      <c r="J265" s="10">
        <v>718</v>
      </c>
      <c r="K265" s="8">
        <v>0</v>
      </c>
      <c r="L265" s="9">
        <v>92</v>
      </c>
      <c r="M265" s="9">
        <v>717</v>
      </c>
      <c r="N265" s="9">
        <v>18</v>
      </c>
      <c r="O265" s="9">
        <v>31</v>
      </c>
      <c r="P265" s="9">
        <v>0</v>
      </c>
      <c r="Q265" s="9">
        <v>110</v>
      </c>
      <c r="R265" s="10">
        <v>1367</v>
      </c>
      <c r="S265" s="11">
        <v>855</v>
      </c>
      <c r="T265" s="8">
        <v>747</v>
      </c>
      <c r="U265" s="9">
        <v>32</v>
      </c>
      <c r="V265" s="9">
        <v>83</v>
      </c>
      <c r="W265" s="9">
        <v>469</v>
      </c>
      <c r="X265" s="10">
        <v>163</v>
      </c>
      <c r="Y265" s="8">
        <v>47646</v>
      </c>
      <c r="Z265" s="10">
        <v>9670</v>
      </c>
      <c r="AA265" s="8">
        <v>48760</v>
      </c>
      <c r="AB265" s="10">
        <v>8142</v>
      </c>
      <c r="AC265" s="8">
        <v>47881</v>
      </c>
      <c r="AD265" s="130">
        <v>8040</v>
      </c>
      <c r="AE265" s="8">
        <v>2636</v>
      </c>
      <c r="AF265" s="9">
        <v>1384</v>
      </c>
      <c r="AG265" s="10">
        <v>5080</v>
      </c>
      <c r="AH265" s="131">
        <v>2.3380766486168828E-2</v>
      </c>
      <c r="AI265" s="12">
        <v>4.9322083700625444E-3</v>
      </c>
      <c r="AJ265" s="12">
        <v>-1.8027071369975389E-2</v>
      </c>
      <c r="AK265" s="12">
        <v>-0.15801447776628749</v>
      </c>
      <c r="AL265" s="12">
        <v>-0.16856256463288521</v>
      </c>
      <c r="AM265" s="12">
        <v>-1.2527634487840826E-2</v>
      </c>
      <c r="AN265" s="13">
        <v>5.6852291617193069</v>
      </c>
      <c r="AO265" s="12">
        <v>0.95464260270719548</v>
      </c>
      <c r="AP265" s="12">
        <v>0.16433151270482071</v>
      </c>
      <c r="AQ265" s="12">
        <v>0.60318214200902398</v>
      </c>
      <c r="AR265" s="14">
        <v>0.13964654203698029</v>
      </c>
      <c r="AS265" s="245">
        <f t="shared" si="8"/>
        <v>0.10151982901923534</v>
      </c>
      <c r="AT265" s="246">
        <f t="shared" si="9"/>
        <v>1.2823557349798148E-2</v>
      </c>
      <c r="AU265" s="8">
        <v>4854</v>
      </c>
      <c r="AV265" s="9">
        <v>4988</v>
      </c>
      <c r="AW265" s="10">
        <v>4887</v>
      </c>
      <c r="AX265" s="131">
        <v>2.7606098063452822E-2</v>
      </c>
      <c r="AY265" s="12">
        <v>6.798516687268232E-3</v>
      </c>
      <c r="AZ265" s="14">
        <v>-2.02485966319166E-2</v>
      </c>
      <c r="BA265" s="8">
        <v>10</v>
      </c>
      <c r="BB265" s="10">
        <v>11</v>
      </c>
      <c r="BC265" s="8">
        <v>2</v>
      </c>
      <c r="BD265" s="10">
        <v>2</v>
      </c>
      <c r="BE265" s="8">
        <v>35266</v>
      </c>
      <c r="BF265" s="9">
        <v>47881</v>
      </c>
      <c r="BG265" s="12">
        <v>0.73653432467993563</v>
      </c>
      <c r="BH265" s="9">
        <v>3713</v>
      </c>
      <c r="BI265" s="9">
        <v>4887</v>
      </c>
      <c r="BJ265" s="14">
        <v>0.75977082054430123</v>
      </c>
    </row>
    <row r="266" spans="1:62" x14ac:dyDescent="0.25">
      <c r="A266" s="132"/>
      <c r="B266" s="132"/>
      <c r="C266" s="132" t="s">
        <v>66</v>
      </c>
      <c r="D266" s="132"/>
      <c r="E266" s="132"/>
      <c r="F266" s="18">
        <v>828</v>
      </c>
      <c r="G266" s="15">
        <v>757</v>
      </c>
      <c r="H266" s="16">
        <v>1</v>
      </c>
      <c r="I266" s="16">
        <v>517</v>
      </c>
      <c r="J266" s="17">
        <v>241</v>
      </c>
      <c r="K266" s="15">
        <v>0</v>
      </c>
      <c r="L266" s="16">
        <v>0</v>
      </c>
      <c r="M266" s="16">
        <v>16</v>
      </c>
      <c r="N266" s="16">
        <v>1</v>
      </c>
      <c r="O266" s="16">
        <v>1</v>
      </c>
      <c r="P266" s="16">
        <v>0</v>
      </c>
      <c r="Q266" s="16">
        <v>6</v>
      </c>
      <c r="R266" s="17">
        <v>46</v>
      </c>
      <c r="S266" s="18">
        <v>38</v>
      </c>
      <c r="T266" s="15">
        <v>20</v>
      </c>
      <c r="U266" s="16">
        <v>1</v>
      </c>
      <c r="V266" s="16">
        <v>4</v>
      </c>
      <c r="W266" s="16">
        <v>12</v>
      </c>
      <c r="X266" s="17">
        <v>3</v>
      </c>
      <c r="Y266" s="15">
        <v>1547</v>
      </c>
      <c r="Z266" s="17">
        <v>413</v>
      </c>
      <c r="AA266" s="15">
        <v>2008</v>
      </c>
      <c r="AB266" s="17">
        <v>483</v>
      </c>
      <c r="AC266" s="15">
        <v>2074</v>
      </c>
      <c r="AD266" s="132">
        <v>492</v>
      </c>
      <c r="AE266" s="15">
        <v>335</v>
      </c>
      <c r="AF266" s="16">
        <v>215</v>
      </c>
      <c r="AG266" s="17">
        <v>224</v>
      </c>
      <c r="AH266" s="133">
        <v>0.29799612152553329</v>
      </c>
      <c r="AI266" s="19">
        <v>0.34065934065934067</v>
      </c>
      <c r="AJ266" s="19">
        <v>3.2868525896414341E-2</v>
      </c>
      <c r="AK266" s="19">
        <v>0.16949152542372881</v>
      </c>
      <c r="AL266" s="19">
        <v>0.19128329297820823</v>
      </c>
      <c r="AM266" s="19">
        <v>1.8633540372670808E-2</v>
      </c>
      <c r="AN266" s="20">
        <v>2.739762219286658</v>
      </c>
      <c r="AO266" s="19">
        <v>0.64993394980184938</v>
      </c>
      <c r="AP266" s="19">
        <v>0.28401585204755614</v>
      </c>
      <c r="AQ266" s="19">
        <v>0.29590488771466317</v>
      </c>
      <c r="AR266" s="21">
        <v>5.7285180572851806E-2</v>
      </c>
      <c r="AS266" s="247">
        <f t="shared" si="8"/>
        <v>5.0198150594451783E-2</v>
      </c>
      <c r="AT266" s="248">
        <f t="shared" si="9"/>
        <v>2.3778071334214002E-2</v>
      </c>
      <c r="AU266" s="15">
        <v>735</v>
      </c>
      <c r="AV266" s="16">
        <v>899</v>
      </c>
      <c r="AW266" s="17">
        <v>921</v>
      </c>
      <c r="AX266" s="133">
        <v>0.22312925170068026</v>
      </c>
      <c r="AY266" s="19">
        <v>0.2530612244897959</v>
      </c>
      <c r="AZ266" s="21">
        <v>2.4471635150166853E-2</v>
      </c>
      <c r="BA266" s="15">
        <v>12</v>
      </c>
      <c r="BB266" s="17">
        <v>12</v>
      </c>
      <c r="BC266" s="15">
        <v>2</v>
      </c>
      <c r="BD266" s="17">
        <v>2</v>
      </c>
      <c r="BE266" s="15">
        <v>1510</v>
      </c>
      <c r="BF266" s="16">
        <v>2074</v>
      </c>
      <c r="BG266" s="19">
        <v>0.72806171648987461</v>
      </c>
      <c r="BH266" s="16">
        <v>695</v>
      </c>
      <c r="BI266" s="16">
        <v>921</v>
      </c>
      <c r="BJ266" s="21">
        <v>0.75461454940282302</v>
      </c>
    </row>
    <row r="267" spans="1:62" x14ac:dyDescent="0.25">
      <c r="A267" s="134"/>
      <c r="B267" s="134"/>
      <c r="C267" s="134"/>
      <c r="D267" s="134" t="s">
        <v>67</v>
      </c>
      <c r="E267" s="134"/>
      <c r="F267" s="25">
        <v>189</v>
      </c>
      <c r="G267" s="22">
        <v>156</v>
      </c>
      <c r="H267" s="23">
        <v>0</v>
      </c>
      <c r="I267" s="23">
        <v>154</v>
      </c>
      <c r="J267" s="24">
        <v>2</v>
      </c>
      <c r="K267" s="22">
        <v>0</v>
      </c>
      <c r="L267" s="23">
        <v>0</v>
      </c>
      <c r="M267" s="23">
        <v>13</v>
      </c>
      <c r="N267" s="23">
        <v>1</v>
      </c>
      <c r="O267" s="23">
        <v>1</v>
      </c>
      <c r="P267" s="23">
        <v>0</v>
      </c>
      <c r="Q267" s="23">
        <v>4</v>
      </c>
      <c r="R267" s="24">
        <v>14</v>
      </c>
      <c r="S267" s="25">
        <v>23</v>
      </c>
      <c r="T267" s="22">
        <v>14</v>
      </c>
      <c r="U267" s="23">
        <v>0</v>
      </c>
      <c r="V267" s="23">
        <v>4</v>
      </c>
      <c r="W267" s="23">
        <v>9</v>
      </c>
      <c r="X267" s="24">
        <v>1</v>
      </c>
      <c r="Y267" s="22">
        <v>661</v>
      </c>
      <c r="Z267" s="24">
        <v>127</v>
      </c>
      <c r="AA267" s="22">
        <v>784</v>
      </c>
      <c r="AB267" s="24">
        <v>143</v>
      </c>
      <c r="AC267" s="22">
        <v>785</v>
      </c>
      <c r="AD267" s="134">
        <v>152</v>
      </c>
      <c r="AE267" s="22">
        <v>37</v>
      </c>
      <c r="AF267" s="23">
        <v>14</v>
      </c>
      <c r="AG267" s="24">
        <v>83</v>
      </c>
      <c r="AH267" s="135">
        <v>0.18608169440242056</v>
      </c>
      <c r="AI267" s="26">
        <v>0.1875945537065053</v>
      </c>
      <c r="AJ267" s="26">
        <v>1.2755102040816326E-3</v>
      </c>
      <c r="AK267" s="26">
        <v>0.12598425196850394</v>
      </c>
      <c r="AL267" s="26">
        <v>0.19685039370078741</v>
      </c>
      <c r="AM267" s="26">
        <v>6.2937062937062943E-2</v>
      </c>
      <c r="AN267" s="27">
        <v>5.0320512820512819</v>
      </c>
      <c r="AO267" s="26">
        <v>0.97435897435897434</v>
      </c>
      <c r="AP267" s="26">
        <v>8.9743589743589744E-2</v>
      </c>
      <c r="AQ267" s="26">
        <v>0.53205128205128205</v>
      </c>
      <c r="AR267" s="28">
        <v>8.2352941176470587E-2</v>
      </c>
      <c r="AS267" s="249">
        <f t="shared" si="8"/>
        <v>0.14743589743589744</v>
      </c>
      <c r="AT267" s="250">
        <f t="shared" si="9"/>
        <v>5.7692307692307696E-2</v>
      </c>
      <c r="AU267" s="22">
        <v>386</v>
      </c>
      <c r="AV267" s="23">
        <v>470</v>
      </c>
      <c r="AW267" s="24">
        <v>459</v>
      </c>
      <c r="AX267" s="135">
        <v>0.21761658031088082</v>
      </c>
      <c r="AY267" s="26">
        <v>0.18911917098445596</v>
      </c>
      <c r="AZ267" s="28">
        <v>-2.3404255319148935E-2</v>
      </c>
      <c r="BA267" s="22">
        <v>11</v>
      </c>
      <c r="BB267" s="24">
        <v>12</v>
      </c>
      <c r="BC267" s="22">
        <v>2</v>
      </c>
      <c r="BD267" s="24">
        <v>2</v>
      </c>
      <c r="BE267" s="22">
        <v>583</v>
      </c>
      <c r="BF267" s="23">
        <v>785</v>
      </c>
      <c r="BG267" s="26">
        <v>0.74267515923566874</v>
      </c>
      <c r="BH267" s="23">
        <v>348</v>
      </c>
      <c r="BI267" s="23">
        <v>459</v>
      </c>
      <c r="BJ267" s="28">
        <v>0.75816993464052285</v>
      </c>
    </row>
    <row r="268" spans="1:62" x14ac:dyDescent="0.25">
      <c r="E268" t="s">
        <v>68</v>
      </c>
      <c r="F268" s="32">
        <v>171</v>
      </c>
      <c r="G268" s="29">
        <v>139</v>
      </c>
      <c r="H268" s="30">
        <v>0</v>
      </c>
      <c r="I268" s="30">
        <v>137</v>
      </c>
      <c r="J268" s="31">
        <v>2</v>
      </c>
      <c r="K268" s="29">
        <v>0</v>
      </c>
      <c r="L268" s="30">
        <v>0</v>
      </c>
      <c r="M268" s="30">
        <v>12</v>
      </c>
      <c r="N268" s="30">
        <v>1</v>
      </c>
      <c r="O268" s="30">
        <v>1</v>
      </c>
      <c r="P268" s="30">
        <v>0</v>
      </c>
      <c r="Q268" s="30">
        <v>4</v>
      </c>
      <c r="R268" s="31">
        <v>14</v>
      </c>
      <c r="S268" s="32">
        <v>22</v>
      </c>
      <c r="T268" s="29">
        <v>12</v>
      </c>
      <c r="U268" s="30">
        <v>0</v>
      </c>
      <c r="V268" s="30">
        <v>4</v>
      </c>
      <c r="W268" s="30">
        <v>8</v>
      </c>
      <c r="X268" s="31">
        <v>0</v>
      </c>
      <c r="Y268" s="29">
        <v>634</v>
      </c>
      <c r="Z268" s="31">
        <v>114</v>
      </c>
      <c r="AA268" s="29">
        <v>750</v>
      </c>
      <c r="AB268" s="31">
        <v>130</v>
      </c>
      <c r="AC268" s="29">
        <v>758</v>
      </c>
      <c r="AD268">
        <v>144</v>
      </c>
      <c r="AE268" s="29">
        <v>27</v>
      </c>
      <c r="AF268" s="30">
        <v>10</v>
      </c>
      <c r="AG268" s="31">
        <v>79</v>
      </c>
      <c r="AH268" s="136">
        <v>0.18296529968454259</v>
      </c>
      <c r="AI268" s="33">
        <v>0.19558359621451105</v>
      </c>
      <c r="AJ268" s="33">
        <v>1.0666666666666666E-2</v>
      </c>
      <c r="AK268" s="33">
        <v>0.14035087719298245</v>
      </c>
      <c r="AL268" s="33">
        <v>0.26315789473684209</v>
      </c>
      <c r="AM268" s="33">
        <v>0.1076923076923077</v>
      </c>
      <c r="AN268" s="34">
        <v>5.4532374100719423</v>
      </c>
      <c r="AO268" s="33">
        <v>1.0359712230215827</v>
      </c>
      <c r="AP268" s="33">
        <v>7.1942446043165464E-2</v>
      </c>
      <c r="AQ268" s="33">
        <v>0.56834532374100721</v>
      </c>
      <c r="AR268" s="35">
        <v>9.1503267973856203E-2</v>
      </c>
      <c r="AS268" s="251">
        <f t="shared" si="8"/>
        <v>0.15827338129496402</v>
      </c>
      <c r="AT268" s="252">
        <f t="shared" si="9"/>
        <v>7.1942446043165464E-2</v>
      </c>
      <c r="AU268" s="29">
        <v>378</v>
      </c>
      <c r="AV268" s="30">
        <v>459</v>
      </c>
      <c r="AW268" s="31">
        <v>450</v>
      </c>
      <c r="AX268" s="136">
        <v>0.21428571428571427</v>
      </c>
      <c r="AY268" s="33">
        <v>0.19047619047619047</v>
      </c>
      <c r="AZ268" s="35">
        <v>-1.9607843137254902E-2</v>
      </c>
      <c r="BA268" s="29">
        <v>11</v>
      </c>
      <c r="BB268" s="31">
        <v>12</v>
      </c>
      <c r="BC268" s="29">
        <v>2</v>
      </c>
      <c r="BD268" s="31">
        <v>2</v>
      </c>
      <c r="BE268" s="29">
        <v>566</v>
      </c>
      <c r="BF268" s="30">
        <v>758</v>
      </c>
      <c r="BG268" s="33">
        <v>0.74670184696569919</v>
      </c>
      <c r="BH268" s="30">
        <v>342</v>
      </c>
      <c r="BI268" s="30">
        <v>450</v>
      </c>
      <c r="BJ268" s="35">
        <v>0.76</v>
      </c>
    </row>
    <row r="269" spans="1:62" x14ac:dyDescent="0.25">
      <c r="A269" s="134"/>
      <c r="B269" s="134"/>
      <c r="C269" s="134"/>
      <c r="D269" s="134" t="s">
        <v>69</v>
      </c>
      <c r="E269" s="134"/>
      <c r="F269" s="25">
        <v>639</v>
      </c>
      <c r="G269" s="22">
        <v>601</v>
      </c>
      <c r="H269" s="23">
        <v>1</v>
      </c>
      <c r="I269" s="23">
        <v>363</v>
      </c>
      <c r="J269" s="24">
        <v>239</v>
      </c>
      <c r="K269" s="22">
        <v>0</v>
      </c>
      <c r="L269" s="23">
        <v>0</v>
      </c>
      <c r="M269" s="23">
        <v>3</v>
      </c>
      <c r="N269" s="23">
        <v>0</v>
      </c>
      <c r="O269" s="23">
        <v>0</v>
      </c>
      <c r="P269" s="23">
        <v>0</v>
      </c>
      <c r="Q269" s="23">
        <v>2</v>
      </c>
      <c r="R269" s="24">
        <v>32</v>
      </c>
      <c r="S269" s="25">
        <v>15</v>
      </c>
      <c r="T269" s="22">
        <v>6</v>
      </c>
      <c r="U269" s="23">
        <v>1</v>
      </c>
      <c r="V269" s="23">
        <v>0</v>
      </c>
      <c r="W269" s="23">
        <v>3</v>
      </c>
      <c r="X269" s="24">
        <v>2</v>
      </c>
      <c r="Y269" s="22">
        <v>886</v>
      </c>
      <c r="Z269" s="24">
        <v>286</v>
      </c>
      <c r="AA269" s="22">
        <v>1224</v>
      </c>
      <c r="AB269" s="24">
        <v>340</v>
      </c>
      <c r="AC269" s="22">
        <v>1289</v>
      </c>
      <c r="AD269" s="134">
        <v>340</v>
      </c>
      <c r="AE269" s="22">
        <v>298</v>
      </c>
      <c r="AF269" s="23">
        <v>201</v>
      </c>
      <c r="AG269" s="24">
        <v>141</v>
      </c>
      <c r="AH269" s="135">
        <v>0.38148984198645597</v>
      </c>
      <c r="AI269" s="26">
        <v>0.45485327313769752</v>
      </c>
      <c r="AJ269" s="26">
        <v>5.3104575163398691E-2</v>
      </c>
      <c r="AK269" s="26">
        <v>0.1888111888111888</v>
      </c>
      <c r="AL269" s="26">
        <v>0.1888111888111888</v>
      </c>
      <c r="AM269" s="26">
        <v>0</v>
      </c>
      <c r="AN269" s="27">
        <v>2.1447587354409317</v>
      </c>
      <c r="AO269" s="26">
        <v>0.56572379367720471</v>
      </c>
      <c r="AP269" s="26">
        <v>0.33444259567387685</v>
      </c>
      <c r="AQ269" s="26">
        <v>0.23460898502495842</v>
      </c>
      <c r="AR269" s="28">
        <v>5.0552922590837282E-2</v>
      </c>
      <c r="AS269" s="249">
        <f t="shared" si="8"/>
        <v>2.4958402662229616E-2</v>
      </c>
      <c r="AT269" s="250">
        <f t="shared" si="9"/>
        <v>1.4975041597337771E-2</v>
      </c>
      <c r="AU269" s="22">
        <v>457</v>
      </c>
      <c r="AV269" s="23">
        <v>564</v>
      </c>
      <c r="AW269" s="24">
        <v>607</v>
      </c>
      <c r="AX269" s="135">
        <v>0.23413566739606126</v>
      </c>
      <c r="AY269" s="26">
        <v>0.32822757111597373</v>
      </c>
      <c r="AZ269" s="28">
        <v>7.6241134751773049E-2</v>
      </c>
      <c r="BA269" s="22">
        <v>12</v>
      </c>
      <c r="BB269" s="24">
        <v>12</v>
      </c>
      <c r="BC269" s="22">
        <v>2</v>
      </c>
      <c r="BD269" s="24">
        <v>2</v>
      </c>
      <c r="BE269" s="22">
        <v>927</v>
      </c>
      <c r="BF269" s="23">
        <v>1289</v>
      </c>
      <c r="BG269" s="26">
        <v>0.71916214119472455</v>
      </c>
      <c r="BH269" s="23">
        <v>455</v>
      </c>
      <c r="BI269" s="23">
        <v>607</v>
      </c>
      <c r="BJ269" s="28">
        <v>0.74958813838550242</v>
      </c>
    </row>
    <row r="270" spans="1:62" x14ac:dyDescent="0.25">
      <c r="E270" t="s">
        <v>68</v>
      </c>
      <c r="F270" s="32">
        <v>639</v>
      </c>
      <c r="G270" s="29">
        <v>601</v>
      </c>
      <c r="H270" s="30">
        <v>1</v>
      </c>
      <c r="I270" s="30">
        <v>363</v>
      </c>
      <c r="J270" s="31">
        <v>239</v>
      </c>
      <c r="K270" s="29">
        <v>0</v>
      </c>
      <c r="L270" s="30">
        <v>0</v>
      </c>
      <c r="M270" s="30">
        <v>3</v>
      </c>
      <c r="N270" s="30">
        <v>0</v>
      </c>
      <c r="O270" s="30">
        <v>0</v>
      </c>
      <c r="P270" s="30">
        <v>0</v>
      </c>
      <c r="Q270" s="30">
        <v>2</v>
      </c>
      <c r="R270" s="31">
        <v>32</v>
      </c>
      <c r="S270" s="32">
        <v>15</v>
      </c>
      <c r="T270" s="29">
        <v>6</v>
      </c>
      <c r="U270" s="30">
        <v>1</v>
      </c>
      <c r="V270" s="30">
        <v>0</v>
      </c>
      <c r="W270" s="30">
        <v>3</v>
      </c>
      <c r="X270" s="31">
        <v>2</v>
      </c>
      <c r="Y270" s="29">
        <v>886</v>
      </c>
      <c r="Z270" s="31">
        <v>286</v>
      </c>
      <c r="AA270" s="29">
        <v>1224</v>
      </c>
      <c r="AB270" s="31">
        <v>340</v>
      </c>
      <c r="AC270" s="29">
        <v>1289</v>
      </c>
      <c r="AD270">
        <v>340</v>
      </c>
      <c r="AE270" s="29">
        <v>298</v>
      </c>
      <c r="AF270" s="30">
        <v>201</v>
      </c>
      <c r="AG270" s="31">
        <v>141</v>
      </c>
      <c r="AH270" s="136">
        <v>0.38148984198645597</v>
      </c>
      <c r="AI270" s="33">
        <v>0.45485327313769752</v>
      </c>
      <c r="AJ270" s="33">
        <v>5.3104575163398691E-2</v>
      </c>
      <c r="AK270" s="33">
        <v>0.1888111888111888</v>
      </c>
      <c r="AL270" s="33">
        <v>0.1888111888111888</v>
      </c>
      <c r="AM270" s="33">
        <v>0</v>
      </c>
      <c r="AN270" s="34">
        <v>2.1447587354409317</v>
      </c>
      <c r="AO270" s="33">
        <v>0.56572379367720471</v>
      </c>
      <c r="AP270" s="33">
        <v>0.33444259567387685</v>
      </c>
      <c r="AQ270" s="33">
        <v>0.23460898502495842</v>
      </c>
      <c r="AR270" s="35">
        <v>5.0552922590837282E-2</v>
      </c>
      <c r="AS270" s="251">
        <f t="shared" si="8"/>
        <v>2.4958402662229616E-2</v>
      </c>
      <c r="AT270" s="252">
        <f t="shared" si="9"/>
        <v>1.4975041597337771E-2</v>
      </c>
      <c r="AU270" s="29">
        <v>457</v>
      </c>
      <c r="AV270" s="30">
        <v>564</v>
      </c>
      <c r="AW270" s="31">
        <v>607</v>
      </c>
      <c r="AX270" s="136">
        <v>0.23413566739606126</v>
      </c>
      <c r="AY270" s="33">
        <v>0.32822757111597373</v>
      </c>
      <c r="AZ270" s="35">
        <v>7.6241134751773049E-2</v>
      </c>
      <c r="BA270" s="29">
        <v>12</v>
      </c>
      <c r="BB270" s="31">
        <v>12</v>
      </c>
      <c r="BC270" s="29">
        <v>2</v>
      </c>
      <c r="BD270" s="31">
        <v>2</v>
      </c>
      <c r="BE270" s="29">
        <v>927</v>
      </c>
      <c r="BF270" s="30">
        <v>1289</v>
      </c>
      <c r="BG270" s="33">
        <v>0.71916214119472455</v>
      </c>
      <c r="BH270" s="30">
        <v>455</v>
      </c>
      <c r="BI270" s="30">
        <v>607</v>
      </c>
      <c r="BJ270" s="35">
        <v>0.74958813838550242</v>
      </c>
    </row>
    <row r="271" spans="1:62" x14ac:dyDescent="0.25">
      <c r="A271" s="132"/>
      <c r="B271" s="132"/>
      <c r="C271" s="132" t="s">
        <v>70</v>
      </c>
      <c r="D271" s="132"/>
      <c r="E271" s="132"/>
      <c r="F271" s="18">
        <v>2679</v>
      </c>
      <c r="G271" s="15">
        <v>2011</v>
      </c>
      <c r="H271" s="16">
        <v>0</v>
      </c>
      <c r="I271" s="16">
        <v>1857</v>
      </c>
      <c r="J271" s="17">
        <v>154</v>
      </c>
      <c r="K271" s="15">
        <v>0</v>
      </c>
      <c r="L271" s="16">
        <v>7</v>
      </c>
      <c r="M271" s="16">
        <v>179</v>
      </c>
      <c r="N271" s="16">
        <v>6</v>
      </c>
      <c r="O271" s="16">
        <v>14</v>
      </c>
      <c r="P271" s="16">
        <v>0</v>
      </c>
      <c r="Q271" s="16">
        <v>35</v>
      </c>
      <c r="R271" s="17">
        <v>426</v>
      </c>
      <c r="S271" s="18">
        <v>262</v>
      </c>
      <c r="T271" s="15">
        <v>161</v>
      </c>
      <c r="U271" s="16">
        <v>11</v>
      </c>
      <c r="V271" s="16">
        <v>29</v>
      </c>
      <c r="W271" s="16">
        <v>114</v>
      </c>
      <c r="X271" s="17">
        <v>7</v>
      </c>
      <c r="Y271" s="15">
        <v>16337</v>
      </c>
      <c r="Z271" s="17">
        <v>3081</v>
      </c>
      <c r="AA271" s="15">
        <v>14542</v>
      </c>
      <c r="AB271" s="17">
        <v>2097</v>
      </c>
      <c r="AC271" s="15">
        <v>15211</v>
      </c>
      <c r="AD271" s="132">
        <v>2155</v>
      </c>
      <c r="AE271" s="15">
        <v>522</v>
      </c>
      <c r="AF271" s="16">
        <v>316</v>
      </c>
      <c r="AG271" s="17">
        <v>1654</v>
      </c>
      <c r="AH271" s="133">
        <v>-0.10987329375038257</v>
      </c>
      <c r="AI271" s="19">
        <v>-6.8923302931994862E-2</v>
      </c>
      <c r="AJ271" s="19">
        <v>4.6004676110576265E-2</v>
      </c>
      <c r="AK271" s="19">
        <v>-0.31937682570593962</v>
      </c>
      <c r="AL271" s="19">
        <v>-0.30055176890619928</v>
      </c>
      <c r="AM271" s="19">
        <v>2.7658559847401048E-2</v>
      </c>
      <c r="AN271" s="20">
        <v>7.5638985579313776</v>
      </c>
      <c r="AO271" s="19">
        <v>1.0716061660865241</v>
      </c>
      <c r="AP271" s="19">
        <v>0.15713575335653904</v>
      </c>
      <c r="AQ271" s="19">
        <v>0.82247637991049227</v>
      </c>
      <c r="AR271" s="21">
        <v>0.17480508822322527</v>
      </c>
      <c r="AS271" s="247">
        <f t="shared" si="8"/>
        <v>0.13028344107409248</v>
      </c>
      <c r="AT271" s="248">
        <f t="shared" si="9"/>
        <v>5.0223769269020391E-2</v>
      </c>
      <c r="AU271" s="15">
        <v>2773</v>
      </c>
      <c r="AV271" s="16">
        <v>2549</v>
      </c>
      <c r="AW271" s="17">
        <v>2606</v>
      </c>
      <c r="AX271" s="133">
        <v>-8.077893977641544E-2</v>
      </c>
      <c r="AY271" s="19">
        <v>-6.0223584565452577E-2</v>
      </c>
      <c r="AZ271" s="21">
        <v>2.236171047469596E-2</v>
      </c>
      <c r="BA271" s="15">
        <v>9</v>
      </c>
      <c r="BB271" s="17">
        <v>10</v>
      </c>
      <c r="BC271" s="15">
        <v>2</v>
      </c>
      <c r="BD271" s="17">
        <v>1</v>
      </c>
      <c r="BE271" s="15">
        <v>11273</v>
      </c>
      <c r="BF271" s="16">
        <v>15211</v>
      </c>
      <c r="BG271" s="19">
        <v>0.7411084083886661</v>
      </c>
      <c r="BH271" s="16">
        <v>1982</v>
      </c>
      <c r="BI271" s="16">
        <v>2606</v>
      </c>
      <c r="BJ271" s="21">
        <v>0.76055257099002305</v>
      </c>
    </row>
    <row r="272" spans="1:62" x14ac:dyDescent="0.25">
      <c r="E272" t="s">
        <v>68</v>
      </c>
      <c r="F272" s="32">
        <v>2677</v>
      </c>
      <c r="G272" s="29">
        <v>2009</v>
      </c>
      <c r="H272" s="30">
        <v>0</v>
      </c>
      <c r="I272" s="30">
        <v>1855</v>
      </c>
      <c r="J272" s="31">
        <v>154</v>
      </c>
      <c r="K272" s="29">
        <v>0</v>
      </c>
      <c r="L272" s="30">
        <v>7</v>
      </c>
      <c r="M272" s="30">
        <v>179</v>
      </c>
      <c r="N272" s="30">
        <v>6</v>
      </c>
      <c r="O272" s="30">
        <v>14</v>
      </c>
      <c r="P272" s="30">
        <v>0</v>
      </c>
      <c r="Q272" s="30">
        <v>35</v>
      </c>
      <c r="R272" s="31">
        <v>426</v>
      </c>
      <c r="S272" s="32">
        <v>261</v>
      </c>
      <c r="T272" s="29">
        <v>161</v>
      </c>
      <c r="U272" s="30">
        <v>11</v>
      </c>
      <c r="V272" s="30">
        <v>29</v>
      </c>
      <c r="W272" s="30">
        <v>114</v>
      </c>
      <c r="X272" s="31">
        <v>7</v>
      </c>
      <c r="Y272" s="29">
        <v>16337</v>
      </c>
      <c r="Z272" s="31">
        <v>3081</v>
      </c>
      <c r="AA272" s="29">
        <v>14542</v>
      </c>
      <c r="AB272" s="31">
        <v>2097</v>
      </c>
      <c r="AC272" s="29">
        <v>15206</v>
      </c>
      <c r="AD272">
        <v>2154</v>
      </c>
      <c r="AE272" s="29">
        <v>521</v>
      </c>
      <c r="AF272" s="30">
        <v>315</v>
      </c>
      <c r="AG272" s="31">
        <v>1653</v>
      </c>
      <c r="AH272" s="136">
        <v>-0.10987329375038257</v>
      </c>
      <c r="AI272" s="33">
        <v>-6.9229356675032133E-2</v>
      </c>
      <c r="AJ272" s="33">
        <v>4.5660844450557007E-2</v>
      </c>
      <c r="AK272" s="33">
        <v>-0.31937682570593962</v>
      </c>
      <c r="AL272" s="33">
        <v>-0.30087633885102238</v>
      </c>
      <c r="AM272" s="33">
        <v>2.7181688125894134E-2</v>
      </c>
      <c r="AN272" s="34">
        <v>7.5689397710303634</v>
      </c>
      <c r="AO272" s="33">
        <v>1.0721752115480339</v>
      </c>
      <c r="AP272" s="33">
        <v>0.156794425087108</v>
      </c>
      <c r="AQ272" s="33">
        <v>0.82279741164758591</v>
      </c>
      <c r="AR272" s="35">
        <v>0.17494866529774128</v>
      </c>
      <c r="AS272" s="251">
        <f t="shared" si="8"/>
        <v>0.12991538078646092</v>
      </c>
      <c r="AT272" s="252">
        <f t="shared" si="9"/>
        <v>4.9776007964161276E-2</v>
      </c>
      <c r="AU272" s="29">
        <v>2773</v>
      </c>
      <c r="AV272" s="30">
        <v>2549</v>
      </c>
      <c r="AW272" s="31">
        <v>2605</v>
      </c>
      <c r="AX272" s="136">
        <v>-8.077893977641544E-2</v>
      </c>
      <c r="AY272" s="33">
        <v>-6.0584204832311576E-2</v>
      </c>
      <c r="AZ272" s="35">
        <v>2.1969399764613574E-2</v>
      </c>
      <c r="BA272" s="29">
        <v>9</v>
      </c>
      <c r="BB272" s="31">
        <v>10</v>
      </c>
      <c r="BC272" s="29">
        <v>2</v>
      </c>
      <c r="BD272" s="31">
        <v>1</v>
      </c>
      <c r="BE272" s="29">
        <v>11269</v>
      </c>
      <c r="BF272" s="30">
        <v>15206</v>
      </c>
      <c r="BG272" s="33">
        <v>0.7410890437985006</v>
      </c>
      <c r="BH272" s="30">
        <v>1980</v>
      </c>
      <c r="BI272" s="30">
        <v>2605</v>
      </c>
      <c r="BJ272" s="35">
        <v>0.76007677543186181</v>
      </c>
    </row>
    <row r="273" spans="1:62" x14ac:dyDescent="0.25">
      <c r="A273" s="132"/>
      <c r="B273" s="132"/>
      <c r="C273" s="132" t="s">
        <v>71</v>
      </c>
      <c r="D273" s="132"/>
      <c r="E273" s="132"/>
      <c r="F273" s="18">
        <v>3068</v>
      </c>
      <c r="G273" s="15">
        <v>2510</v>
      </c>
      <c r="H273" s="16">
        <v>1</v>
      </c>
      <c r="I273" s="16">
        <v>2266</v>
      </c>
      <c r="J273" s="17">
        <v>245</v>
      </c>
      <c r="K273" s="15">
        <v>0</v>
      </c>
      <c r="L273" s="16">
        <v>41</v>
      </c>
      <c r="M273" s="16">
        <v>138</v>
      </c>
      <c r="N273" s="16">
        <v>3</v>
      </c>
      <c r="O273" s="16">
        <v>8</v>
      </c>
      <c r="P273" s="16">
        <v>0</v>
      </c>
      <c r="Q273" s="16">
        <v>24</v>
      </c>
      <c r="R273" s="17">
        <v>343</v>
      </c>
      <c r="S273" s="18">
        <v>174</v>
      </c>
      <c r="T273" s="15">
        <v>178</v>
      </c>
      <c r="U273" s="16">
        <v>9</v>
      </c>
      <c r="V273" s="16">
        <v>18</v>
      </c>
      <c r="W273" s="16">
        <v>81</v>
      </c>
      <c r="X273" s="17">
        <v>70</v>
      </c>
      <c r="Y273" s="15">
        <v>13514</v>
      </c>
      <c r="Z273" s="17">
        <v>2956</v>
      </c>
      <c r="AA273" s="15">
        <v>13259</v>
      </c>
      <c r="AB273" s="17">
        <v>2412</v>
      </c>
      <c r="AC273" s="15">
        <v>12704</v>
      </c>
      <c r="AD273" s="132">
        <v>2306</v>
      </c>
      <c r="AE273" s="15">
        <v>724</v>
      </c>
      <c r="AF273" s="16">
        <v>396</v>
      </c>
      <c r="AG273" s="17">
        <v>1329</v>
      </c>
      <c r="AH273" s="133">
        <v>-1.8869320704454639E-2</v>
      </c>
      <c r="AI273" s="19">
        <v>-5.9937842237679444E-2</v>
      </c>
      <c r="AJ273" s="19">
        <v>-4.185836035900143E-2</v>
      </c>
      <c r="AK273" s="19">
        <v>-0.18403247631935046</v>
      </c>
      <c r="AL273" s="19">
        <v>-0.2198917456021651</v>
      </c>
      <c r="AM273" s="19">
        <v>-4.39469320066335E-2</v>
      </c>
      <c r="AN273" s="20">
        <v>5.0613545816733065</v>
      </c>
      <c r="AO273" s="19">
        <v>0.91872509960159365</v>
      </c>
      <c r="AP273" s="19">
        <v>0.15776892430278885</v>
      </c>
      <c r="AQ273" s="19">
        <v>0.52948207171314743</v>
      </c>
      <c r="AR273" s="21">
        <v>0.12022432527164388</v>
      </c>
      <c r="AS273" s="247">
        <f t="shared" si="8"/>
        <v>6.932270916334661E-2</v>
      </c>
      <c r="AT273" s="248">
        <f t="shared" si="9"/>
        <v>-1.5936254980079682E-3</v>
      </c>
      <c r="AU273" s="15">
        <v>3018</v>
      </c>
      <c r="AV273" s="16">
        <v>2808</v>
      </c>
      <c r="AW273" s="17">
        <v>2793</v>
      </c>
      <c r="AX273" s="133">
        <v>-6.9582504970178927E-2</v>
      </c>
      <c r="AY273" s="19">
        <v>-7.4552683896620273E-2</v>
      </c>
      <c r="AZ273" s="21">
        <v>-5.341880341880342E-3</v>
      </c>
      <c r="BA273" s="15">
        <v>10</v>
      </c>
      <c r="BB273" s="17">
        <v>10</v>
      </c>
      <c r="BC273" s="15">
        <v>2</v>
      </c>
      <c r="BD273" s="17">
        <v>2</v>
      </c>
      <c r="BE273" s="15">
        <v>9268</v>
      </c>
      <c r="BF273" s="16">
        <v>12704</v>
      </c>
      <c r="BG273" s="19">
        <v>0.72953400503778343</v>
      </c>
      <c r="BH273" s="16">
        <v>2096</v>
      </c>
      <c r="BI273" s="16">
        <v>2793</v>
      </c>
      <c r="BJ273" s="21">
        <v>0.75044754744002862</v>
      </c>
    </row>
    <row r="274" spans="1:62" x14ac:dyDescent="0.25">
      <c r="E274" t="s">
        <v>68</v>
      </c>
      <c r="F274" s="32">
        <v>3068</v>
      </c>
      <c r="G274" s="29">
        <v>2510</v>
      </c>
      <c r="H274" s="30">
        <v>1</v>
      </c>
      <c r="I274" s="30">
        <v>2266</v>
      </c>
      <c r="J274" s="31">
        <v>245</v>
      </c>
      <c r="K274" s="29">
        <v>0</v>
      </c>
      <c r="L274" s="30">
        <v>41</v>
      </c>
      <c r="M274" s="30">
        <v>138</v>
      </c>
      <c r="N274" s="30">
        <v>3</v>
      </c>
      <c r="O274" s="30">
        <v>8</v>
      </c>
      <c r="P274" s="30">
        <v>0</v>
      </c>
      <c r="Q274" s="30">
        <v>24</v>
      </c>
      <c r="R274" s="31">
        <v>343</v>
      </c>
      <c r="S274" s="32">
        <v>174</v>
      </c>
      <c r="T274" s="29">
        <v>178</v>
      </c>
      <c r="U274" s="30">
        <v>9</v>
      </c>
      <c r="V274" s="30">
        <v>18</v>
      </c>
      <c r="W274" s="30">
        <v>81</v>
      </c>
      <c r="X274" s="31">
        <v>70</v>
      </c>
      <c r="Y274" s="29">
        <v>13514</v>
      </c>
      <c r="Z274" s="31">
        <v>2956</v>
      </c>
      <c r="AA274" s="29">
        <v>13259</v>
      </c>
      <c r="AB274" s="31">
        <v>2412</v>
      </c>
      <c r="AC274" s="29">
        <v>12704</v>
      </c>
      <c r="AD274">
        <v>2306</v>
      </c>
      <c r="AE274" s="29">
        <v>724</v>
      </c>
      <c r="AF274" s="30">
        <v>396</v>
      </c>
      <c r="AG274" s="31">
        <v>1329</v>
      </c>
      <c r="AH274" s="136">
        <v>-1.8869320704454639E-2</v>
      </c>
      <c r="AI274" s="33">
        <v>-5.9937842237679444E-2</v>
      </c>
      <c r="AJ274" s="33">
        <v>-4.185836035900143E-2</v>
      </c>
      <c r="AK274" s="33">
        <v>-0.18403247631935046</v>
      </c>
      <c r="AL274" s="33">
        <v>-0.2198917456021651</v>
      </c>
      <c r="AM274" s="33">
        <v>-4.39469320066335E-2</v>
      </c>
      <c r="AN274" s="34">
        <v>5.0613545816733065</v>
      </c>
      <c r="AO274" s="33">
        <v>0.91872509960159365</v>
      </c>
      <c r="AP274" s="33">
        <v>0.15776892430278885</v>
      </c>
      <c r="AQ274" s="33">
        <v>0.52948207171314743</v>
      </c>
      <c r="AR274" s="35">
        <v>0.12022432527164388</v>
      </c>
      <c r="AS274" s="251">
        <f t="shared" si="8"/>
        <v>6.932270916334661E-2</v>
      </c>
      <c r="AT274" s="252">
        <f t="shared" si="9"/>
        <v>-1.5936254980079682E-3</v>
      </c>
      <c r="AU274" s="29">
        <v>3018</v>
      </c>
      <c r="AV274" s="30">
        <v>2808</v>
      </c>
      <c r="AW274" s="31">
        <v>2793</v>
      </c>
      <c r="AX274" s="136">
        <v>-6.9582504970178927E-2</v>
      </c>
      <c r="AY274" s="33">
        <v>-7.4552683896620273E-2</v>
      </c>
      <c r="AZ274" s="35">
        <v>-5.341880341880342E-3</v>
      </c>
      <c r="BA274" s="29">
        <v>10</v>
      </c>
      <c r="BB274" s="31">
        <v>10</v>
      </c>
      <c r="BC274" s="29">
        <v>2</v>
      </c>
      <c r="BD274" s="31">
        <v>2</v>
      </c>
      <c r="BE274" s="29">
        <v>9268</v>
      </c>
      <c r="BF274" s="30">
        <v>12704</v>
      </c>
      <c r="BG274" s="33">
        <v>0.72953400503778343</v>
      </c>
      <c r="BH274" s="30">
        <v>2095</v>
      </c>
      <c r="BI274" s="30">
        <v>2793</v>
      </c>
      <c r="BJ274" s="35">
        <v>0.75008950948800568</v>
      </c>
    </row>
    <row r="275" spans="1:62" x14ac:dyDescent="0.25">
      <c r="A275" s="132"/>
      <c r="B275" s="132"/>
      <c r="C275" s="132" t="s">
        <v>72</v>
      </c>
      <c r="D275" s="132"/>
      <c r="E275" s="132"/>
      <c r="F275" s="18">
        <v>245</v>
      </c>
      <c r="G275" s="15">
        <v>139</v>
      </c>
      <c r="H275" s="16">
        <v>0</v>
      </c>
      <c r="I275" s="16">
        <v>132</v>
      </c>
      <c r="J275" s="17">
        <v>7</v>
      </c>
      <c r="K275" s="15">
        <v>0</v>
      </c>
      <c r="L275" s="16">
        <v>18</v>
      </c>
      <c r="M275" s="16">
        <v>30</v>
      </c>
      <c r="N275" s="16">
        <v>2</v>
      </c>
      <c r="O275" s="16">
        <v>1</v>
      </c>
      <c r="P275" s="16">
        <v>0</v>
      </c>
      <c r="Q275" s="16">
        <v>2</v>
      </c>
      <c r="R275" s="17">
        <v>53</v>
      </c>
      <c r="S275" s="18">
        <v>30</v>
      </c>
      <c r="T275" s="15">
        <v>31</v>
      </c>
      <c r="U275" s="16">
        <v>2</v>
      </c>
      <c r="V275" s="16">
        <v>2</v>
      </c>
      <c r="W275" s="16">
        <v>18</v>
      </c>
      <c r="X275" s="17">
        <v>9</v>
      </c>
      <c r="Y275" s="15">
        <v>933</v>
      </c>
      <c r="Z275" s="17">
        <v>190</v>
      </c>
      <c r="AA275" s="15">
        <v>1026</v>
      </c>
      <c r="AB275" s="17">
        <v>172</v>
      </c>
      <c r="AC275" s="15">
        <v>876</v>
      </c>
      <c r="AD275" s="132">
        <v>160</v>
      </c>
      <c r="AE275" s="15">
        <v>67</v>
      </c>
      <c r="AF275" s="16">
        <v>25</v>
      </c>
      <c r="AG275" s="17">
        <v>110</v>
      </c>
      <c r="AH275" s="133">
        <v>9.9678456591639875E-2</v>
      </c>
      <c r="AI275" s="19">
        <v>-6.1093247588424437E-2</v>
      </c>
      <c r="AJ275" s="19">
        <v>-0.14619883040935672</v>
      </c>
      <c r="AK275" s="19">
        <v>-9.4736842105263161E-2</v>
      </c>
      <c r="AL275" s="19">
        <v>-0.15789473684210525</v>
      </c>
      <c r="AM275" s="19">
        <v>-6.9767441860465115E-2</v>
      </c>
      <c r="AN275" s="20">
        <v>6.3021582733812949</v>
      </c>
      <c r="AO275" s="19">
        <v>1.1510791366906474</v>
      </c>
      <c r="AP275" s="19">
        <v>0.17985611510791366</v>
      </c>
      <c r="AQ275" s="19">
        <v>0.79136690647482011</v>
      </c>
      <c r="AR275" s="21">
        <v>0.27604166666666669</v>
      </c>
      <c r="AS275" s="247">
        <f t="shared" si="8"/>
        <v>0.21582733812949639</v>
      </c>
      <c r="AT275" s="248">
        <f t="shared" si="9"/>
        <v>-7.1942446043165471E-3</v>
      </c>
      <c r="AU275" s="15">
        <v>461</v>
      </c>
      <c r="AV275" s="16">
        <v>502</v>
      </c>
      <c r="AW275" s="17">
        <v>423</v>
      </c>
      <c r="AX275" s="133">
        <v>8.8937093275488072E-2</v>
      </c>
      <c r="AY275" s="19">
        <v>-8.2429501084598705E-2</v>
      </c>
      <c r="AZ275" s="21">
        <v>-0.15737051792828685</v>
      </c>
      <c r="BA275" s="15">
        <v>21</v>
      </c>
      <c r="BB275" s="17">
        <v>12</v>
      </c>
      <c r="BC275" s="15">
        <v>1</v>
      </c>
      <c r="BD275" s="17">
        <v>1</v>
      </c>
      <c r="BE275" s="15">
        <v>582</v>
      </c>
      <c r="BF275" s="16">
        <v>876</v>
      </c>
      <c r="BG275" s="19">
        <v>0.66438356164383561</v>
      </c>
      <c r="BH275" s="16">
        <v>312</v>
      </c>
      <c r="BI275" s="16">
        <v>423</v>
      </c>
      <c r="BJ275" s="21">
        <v>0.73758865248226946</v>
      </c>
    </row>
    <row r="276" spans="1:62" x14ac:dyDescent="0.25">
      <c r="E276" t="s">
        <v>82</v>
      </c>
      <c r="F276" s="32">
        <v>58</v>
      </c>
      <c r="G276" s="29">
        <v>32</v>
      </c>
      <c r="H276" s="30">
        <v>0</v>
      </c>
      <c r="I276" s="30">
        <v>31</v>
      </c>
      <c r="J276" s="31">
        <v>1</v>
      </c>
      <c r="K276" s="29">
        <v>0</v>
      </c>
      <c r="L276" s="30">
        <v>1</v>
      </c>
      <c r="M276" s="30">
        <v>12</v>
      </c>
      <c r="N276" s="30">
        <v>1</v>
      </c>
      <c r="O276" s="30">
        <v>1</v>
      </c>
      <c r="P276" s="30">
        <v>0</v>
      </c>
      <c r="Q276" s="30">
        <v>1</v>
      </c>
      <c r="R276" s="31">
        <v>10</v>
      </c>
      <c r="S276" s="32">
        <v>1</v>
      </c>
      <c r="T276" s="29">
        <v>16</v>
      </c>
      <c r="U276" s="30">
        <v>0</v>
      </c>
      <c r="V276" s="30">
        <v>1</v>
      </c>
      <c r="W276" s="30">
        <v>7</v>
      </c>
      <c r="X276" s="31">
        <v>8</v>
      </c>
      <c r="Y276" s="29">
        <v>312</v>
      </c>
      <c r="Z276" s="31">
        <v>63</v>
      </c>
      <c r="AA276" s="29">
        <v>232</v>
      </c>
      <c r="AB276" s="31">
        <v>48</v>
      </c>
      <c r="AC276" s="29">
        <v>165</v>
      </c>
      <c r="AD276">
        <v>39</v>
      </c>
      <c r="AE276" s="29">
        <v>18</v>
      </c>
      <c r="AF276" s="30">
        <v>5</v>
      </c>
      <c r="AG276" s="31">
        <v>13</v>
      </c>
      <c r="AH276" s="136">
        <v>-0.25641025641025639</v>
      </c>
      <c r="AI276" s="33">
        <v>-0.47115384615384615</v>
      </c>
      <c r="AJ276" s="33">
        <v>-0.28879310344827586</v>
      </c>
      <c r="AK276" s="33">
        <v>-0.23809523809523808</v>
      </c>
      <c r="AL276" s="33">
        <v>-0.38095238095238093</v>
      </c>
      <c r="AM276" s="33">
        <v>-0.1875</v>
      </c>
      <c r="AN276" s="34">
        <v>5.15625</v>
      </c>
      <c r="AO276" s="33">
        <v>1.21875</v>
      </c>
      <c r="AP276" s="33">
        <v>0.15625</v>
      </c>
      <c r="AQ276" s="33">
        <v>0.40625</v>
      </c>
      <c r="AR276" s="35">
        <v>0.23809523809523808</v>
      </c>
      <c r="AS276" s="251">
        <f t="shared" si="8"/>
        <v>3.125E-2</v>
      </c>
      <c r="AT276" s="252">
        <f t="shared" si="9"/>
        <v>-0.46875</v>
      </c>
      <c r="AU276" s="29">
        <v>183</v>
      </c>
      <c r="AV276" s="30">
        <v>137</v>
      </c>
      <c r="AW276" s="31">
        <v>95</v>
      </c>
      <c r="AX276" s="136">
        <v>-0.25136612021857924</v>
      </c>
      <c r="AY276" s="33">
        <v>-0.48087431693989069</v>
      </c>
      <c r="AZ276" s="35">
        <v>-0.30656934306569344</v>
      </c>
      <c r="BA276" s="29">
        <v>30</v>
      </c>
      <c r="BB276" s="31">
        <v>12</v>
      </c>
      <c r="BC276" s="29">
        <v>2</v>
      </c>
      <c r="BD276" s="31">
        <v>2</v>
      </c>
      <c r="BE276" s="29">
        <v>117</v>
      </c>
      <c r="BF276" s="30">
        <v>165</v>
      </c>
      <c r="BG276" s="33">
        <v>0.70909090909090911</v>
      </c>
      <c r="BH276" s="30">
        <v>67</v>
      </c>
      <c r="BI276" s="30">
        <v>95</v>
      </c>
      <c r="BJ276" s="35">
        <v>0.70526315789473681</v>
      </c>
    </row>
    <row r="277" spans="1:62" x14ac:dyDescent="0.25">
      <c r="E277" t="s">
        <v>68</v>
      </c>
      <c r="F277" s="32">
        <v>184</v>
      </c>
      <c r="G277" s="29">
        <v>104</v>
      </c>
      <c r="H277" s="30">
        <v>0</v>
      </c>
      <c r="I277" s="30">
        <v>98</v>
      </c>
      <c r="J277" s="31">
        <v>6</v>
      </c>
      <c r="K277" s="29">
        <v>0</v>
      </c>
      <c r="L277" s="30">
        <v>17</v>
      </c>
      <c r="M277" s="30">
        <v>18</v>
      </c>
      <c r="N277" s="30">
        <v>1</v>
      </c>
      <c r="O277" s="30">
        <v>0</v>
      </c>
      <c r="P277" s="30">
        <v>0</v>
      </c>
      <c r="Q277" s="30">
        <v>1</v>
      </c>
      <c r="R277" s="31">
        <v>43</v>
      </c>
      <c r="S277" s="32">
        <v>29</v>
      </c>
      <c r="T277" s="29">
        <v>15</v>
      </c>
      <c r="U277" s="30">
        <v>2</v>
      </c>
      <c r="V277" s="30">
        <v>1</v>
      </c>
      <c r="W277" s="30">
        <v>11</v>
      </c>
      <c r="X277" s="31">
        <v>1</v>
      </c>
      <c r="Y277" s="29">
        <v>610</v>
      </c>
      <c r="Z277" s="31">
        <v>125</v>
      </c>
      <c r="AA277" s="29">
        <v>775</v>
      </c>
      <c r="AB277" s="31">
        <v>121</v>
      </c>
      <c r="AC277" s="29">
        <v>694</v>
      </c>
      <c r="AD277">
        <v>118</v>
      </c>
      <c r="AE277" s="29">
        <v>49</v>
      </c>
      <c r="AF277" s="30">
        <v>20</v>
      </c>
      <c r="AG277" s="31">
        <v>96</v>
      </c>
      <c r="AH277" s="136">
        <v>0.27049180327868855</v>
      </c>
      <c r="AI277" s="33">
        <v>0.13770491803278689</v>
      </c>
      <c r="AJ277" s="33">
        <v>-0.10451612903225807</v>
      </c>
      <c r="AK277" s="33">
        <v>-3.2000000000000001E-2</v>
      </c>
      <c r="AL277" s="33">
        <v>-5.6000000000000001E-2</v>
      </c>
      <c r="AM277" s="33">
        <v>-2.4793388429752067E-2</v>
      </c>
      <c r="AN277" s="34">
        <v>6.6730769230769234</v>
      </c>
      <c r="AO277" s="33">
        <v>1.1346153846153846</v>
      </c>
      <c r="AP277" s="33">
        <v>0.19230769230769232</v>
      </c>
      <c r="AQ277" s="33">
        <v>0.92307692307692313</v>
      </c>
      <c r="AR277" s="35">
        <v>0.29251700680272108</v>
      </c>
      <c r="AS277" s="251">
        <f t="shared" si="8"/>
        <v>0.27884615384615385</v>
      </c>
      <c r="AT277" s="252">
        <f t="shared" si="9"/>
        <v>0.13461538461538461</v>
      </c>
      <c r="AU277" s="29">
        <v>351</v>
      </c>
      <c r="AV277" s="30">
        <v>433</v>
      </c>
      <c r="AW277" s="31">
        <v>366</v>
      </c>
      <c r="AX277" s="136">
        <v>0.23361823361823361</v>
      </c>
      <c r="AY277" s="33">
        <v>4.2735042735042736E-2</v>
      </c>
      <c r="AZ277" s="35">
        <v>-0.15473441108545036</v>
      </c>
      <c r="BA277" s="29">
        <v>18</v>
      </c>
      <c r="BB277" s="31">
        <v>12</v>
      </c>
      <c r="BC277" s="29">
        <v>1</v>
      </c>
      <c r="BD277" s="31">
        <v>1</v>
      </c>
      <c r="BE277" s="29">
        <v>452</v>
      </c>
      <c r="BF277" s="30">
        <v>694</v>
      </c>
      <c r="BG277" s="33">
        <v>0.65129682997118155</v>
      </c>
      <c r="BH277" s="30">
        <v>270</v>
      </c>
      <c r="BI277" s="30">
        <v>366</v>
      </c>
      <c r="BJ277" s="35">
        <v>0.73770491803278693</v>
      </c>
    </row>
    <row r="278" spans="1:62" x14ac:dyDescent="0.25">
      <c r="A278" s="132"/>
      <c r="B278" s="132"/>
      <c r="C278" s="132" t="s">
        <v>227</v>
      </c>
      <c r="D278" s="132"/>
      <c r="E278" s="132"/>
      <c r="F278" s="18">
        <v>463</v>
      </c>
      <c r="G278" s="15">
        <v>378</v>
      </c>
      <c r="H278" s="16">
        <v>0</v>
      </c>
      <c r="I278" s="16">
        <v>359</v>
      </c>
      <c r="J278" s="17">
        <v>19</v>
      </c>
      <c r="K278" s="15">
        <v>0</v>
      </c>
      <c r="L278" s="16">
        <v>1</v>
      </c>
      <c r="M278" s="16">
        <v>13</v>
      </c>
      <c r="N278" s="16">
        <v>2</v>
      </c>
      <c r="O278" s="16">
        <v>3</v>
      </c>
      <c r="P278" s="16">
        <v>0</v>
      </c>
      <c r="Q278" s="16">
        <v>1</v>
      </c>
      <c r="R278" s="17">
        <v>64</v>
      </c>
      <c r="S278" s="18">
        <v>22</v>
      </c>
      <c r="T278" s="15">
        <v>9</v>
      </c>
      <c r="U278" s="16">
        <v>2</v>
      </c>
      <c r="V278" s="16">
        <v>1</v>
      </c>
      <c r="W278" s="16">
        <v>5</v>
      </c>
      <c r="X278" s="17">
        <v>1</v>
      </c>
      <c r="Y278" s="15">
        <v>1364</v>
      </c>
      <c r="Z278" s="17">
        <v>357</v>
      </c>
      <c r="AA278" s="15">
        <v>1326</v>
      </c>
      <c r="AB278" s="17">
        <v>380</v>
      </c>
      <c r="AC278" s="15">
        <v>1190</v>
      </c>
      <c r="AD278" s="132">
        <v>351</v>
      </c>
      <c r="AE278" s="15">
        <v>113</v>
      </c>
      <c r="AF278" s="16">
        <v>40</v>
      </c>
      <c r="AG278" s="17">
        <v>147</v>
      </c>
      <c r="AH278" s="133">
        <v>-2.7859237536656891E-2</v>
      </c>
      <c r="AI278" s="19">
        <v>-0.12756598240469208</v>
      </c>
      <c r="AJ278" s="19">
        <v>-0.10256410256410256</v>
      </c>
      <c r="AK278" s="19">
        <v>6.4425770308123242E-2</v>
      </c>
      <c r="AL278" s="19">
        <v>-1.680672268907563E-2</v>
      </c>
      <c r="AM278" s="19">
        <v>-7.6315789473684212E-2</v>
      </c>
      <c r="AN278" s="20">
        <v>3.1481481481481484</v>
      </c>
      <c r="AO278" s="19">
        <v>0.9285714285714286</v>
      </c>
      <c r="AP278" s="19">
        <v>0.10582010582010581</v>
      </c>
      <c r="AQ278" s="19">
        <v>0.3888888888888889</v>
      </c>
      <c r="AR278" s="21">
        <v>0.14479638009049775</v>
      </c>
      <c r="AS278" s="247">
        <f t="shared" si="8"/>
        <v>5.8201058201058198E-2</v>
      </c>
      <c r="AT278" s="248">
        <f t="shared" si="9"/>
        <v>3.439153439153439E-2</v>
      </c>
      <c r="AU278" s="15">
        <v>509</v>
      </c>
      <c r="AV278" s="16">
        <v>495</v>
      </c>
      <c r="AW278" s="17">
        <v>470</v>
      </c>
      <c r="AX278" s="133">
        <v>-2.75049115913556E-2</v>
      </c>
      <c r="AY278" s="19">
        <v>-7.6620825147347735E-2</v>
      </c>
      <c r="AZ278" s="21">
        <v>-5.0505050505050504E-2</v>
      </c>
      <c r="BA278" s="15">
        <v>10</v>
      </c>
      <c r="BB278" s="17">
        <v>11</v>
      </c>
      <c r="BC278" s="15">
        <v>2</v>
      </c>
      <c r="BD278" s="17">
        <v>2</v>
      </c>
      <c r="BE278" s="15">
        <v>759</v>
      </c>
      <c r="BF278" s="16">
        <v>1190</v>
      </c>
      <c r="BG278" s="19">
        <v>0.63781512605042012</v>
      </c>
      <c r="BH278" s="16">
        <v>309</v>
      </c>
      <c r="BI278" s="16">
        <v>470</v>
      </c>
      <c r="BJ278" s="21">
        <v>0.6574468085106383</v>
      </c>
    </row>
    <row r="279" spans="1:62" x14ac:dyDescent="0.25">
      <c r="E279" t="s">
        <v>82</v>
      </c>
      <c r="F279" s="32">
        <v>117</v>
      </c>
      <c r="G279" s="29">
        <v>107</v>
      </c>
      <c r="H279" s="30">
        <v>0</v>
      </c>
      <c r="I279" s="30">
        <v>107</v>
      </c>
      <c r="J279" s="31">
        <v>0</v>
      </c>
      <c r="K279" s="29">
        <v>0</v>
      </c>
      <c r="L279" s="30">
        <v>1</v>
      </c>
      <c r="M279" s="30">
        <v>1</v>
      </c>
      <c r="N279" s="30">
        <v>0</v>
      </c>
      <c r="O279" s="30">
        <v>1</v>
      </c>
      <c r="P279" s="30">
        <v>0</v>
      </c>
      <c r="Q279" s="30">
        <v>0</v>
      </c>
      <c r="R279" s="31">
        <v>7</v>
      </c>
      <c r="S279" s="32">
        <v>4</v>
      </c>
      <c r="T279" s="29">
        <v>1</v>
      </c>
      <c r="U279" s="30">
        <v>1</v>
      </c>
      <c r="V279" s="30">
        <v>0</v>
      </c>
      <c r="W279" s="30">
        <v>0</v>
      </c>
      <c r="X279" s="31">
        <v>0</v>
      </c>
      <c r="Y279" s="29">
        <v>378</v>
      </c>
      <c r="Z279" s="31">
        <v>109</v>
      </c>
      <c r="AA279" s="29">
        <v>303</v>
      </c>
      <c r="AB279" s="31">
        <v>104</v>
      </c>
      <c r="AC279" s="29">
        <v>226</v>
      </c>
      <c r="AD279">
        <v>87</v>
      </c>
      <c r="AE279" s="29">
        <v>29</v>
      </c>
      <c r="AF279" s="30">
        <v>4</v>
      </c>
      <c r="AG279" s="31">
        <v>20</v>
      </c>
      <c r="AH279" s="136">
        <v>-0.1984126984126984</v>
      </c>
      <c r="AI279" s="33">
        <v>-0.40211640211640209</v>
      </c>
      <c r="AJ279" s="33">
        <v>-0.25412541254125415</v>
      </c>
      <c r="AK279" s="33">
        <v>-4.5871559633027525E-2</v>
      </c>
      <c r="AL279" s="33">
        <v>-0.20183486238532111</v>
      </c>
      <c r="AM279" s="33">
        <v>-0.16346153846153846</v>
      </c>
      <c r="AN279" s="34">
        <v>2.1121495327102804</v>
      </c>
      <c r="AO279" s="33">
        <v>0.81308411214953269</v>
      </c>
      <c r="AP279" s="33">
        <v>3.7383177570093455E-2</v>
      </c>
      <c r="AQ279" s="33">
        <v>0.18691588785046728</v>
      </c>
      <c r="AR279" s="35">
        <v>6.1403508771929821E-2</v>
      </c>
      <c r="AS279" s="251">
        <f t="shared" si="8"/>
        <v>3.7383177570093455E-2</v>
      </c>
      <c r="AT279" s="252">
        <f t="shared" si="9"/>
        <v>2.8037383177570093E-2</v>
      </c>
      <c r="AU279" s="29">
        <v>189</v>
      </c>
      <c r="AV279" s="30">
        <v>163</v>
      </c>
      <c r="AW279" s="31">
        <v>148</v>
      </c>
      <c r="AX279" s="136">
        <v>-0.13756613756613756</v>
      </c>
      <c r="AY279" s="33">
        <v>-0.21693121693121692</v>
      </c>
      <c r="AZ279" s="35">
        <v>-9.202453987730061E-2</v>
      </c>
      <c r="BA279" s="29">
        <v>13</v>
      </c>
      <c r="BB279" s="31">
        <v>12.5</v>
      </c>
      <c r="BC279" s="29">
        <v>2</v>
      </c>
      <c r="BD279" s="31">
        <v>2</v>
      </c>
      <c r="BE279" s="29">
        <v>145</v>
      </c>
      <c r="BF279" s="30">
        <v>226</v>
      </c>
      <c r="BG279" s="33">
        <v>0.6415929203539823</v>
      </c>
      <c r="BH279" s="30">
        <v>96</v>
      </c>
      <c r="BI279" s="30">
        <v>148</v>
      </c>
      <c r="BJ279" s="35">
        <v>0.64864864864864868</v>
      </c>
    </row>
    <row r="280" spans="1:62" x14ac:dyDescent="0.25">
      <c r="E280" t="s">
        <v>68</v>
      </c>
      <c r="F280" s="32">
        <v>149</v>
      </c>
      <c r="G280" s="29">
        <v>126</v>
      </c>
      <c r="H280" s="30">
        <v>0</v>
      </c>
      <c r="I280" s="30">
        <v>117</v>
      </c>
      <c r="J280" s="31">
        <v>9</v>
      </c>
      <c r="K280" s="29">
        <v>0</v>
      </c>
      <c r="L280" s="30">
        <v>0</v>
      </c>
      <c r="M280" s="30">
        <v>4</v>
      </c>
      <c r="N280" s="30">
        <v>1</v>
      </c>
      <c r="O280" s="30">
        <v>0</v>
      </c>
      <c r="P280" s="30">
        <v>0</v>
      </c>
      <c r="Q280" s="30">
        <v>0</v>
      </c>
      <c r="R280" s="31">
        <v>18</v>
      </c>
      <c r="S280" s="32">
        <v>17</v>
      </c>
      <c r="T280" s="29">
        <v>3</v>
      </c>
      <c r="U280" s="30">
        <v>1</v>
      </c>
      <c r="V280" s="30">
        <v>0</v>
      </c>
      <c r="W280" s="30">
        <v>2</v>
      </c>
      <c r="X280" s="31">
        <v>0</v>
      </c>
      <c r="Y280" s="29">
        <v>381</v>
      </c>
      <c r="Z280" s="31">
        <v>105</v>
      </c>
      <c r="AA280" s="29">
        <v>444</v>
      </c>
      <c r="AB280" s="31">
        <v>119</v>
      </c>
      <c r="AC280" s="29">
        <v>425</v>
      </c>
      <c r="AD280">
        <v>124</v>
      </c>
      <c r="AE280" s="29">
        <v>26</v>
      </c>
      <c r="AF280" s="30">
        <v>7</v>
      </c>
      <c r="AG280" s="31">
        <v>49</v>
      </c>
      <c r="AH280" s="136">
        <v>0.16535433070866143</v>
      </c>
      <c r="AI280" s="33">
        <v>0.11548556430446194</v>
      </c>
      <c r="AJ280" s="33">
        <v>-4.2792792792792793E-2</v>
      </c>
      <c r="AK280" s="33">
        <v>0.13333333333333333</v>
      </c>
      <c r="AL280" s="33">
        <v>0.18095238095238095</v>
      </c>
      <c r="AM280" s="33">
        <v>4.2016806722689079E-2</v>
      </c>
      <c r="AN280" s="34">
        <v>3.373015873015873</v>
      </c>
      <c r="AO280" s="33">
        <v>0.98412698412698407</v>
      </c>
      <c r="AP280" s="33">
        <v>5.5555555555555552E-2</v>
      </c>
      <c r="AQ280" s="33">
        <v>0.3888888888888889</v>
      </c>
      <c r="AR280" s="35">
        <v>0.125</v>
      </c>
      <c r="AS280" s="251">
        <f t="shared" si="8"/>
        <v>0.13492063492063491</v>
      </c>
      <c r="AT280" s="252">
        <f t="shared" si="9"/>
        <v>0.1111111111111111</v>
      </c>
      <c r="AU280" s="29">
        <v>248</v>
      </c>
      <c r="AV280" s="30">
        <v>252</v>
      </c>
      <c r="AW280" s="31">
        <v>240</v>
      </c>
      <c r="AX280" s="136">
        <v>1.6129032258064516E-2</v>
      </c>
      <c r="AY280" s="33">
        <v>-3.2258064516129031E-2</v>
      </c>
      <c r="AZ280" s="35">
        <v>-4.7619047619047616E-2</v>
      </c>
      <c r="BA280" s="29">
        <v>10</v>
      </c>
      <c r="BB280" s="31">
        <v>10.5</v>
      </c>
      <c r="BC280" s="29">
        <v>1</v>
      </c>
      <c r="BD280" s="31">
        <v>1</v>
      </c>
      <c r="BE280" s="29">
        <v>272</v>
      </c>
      <c r="BF280" s="30">
        <v>425</v>
      </c>
      <c r="BG280" s="33">
        <v>0.64</v>
      </c>
      <c r="BH280" s="30">
        <v>153</v>
      </c>
      <c r="BI280" s="30">
        <v>240</v>
      </c>
      <c r="BJ280" s="35">
        <v>0.63749999999999996</v>
      </c>
    </row>
    <row r="281" spans="1:62" x14ac:dyDescent="0.25">
      <c r="E281" t="s">
        <v>174</v>
      </c>
      <c r="F281" s="32">
        <v>197</v>
      </c>
      <c r="G281" s="29">
        <v>145</v>
      </c>
      <c r="H281" s="30">
        <v>0</v>
      </c>
      <c r="I281" s="30">
        <v>135</v>
      </c>
      <c r="J281" s="31">
        <v>10</v>
      </c>
      <c r="K281" s="29">
        <v>0</v>
      </c>
      <c r="L281" s="30">
        <v>0</v>
      </c>
      <c r="M281" s="30">
        <v>8</v>
      </c>
      <c r="N281" s="30">
        <v>1</v>
      </c>
      <c r="O281" s="30">
        <v>2</v>
      </c>
      <c r="P281" s="30">
        <v>0</v>
      </c>
      <c r="Q281" s="30">
        <v>1</v>
      </c>
      <c r="R281" s="31">
        <v>39</v>
      </c>
      <c r="S281" s="32">
        <v>1</v>
      </c>
      <c r="T281" s="29">
        <v>5</v>
      </c>
      <c r="U281" s="30">
        <v>0</v>
      </c>
      <c r="V281" s="30">
        <v>1</v>
      </c>
      <c r="W281" s="30">
        <v>3</v>
      </c>
      <c r="X281" s="31">
        <v>1</v>
      </c>
      <c r="Y281" s="29">
        <v>605</v>
      </c>
      <c r="Z281" s="31">
        <v>143</v>
      </c>
      <c r="AA281" s="29">
        <v>579</v>
      </c>
      <c r="AB281" s="31">
        <v>157</v>
      </c>
      <c r="AC281" s="29">
        <v>539</v>
      </c>
      <c r="AD281">
        <v>140</v>
      </c>
      <c r="AE281" s="29">
        <v>58</v>
      </c>
      <c r="AF281" s="30">
        <v>29</v>
      </c>
      <c r="AG281" s="31">
        <v>78</v>
      </c>
      <c r="AH281" s="136">
        <v>-4.2975206611570248E-2</v>
      </c>
      <c r="AI281" s="33">
        <v>-0.10909090909090909</v>
      </c>
      <c r="AJ281" s="33">
        <v>-6.9084628670120898E-2</v>
      </c>
      <c r="AK281" s="33">
        <v>9.7902097902097904E-2</v>
      </c>
      <c r="AL281" s="33">
        <v>-2.097902097902098E-2</v>
      </c>
      <c r="AM281" s="33">
        <v>-0.10828025477707007</v>
      </c>
      <c r="AN281" s="34">
        <v>3.7172413793103449</v>
      </c>
      <c r="AO281" s="33">
        <v>0.96551724137931039</v>
      </c>
      <c r="AP281" s="33">
        <v>0.2</v>
      </c>
      <c r="AQ281" s="33">
        <v>0.53793103448275859</v>
      </c>
      <c r="AR281" s="35">
        <v>0.21195652173913043</v>
      </c>
      <c r="AS281" s="251">
        <f t="shared" si="8"/>
        <v>6.8965517241379309E-3</v>
      </c>
      <c r="AT281" s="252">
        <f t="shared" si="9"/>
        <v>-2.7586206896551724E-2</v>
      </c>
      <c r="AU281" s="29">
        <v>281</v>
      </c>
      <c r="AV281" s="30">
        <v>300</v>
      </c>
      <c r="AW281" s="31">
        <v>292</v>
      </c>
      <c r="AX281" s="136">
        <v>6.7615658362989328E-2</v>
      </c>
      <c r="AY281" s="33">
        <v>3.9145907473309607E-2</v>
      </c>
      <c r="AZ281" s="35">
        <v>-2.6666666666666668E-2</v>
      </c>
      <c r="BA281" s="29">
        <v>10</v>
      </c>
      <c r="BB281" s="31">
        <v>10</v>
      </c>
      <c r="BC281" s="29">
        <v>2</v>
      </c>
      <c r="BD281" s="31">
        <v>2</v>
      </c>
      <c r="BE281" s="29">
        <v>342</v>
      </c>
      <c r="BF281" s="30">
        <v>539</v>
      </c>
      <c r="BG281" s="33">
        <v>0.63450834879406304</v>
      </c>
      <c r="BH281" s="30">
        <v>187</v>
      </c>
      <c r="BI281" s="30">
        <v>292</v>
      </c>
      <c r="BJ281" s="35">
        <v>0.6404109589041096</v>
      </c>
    </row>
    <row r="282" spans="1:62" x14ac:dyDescent="0.25">
      <c r="A282" s="132"/>
      <c r="B282" s="132"/>
      <c r="C282" s="132" t="s">
        <v>73</v>
      </c>
      <c r="D282" s="132"/>
      <c r="E282" s="132"/>
      <c r="F282" s="18">
        <v>1186</v>
      </c>
      <c r="G282" s="15">
        <v>1081</v>
      </c>
      <c r="H282" s="16">
        <v>0</v>
      </c>
      <c r="I282" s="16">
        <v>1051</v>
      </c>
      <c r="J282" s="17">
        <v>30</v>
      </c>
      <c r="K282" s="15">
        <v>0</v>
      </c>
      <c r="L282" s="16">
        <v>1</v>
      </c>
      <c r="M282" s="16">
        <v>18</v>
      </c>
      <c r="N282" s="16">
        <v>0</v>
      </c>
      <c r="O282" s="16">
        <v>0</v>
      </c>
      <c r="P282" s="16">
        <v>0</v>
      </c>
      <c r="Q282" s="16">
        <v>10</v>
      </c>
      <c r="R282" s="17">
        <v>76</v>
      </c>
      <c r="S282" s="18">
        <v>29</v>
      </c>
      <c r="T282" s="15">
        <v>90</v>
      </c>
      <c r="U282" s="16">
        <v>1</v>
      </c>
      <c r="V282" s="16">
        <v>9</v>
      </c>
      <c r="W282" s="16">
        <v>10</v>
      </c>
      <c r="X282" s="17">
        <v>70</v>
      </c>
      <c r="Y282" s="15">
        <v>3061</v>
      </c>
      <c r="Z282" s="17">
        <v>969</v>
      </c>
      <c r="AA282" s="15">
        <v>3130</v>
      </c>
      <c r="AB282" s="17">
        <v>866</v>
      </c>
      <c r="AC282" s="15">
        <v>2744</v>
      </c>
      <c r="AD282" s="132">
        <v>825</v>
      </c>
      <c r="AE282" s="15">
        <v>362</v>
      </c>
      <c r="AF282" s="16">
        <v>140</v>
      </c>
      <c r="AG282" s="17">
        <v>287</v>
      </c>
      <c r="AH282" s="133">
        <v>2.2541653054557333E-2</v>
      </c>
      <c r="AI282" s="19">
        <v>-0.1035609278013721</v>
      </c>
      <c r="AJ282" s="19">
        <v>-0.12332268370607029</v>
      </c>
      <c r="AK282" s="19">
        <v>-0.10629514963880289</v>
      </c>
      <c r="AL282" s="19">
        <v>-0.14860681114551083</v>
      </c>
      <c r="AM282" s="19">
        <v>-4.7344110854503463E-2</v>
      </c>
      <c r="AN282" s="20">
        <v>2.5383903792784457</v>
      </c>
      <c r="AO282" s="19">
        <v>0.76318223866790014</v>
      </c>
      <c r="AP282" s="19">
        <v>0.12950971322849214</v>
      </c>
      <c r="AQ282" s="19">
        <v>0.26549491211840887</v>
      </c>
      <c r="AR282" s="21">
        <v>6.5687121866897152E-2</v>
      </c>
      <c r="AS282" s="247">
        <f t="shared" si="8"/>
        <v>2.6827012025901941E-2</v>
      </c>
      <c r="AT282" s="248">
        <f t="shared" si="9"/>
        <v>-5.6429232192414434E-2</v>
      </c>
      <c r="AU282" s="15">
        <v>1313</v>
      </c>
      <c r="AV282" s="16">
        <v>1206</v>
      </c>
      <c r="AW282" s="17">
        <v>1127</v>
      </c>
      <c r="AX282" s="133">
        <v>-8.149276466108149E-2</v>
      </c>
      <c r="AY282" s="19">
        <v>-0.14166031987814165</v>
      </c>
      <c r="AZ282" s="21">
        <v>-6.5505804311774454E-2</v>
      </c>
      <c r="BA282" s="15">
        <v>11</v>
      </c>
      <c r="BB282" s="17">
        <v>11</v>
      </c>
      <c r="BC282" s="15">
        <v>2</v>
      </c>
      <c r="BD282" s="17">
        <v>2</v>
      </c>
      <c r="BE282" s="15">
        <v>2014</v>
      </c>
      <c r="BF282" s="16">
        <v>2744</v>
      </c>
      <c r="BG282" s="19">
        <v>0.73396501457725949</v>
      </c>
      <c r="BH282" s="16">
        <v>825</v>
      </c>
      <c r="BI282" s="16">
        <v>1127</v>
      </c>
      <c r="BJ282" s="21">
        <v>0.73203194321206744</v>
      </c>
    </row>
    <row r="283" spans="1:62" x14ac:dyDescent="0.25">
      <c r="E283" t="s">
        <v>68</v>
      </c>
      <c r="F283" s="32">
        <v>1186</v>
      </c>
      <c r="G283" s="29">
        <v>1081</v>
      </c>
      <c r="H283" s="30">
        <v>0</v>
      </c>
      <c r="I283" s="30">
        <v>1051</v>
      </c>
      <c r="J283" s="31">
        <v>30</v>
      </c>
      <c r="K283" s="29">
        <v>0</v>
      </c>
      <c r="L283" s="30">
        <v>1</v>
      </c>
      <c r="M283" s="30">
        <v>18</v>
      </c>
      <c r="N283" s="30">
        <v>0</v>
      </c>
      <c r="O283" s="30">
        <v>0</v>
      </c>
      <c r="P283" s="30">
        <v>0</v>
      </c>
      <c r="Q283" s="30">
        <v>10</v>
      </c>
      <c r="R283" s="31">
        <v>76</v>
      </c>
      <c r="S283" s="32">
        <v>29</v>
      </c>
      <c r="T283" s="29">
        <v>90</v>
      </c>
      <c r="U283" s="30">
        <v>1</v>
      </c>
      <c r="V283" s="30">
        <v>9</v>
      </c>
      <c r="W283" s="30">
        <v>10</v>
      </c>
      <c r="X283" s="31">
        <v>70</v>
      </c>
      <c r="Y283" s="29">
        <v>3061</v>
      </c>
      <c r="Z283" s="31">
        <v>969</v>
      </c>
      <c r="AA283" s="29">
        <v>3130</v>
      </c>
      <c r="AB283" s="31">
        <v>866</v>
      </c>
      <c r="AC283" s="29">
        <v>2744</v>
      </c>
      <c r="AD283">
        <v>825</v>
      </c>
      <c r="AE283" s="29">
        <v>362</v>
      </c>
      <c r="AF283" s="30">
        <v>140</v>
      </c>
      <c r="AG283" s="31">
        <v>287</v>
      </c>
      <c r="AH283" s="136">
        <v>2.2541653054557333E-2</v>
      </c>
      <c r="AI283" s="33">
        <v>-0.1035609278013721</v>
      </c>
      <c r="AJ283" s="33">
        <v>-0.12332268370607029</v>
      </c>
      <c r="AK283" s="33">
        <v>-0.10629514963880289</v>
      </c>
      <c r="AL283" s="33">
        <v>-0.14860681114551083</v>
      </c>
      <c r="AM283" s="33">
        <v>-4.7344110854503463E-2</v>
      </c>
      <c r="AN283" s="34">
        <v>2.5383903792784457</v>
      </c>
      <c r="AO283" s="33">
        <v>0.76318223866790014</v>
      </c>
      <c r="AP283" s="33">
        <v>0.12950971322849214</v>
      </c>
      <c r="AQ283" s="33">
        <v>0.26549491211840887</v>
      </c>
      <c r="AR283" s="35">
        <v>6.5687121866897152E-2</v>
      </c>
      <c r="AS283" s="251">
        <f t="shared" si="8"/>
        <v>2.6827012025901941E-2</v>
      </c>
      <c r="AT283" s="252">
        <f t="shared" si="9"/>
        <v>-5.6429232192414434E-2</v>
      </c>
      <c r="AU283" s="29">
        <v>1312</v>
      </c>
      <c r="AV283" s="30">
        <v>1206</v>
      </c>
      <c r="AW283" s="31">
        <v>1127</v>
      </c>
      <c r="AX283" s="136">
        <v>-8.0792682926829271E-2</v>
      </c>
      <c r="AY283" s="33">
        <v>-0.1410060975609756</v>
      </c>
      <c r="AZ283" s="35">
        <v>-6.5505804311774454E-2</v>
      </c>
      <c r="BA283" s="29">
        <v>11</v>
      </c>
      <c r="BB283" s="31">
        <v>11</v>
      </c>
      <c r="BC283" s="29">
        <v>2</v>
      </c>
      <c r="BD283" s="31">
        <v>2</v>
      </c>
      <c r="BE283" s="29">
        <v>2014</v>
      </c>
      <c r="BF283" s="30">
        <v>2744</v>
      </c>
      <c r="BG283" s="33">
        <v>0.73396501457725949</v>
      </c>
      <c r="BH283" s="30">
        <v>825</v>
      </c>
      <c r="BI283" s="30">
        <v>1127</v>
      </c>
      <c r="BJ283" s="35">
        <v>0.73203194321206744</v>
      </c>
    </row>
    <row r="284" spans="1:62" x14ac:dyDescent="0.25">
      <c r="A284" s="132"/>
      <c r="B284" s="132"/>
      <c r="C284" s="132" t="s">
        <v>74</v>
      </c>
      <c r="D284" s="132"/>
      <c r="E284" s="132"/>
      <c r="F284" s="18">
        <v>150</v>
      </c>
      <c r="G284" s="15">
        <v>127</v>
      </c>
      <c r="H284" s="16">
        <v>0</v>
      </c>
      <c r="I284" s="16">
        <v>127</v>
      </c>
      <c r="J284" s="17">
        <v>0</v>
      </c>
      <c r="K284" s="15">
        <v>0</v>
      </c>
      <c r="L284" s="16">
        <v>1</v>
      </c>
      <c r="M284" s="16">
        <v>7</v>
      </c>
      <c r="N284" s="16">
        <v>1</v>
      </c>
      <c r="O284" s="16">
        <v>1</v>
      </c>
      <c r="P284" s="16">
        <v>0</v>
      </c>
      <c r="Q284" s="16">
        <v>2</v>
      </c>
      <c r="R284" s="17">
        <v>11</v>
      </c>
      <c r="S284" s="18">
        <v>43</v>
      </c>
      <c r="T284" s="15">
        <v>9</v>
      </c>
      <c r="U284" s="16">
        <v>1</v>
      </c>
      <c r="V284" s="16">
        <v>1</v>
      </c>
      <c r="W284" s="16">
        <v>7</v>
      </c>
      <c r="X284" s="17">
        <v>0</v>
      </c>
      <c r="Y284" s="15">
        <v>705</v>
      </c>
      <c r="Z284" s="17">
        <v>101</v>
      </c>
      <c r="AA284" s="15">
        <v>1018</v>
      </c>
      <c r="AB284" s="17">
        <v>109</v>
      </c>
      <c r="AC284" s="15">
        <v>1071</v>
      </c>
      <c r="AD284" s="132">
        <v>138</v>
      </c>
      <c r="AE284" s="15">
        <v>12</v>
      </c>
      <c r="AF284" s="16">
        <v>1</v>
      </c>
      <c r="AG284" s="17">
        <v>97</v>
      </c>
      <c r="AH284" s="133">
        <v>0.44397163120567373</v>
      </c>
      <c r="AI284" s="19">
        <v>0.51914893617021274</v>
      </c>
      <c r="AJ284" s="19">
        <v>5.2062868369351673E-2</v>
      </c>
      <c r="AK284" s="19">
        <v>7.9207920792079209E-2</v>
      </c>
      <c r="AL284" s="19">
        <v>0.36633663366336633</v>
      </c>
      <c r="AM284" s="19">
        <v>0.26605504587155965</v>
      </c>
      <c r="AN284" s="20">
        <v>8.4330708661417315</v>
      </c>
      <c r="AO284" s="19">
        <v>1.0866141732283465</v>
      </c>
      <c r="AP284" s="19">
        <v>7.874015748031496E-3</v>
      </c>
      <c r="AQ284" s="19">
        <v>0.76377952755905509</v>
      </c>
      <c r="AR284" s="21">
        <v>7.9710144927536225E-2</v>
      </c>
      <c r="AS284" s="247">
        <f t="shared" si="8"/>
        <v>0.33858267716535434</v>
      </c>
      <c r="AT284" s="248">
        <f t="shared" si="9"/>
        <v>0.26771653543307089</v>
      </c>
      <c r="AU284" s="15">
        <v>386</v>
      </c>
      <c r="AV284" s="16">
        <v>481</v>
      </c>
      <c r="AW284" s="17">
        <v>483</v>
      </c>
      <c r="AX284" s="133">
        <v>0.24611398963730569</v>
      </c>
      <c r="AY284" s="19">
        <v>0.25129533678756477</v>
      </c>
      <c r="AZ284" s="21">
        <v>4.1580041580041582E-3</v>
      </c>
      <c r="BA284" s="15">
        <v>9</v>
      </c>
      <c r="BB284" s="17">
        <v>10</v>
      </c>
      <c r="BC284" s="15">
        <v>2</v>
      </c>
      <c r="BD284" s="17">
        <v>2</v>
      </c>
      <c r="BE284" s="15">
        <v>687</v>
      </c>
      <c r="BF284" s="16">
        <v>1071</v>
      </c>
      <c r="BG284" s="19">
        <v>0.64145658263305327</v>
      </c>
      <c r="BH284" s="16">
        <v>334</v>
      </c>
      <c r="BI284" s="16">
        <v>483</v>
      </c>
      <c r="BJ284" s="21">
        <v>0.69151138716356109</v>
      </c>
    </row>
    <row r="285" spans="1:62" x14ac:dyDescent="0.25">
      <c r="E285" t="s">
        <v>68</v>
      </c>
      <c r="F285" s="32">
        <v>150</v>
      </c>
      <c r="G285" s="29">
        <v>127</v>
      </c>
      <c r="H285" s="30">
        <v>0</v>
      </c>
      <c r="I285" s="30">
        <v>127</v>
      </c>
      <c r="J285" s="31">
        <v>0</v>
      </c>
      <c r="K285" s="29">
        <v>0</v>
      </c>
      <c r="L285" s="30">
        <v>1</v>
      </c>
      <c r="M285" s="30">
        <v>7</v>
      </c>
      <c r="N285" s="30">
        <v>1</v>
      </c>
      <c r="O285" s="30">
        <v>1</v>
      </c>
      <c r="P285" s="30">
        <v>0</v>
      </c>
      <c r="Q285" s="30">
        <v>2</v>
      </c>
      <c r="R285" s="31">
        <v>11</v>
      </c>
      <c r="S285" s="32">
        <v>43</v>
      </c>
      <c r="T285" s="29">
        <v>9</v>
      </c>
      <c r="U285" s="30">
        <v>1</v>
      </c>
      <c r="V285" s="30">
        <v>1</v>
      </c>
      <c r="W285" s="30">
        <v>7</v>
      </c>
      <c r="X285" s="31">
        <v>0</v>
      </c>
      <c r="Y285" s="29">
        <v>705</v>
      </c>
      <c r="Z285" s="31">
        <v>101</v>
      </c>
      <c r="AA285" s="29">
        <v>1018</v>
      </c>
      <c r="AB285" s="31">
        <v>109</v>
      </c>
      <c r="AC285" s="29">
        <v>1071</v>
      </c>
      <c r="AD285">
        <v>138</v>
      </c>
      <c r="AE285" s="29">
        <v>12</v>
      </c>
      <c r="AF285" s="30">
        <v>1</v>
      </c>
      <c r="AG285" s="31">
        <v>97</v>
      </c>
      <c r="AH285" s="136">
        <v>0.44397163120567373</v>
      </c>
      <c r="AI285" s="33">
        <v>0.51914893617021274</v>
      </c>
      <c r="AJ285" s="33">
        <v>5.2062868369351673E-2</v>
      </c>
      <c r="AK285" s="33">
        <v>7.9207920792079209E-2</v>
      </c>
      <c r="AL285" s="33">
        <v>0.36633663366336633</v>
      </c>
      <c r="AM285" s="33">
        <v>0.26605504587155965</v>
      </c>
      <c r="AN285" s="34">
        <v>8.4330708661417315</v>
      </c>
      <c r="AO285" s="33">
        <v>1.0866141732283465</v>
      </c>
      <c r="AP285" s="33">
        <v>7.874015748031496E-3</v>
      </c>
      <c r="AQ285" s="33">
        <v>0.76377952755905509</v>
      </c>
      <c r="AR285" s="35">
        <v>7.9710144927536225E-2</v>
      </c>
      <c r="AS285" s="251">
        <f t="shared" si="8"/>
        <v>0.33858267716535434</v>
      </c>
      <c r="AT285" s="252">
        <f t="shared" si="9"/>
        <v>0.26771653543307089</v>
      </c>
      <c r="AU285" s="29">
        <v>386</v>
      </c>
      <c r="AV285" s="30">
        <v>481</v>
      </c>
      <c r="AW285" s="31">
        <v>483</v>
      </c>
      <c r="AX285" s="136">
        <v>0.24611398963730569</v>
      </c>
      <c r="AY285" s="33">
        <v>0.25129533678756477</v>
      </c>
      <c r="AZ285" s="35">
        <v>4.1580041580041582E-3</v>
      </c>
      <c r="BA285" s="29">
        <v>9</v>
      </c>
      <c r="BB285" s="31">
        <v>10</v>
      </c>
      <c r="BC285" s="29">
        <v>2</v>
      </c>
      <c r="BD285" s="31">
        <v>2</v>
      </c>
      <c r="BE285" s="29">
        <v>687</v>
      </c>
      <c r="BF285" s="30">
        <v>1071</v>
      </c>
      <c r="BG285" s="33">
        <v>0.64145658263305327</v>
      </c>
      <c r="BH285" s="30">
        <v>334</v>
      </c>
      <c r="BI285" s="30">
        <v>483</v>
      </c>
      <c r="BJ285" s="35">
        <v>0.69151138716356109</v>
      </c>
    </row>
    <row r="286" spans="1:62" x14ac:dyDescent="0.25">
      <c r="A286" s="132"/>
      <c r="B286" s="132"/>
      <c r="C286" s="132" t="s">
        <v>80</v>
      </c>
      <c r="D286" s="132"/>
      <c r="E286" s="132"/>
      <c r="F286" s="18">
        <v>240</v>
      </c>
      <c r="G286" s="15">
        <v>212</v>
      </c>
      <c r="H286" s="16">
        <v>0</v>
      </c>
      <c r="I286" s="16">
        <v>211</v>
      </c>
      <c r="J286" s="17">
        <v>1</v>
      </c>
      <c r="K286" s="15">
        <v>0</v>
      </c>
      <c r="L286" s="16">
        <v>3</v>
      </c>
      <c r="M286" s="16">
        <v>5</v>
      </c>
      <c r="N286" s="16">
        <v>0</v>
      </c>
      <c r="O286" s="16">
        <v>0</v>
      </c>
      <c r="P286" s="16">
        <v>0</v>
      </c>
      <c r="Q286" s="16">
        <v>1</v>
      </c>
      <c r="R286" s="17">
        <v>19</v>
      </c>
      <c r="S286" s="18">
        <v>7</v>
      </c>
      <c r="T286" s="15">
        <v>3</v>
      </c>
      <c r="U286" s="16">
        <v>0</v>
      </c>
      <c r="V286" s="16">
        <v>0</v>
      </c>
      <c r="W286" s="16">
        <v>3</v>
      </c>
      <c r="X286" s="17">
        <v>0</v>
      </c>
      <c r="Y286" s="15">
        <v>879</v>
      </c>
      <c r="Z286" s="17">
        <v>232</v>
      </c>
      <c r="AA286" s="15">
        <v>1011</v>
      </c>
      <c r="AB286" s="17">
        <v>208</v>
      </c>
      <c r="AC286" s="15">
        <v>936</v>
      </c>
      <c r="AD286" s="132">
        <v>206</v>
      </c>
      <c r="AE286" s="15">
        <v>31</v>
      </c>
      <c r="AF286" s="16">
        <v>15</v>
      </c>
      <c r="AG286" s="17">
        <v>114</v>
      </c>
      <c r="AH286" s="133">
        <v>0.15017064846416384</v>
      </c>
      <c r="AI286" s="19">
        <v>6.4846416382252553E-2</v>
      </c>
      <c r="AJ286" s="19">
        <v>-7.418397626112759E-2</v>
      </c>
      <c r="AK286" s="19">
        <v>-0.10344827586206896</v>
      </c>
      <c r="AL286" s="19">
        <v>-0.11206896551724138</v>
      </c>
      <c r="AM286" s="19">
        <v>-9.6153846153846159E-3</v>
      </c>
      <c r="AN286" s="20">
        <v>4.4150943396226419</v>
      </c>
      <c r="AO286" s="19">
        <v>0.97169811320754718</v>
      </c>
      <c r="AP286" s="19">
        <v>7.0754716981132074E-2</v>
      </c>
      <c r="AQ286" s="19">
        <v>0.53773584905660377</v>
      </c>
      <c r="AR286" s="21">
        <v>8.2251082251082255E-2</v>
      </c>
      <c r="AS286" s="247">
        <f t="shared" si="8"/>
        <v>3.3018867924528301E-2</v>
      </c>
      <c r="AT286" s="248">
        <f t="shared" si="9"/>
        <v>1.8867924528301886E-2</v>
      </c>
      <c r="AU286" s="15">
        <v>478</v>
      </c>
      <c r="AV286" s="16">
        <v>534</v>
      </c>
      <c r="AW286" s="17">
        <v>516</v>
      </c>
      <c r="AX286" s="133">
        <v>0.11715481171548117</v>
      </c>
      <c r="AY286" s="19">
        <v>7.9497907949790794E-2</v>
      </c>
      <c r="AZ286" s="21">
        <v>-3.3707865168539325E-2</v>
      </c>
      <c r="BA286" s="15">
        <v>9</v>
      </c>
      <c r="BB286" s="17">
        <v>9</v>
      </c>
      <c r="BC286" s="15">
        <v>2</v>
      </c>
      <c r="BD286" s="17">
        <v>2</v>
      </c>
      <c r="BE286" s="15">
        <v>637</v>
      </c>
      <c r="BF286" s="16">
        <v>936</v>
      </c>
      <c r="BG286" s="19">
        <v>0.68055555555555558</v>
      </c>
      <c r="BH286" s="16">
        <v>358</v>
      </c>
      <c r="BI286" s="16">
        <v>516</v>
      </c>
      <c r="BJ286" s="21">
        <v>0.69379844961240311</v>
      </c>
    </row>
    <row r="287" spans="1:62" x14ac:dyDescent="0.25">
      <c r="E287" t="s">
        <v>68</v>
      </c>
      <c r="F287" s="32">
        <v>240</v>
      </c>
      <c r="G287" s="29">
        <v>212</v>
      </c>
      <c r="H287" s="30">
        <v>0</v>
      </c>
      <c r="I287" s="30">
        <v>211</v>
      </c>
      <c r="J287" s="31">
        <v>1</v>
      </c>
      <c r="K287" s="29">
        <v>0</v>
      </c>
      <c r="L287" s="30">
        <v>3</v>
      </c>
      <c r="M287" s="30">
        <v>5</v>
      </c>
      <c r="N287" s="30">
        <v>0</v>
      </c>
      <c r="O287" s="30">
        <v>0</v>
      </c>
      <c r="P287" s="30">
        <v>0</v>
      </c>
      <c r="Q287" s="30">
        <v>1</v>
      </c>
      <c r="R287" s="31">
        <v>19</v>
      </c>
      <c r="S287" s="32">
        <v>7</v>
      </c>
      <c r="T287" s="29">
        <v>3</v>
      </c>
      <c r="U287" s="30">
        <v>0</v>
      </c>
      <c r="V287" s="30">
        <v>0</v>
      </c>
      <c r="W287" s="30">
        <v>3</v>
      </c>
      <c r="X287" s="31">
        <v>0</v>
      </c>
      <c r="Y287" s="29">
        <v>879</v>
      </c>
      <c r="Z287" s="31">
        <v>232</v>
      </c>
      <c r="AA287" s="29">
        <v>1011</v>
      </c>
      <c r="AB287" s="31">
        <v>208</v>
      </c>
      <c r="AC287" s="29">
        <v>936</v>
      </c>
      <c r="AD287">
        <v>206</v>
      </c>
      <c r="AE287" s="29">
        <v>31</v>
      </c>
      <c r="AF287" s="30">
        <v>15</v>
      </c>
      <c r="AG287" s="31">
        <v>114</v>
      </c>
      <c r="AH287" s="136">
        <v>0.15017064846416384</v>
      </c>
      <c r="AI287" s="33">
        <v>6.4846416382252553E-2</v>
      </c>
      <c r="AJ287" s="33">
        <v>-7.418397626112759E-2</v>
      </c>
      <c r="AK287" s="33">
        <v>-0.10344827586206896</v>
      </c>
      <c r="AL287" s="33">
        <v>-0.11206896551724138</v>
      </c>
      <c r="AM287" s="33">
        <v>-9.6153846153846159E-3</v>
      </c>
      <c r="AN287" s="34">
        <v>4.4150943396226419</v>
      </c>
      <c r="AO287" s="33">
        <v>0.97169811320754718</v>
      </c>
      <c r="AP287" s="33">
        <v>7.0754716981132074E-2</v>
      </c>
      <c r="AQ287" s="33">
        <v>0.53773584905660377</v>
      </c>
      <c r="AR287" s="35">
        <v>8.2251082251082255E-2</v>
      </c>
      <c r="AS287" s="251">
        <f t="shared" si="8"/>
        <v>3.3018867924528301E-2</v>
      </c>
      <c r="AT287" s="252">
        <f t="shared" si="9"/>
        <v>1.8867924528301886E-2</v>
      </c>
      <c r="AU287" s="29">
        <v>478</v>
      </c>
      <c r="AV287" s="30">
        <v>534</v>
      </c>
      <c r="AW287" s="31">
        <v>516</v>
      </c>
      <c r="AX287" s="136">
        <v>0.11715481171548117</v>
      </c>
      <c r="AY287" s="33">
        <v>7.9497907949790794E-2</v>
      </c>
      <c r="AZ287" s="35">
        <v>-3.3707865168539325E-2</v>
      </c>
      <c r="BA287" s="29">
        <v>9</v>
      </c>
      <c r="BB287" s="31">
        <v>9</v>
      </c>
      <c r="BC287" s="29">
        <v>2</v>
      </c>
      <c r="BD287" s="31">
        <v>2</v>
      </c>
      <c r="BE287" s="29">
        <v>637</v>
      </c>
      <c r="BF287" s="30">
        <v>936</v>
      </c>
      <c r="BG287" s="33">
        <v>0.68055555555555558</v>
      </c>
      <c r="BH287" s="30">
        <v>358</v>
      </c>
      <c r="BI287" s="30">
        <v>516</v>
      </c>
      <c r="BJ287" s="35">
        <v>0.69379844961240311</v>
      </c>
    </row>
    <row r="288" spans="1:62" x14ac:dyDescent="0.25">
      <c r="A288" s="132"/>
      <c r="B288" s="132"/>
      <c r="C288" s="132" t="s">
        <v>75</v>
      </c>
      <c r="D288" s="132"/>
      <c r="E288" s="132"/>
      <c r="F288" s="18">
        <v>1266</v>
      </c>
      <c r="G288" s="15">
        <v>784</v>
      </c>
      <c r="H288" s="16">
        <v>0</v>
      </c>
      <c r="I288" s="16">
        <v>778</v>
      </c>
      <c r="J288" s="17">
        <v>6</v>
      </c>
      <c r="K288" s="15">
        <v>0</v>
      </c>
      <c r="L288" s="16">
        <v>8</v>
      </c>
      <c r="M288" s="16">
        <v>212</v>
      </c>
      <c r="N288" s="16">
        <v>2</v>
      </c>
      <c r="O288" s="16">
        <v>1</v>
      </c>
      <c r="P288" s="16">
        <v>0</v>
      </c>
      <c r="Q288" s="16">
        <v>21</v>
      </c>
      <c r="R288" s="17">
        <v>237</v>
      </c>
      <c r="S288" s="18">
        <v>185</v>
      </c>
      <c r="T288" s="15">
        <v>181</v>
      </c>
      <c r="U288" s="16">
        <v>5</v>
      </c>
      <c r="V288" s="16">
        <v>13</v>
      </c>
      <c r="W288" s="16">
        <v>161</v>
      </c>
      <c r="X288" s="17">
        <v>2</v>
      </c>
      <c r="Y288" s="15">
        <v>6836</v>
      </c>
      <c r="Z288" s="17">
        <v>868</v>
      </c>
      <c r="AA288" s="15">
        <v>8752</v>
      </c>
      <c r="AB288" s="17">
        <v>968</v>
      </c>
      <c r="AC288" s="15">
        <v>8585</v>
      </c>
      <c r="AD288" s="132">
        <v>978</v>
      </c>
      <c r="AE288" s="15">
        <v>279</v>
      </c>
      <c r="AF288" s="16">
        <v>147</v>
      </c>
      <c r="AG288" s="17">
        <v>846</v>
      </c>
      <c r="AH288" s="133">
        <v>0.28028086600351082</v>
      </c>
      <c r="AI288" s="19">
        <v>0.25585137507314221</v>
      </c>
      <c r="AJ288" s="19">
        <v>-1.9081352833638026E-2</v>
      </c>
      <c r="AK288" s="19">
        <v>0.1152073732718894</v>
      </c>
      <c r="AL288" s="19">
        <v>0.12672811059907835</v>
      </c>
      <c r="AM288" s="19">
        <v>1.0330578512396695E-2</v>
      </c>
      <c r="AN288" s="20">
        <v>10.950255102040817</v>
      </c>
      <c r="AO288" s="19">
        <v>1.2474489795918366</v>
      </c>
      <c r="AP288" s="19">
        <v>0.1875</v>
      </c>
      <c r="AQ288" s="19">
        <v>1.0790816326530612</v>
      </c>
      <c r="AR288" s="21">
        <v>0.23212536728697356</v>
      </c>
      <c r="AS288" s="247">
        <f t="shared" si="8"/>
        <v>0.23596938775510204</v>
      </c>
      <c r="AT288" s="248">
        <f t="shared" si="9"/>
        <v>5.1020408163265302E-3</v>
      </c>
      <c r="AU288" s="15">
        <v>1569</v>
      </c>
      <c r="AV288" s="16">
        <v>1820</v>
      </c>
      <c r="AW288" s="17">
        <v>1736</v>
      </c>
      <c r="AX288" s="133">
        <v>0.15997450605481198</v>
      </c>
      <c r="AY288" s="19">
        <v>0.1064372211599745</v>
      </c>
      <c r="AZ288" s="21">
        <v>-4.6153846153846156E-2</v>
      </c>
      <c r="BA288" s="15">
        <v>11</v>
      </c>
      <c r="BB288" s="17">
        <v>10</v>
      </c>
      <c r="BC288" s="15">
        <v>1</v>
      </c>
      <c r="BD288" s="17">
        <v>1</v>
      </c>
      <c r="BE288" s="15">
        <v>6607</v>
      </c>
      <c r="BF288" s="16">
        <v>8585</v>
      </c>
      <c r="BG288" s="19">
        <v>0.76959813628421669</v>
      </c>
      <c r="BH288" s="16">
        <v>1347</v>
      </c>
      <c r="BI288" s="16">
        <v>1736</v>
      </c>
      <c r="BJ288" s="21">
        <v>0.77592165898617516</v>
      </c>
    </row>
    <row r="289" spans="1:62" x14ac:dyDescent="0.25">
      <c r="E289" t="s">
        <v>68</v>
      </c>
      <c r="F289" s="32">
        <v>1262</v>
      </c>
      <c r="G289" s="29">
        <v>780</v>
      </c>
      <c r="H289" s="30">
        <v>0</v>
      </c>
      <c r="I289" s="30">
        <v>774</v>
      </c>
      <c r="J289" s="31">
        <v>6</v>
      </c>
      <c r="K289" s="29">
        <v>0</v>
      </c>
      <c r="L289" s="30">
        <v>8</v>
      </c>
      <c r="M289" s="30">
        <v>212</v>
      </c>
      <c r="N289" s="30">
        <v>2</v>
      </c>
      <c r="O289" s="30">
        <v>1</v>
      </c>
      <c r="P289" s="30">
        <v>0</v>
      </c>
      <c r="Q289" s="30">
        <v>21</v>
      </c>
      <c r="R289" s="31">
        <v>237</v>
      </c>
      <c r="S289" s="32">
        <v>181</v>
      </c>
      <c r="T289" s="29">
        <v>181</v>
      </c>
      <c r="U289" s="30">
        <v>5</v>
      </c>
      <c r="V289" s="30">
        <v>13</v>
      </c>
      <c r="W289" s="30">
        <v>161</v>
      </c>
      <c r="X289" s="31">
        <v>2</v>
      </c>
      <c r="Y289" s="29">
        <v>6836</v>
      </c>
      <c r="Z289" s="31">
        <v>868</v>
      </c>
      <c r="AA289" s="29">
        <v>8752</v>
      </c>
      <c r="AB289" s="31">
        <v>968</v>
      </c>
      <c r="AC289" s="29">
        <v>8566</v>
      </c>
      <c r="AD289">
        <v>974</v>
      </c>
      <c r="AE289" s="29">
        <v>279</v>
      </c>
      <c r="AF289" s="30">
        <v>147</v>
      </c>
      <c r="AG289" s="31">
        <v>843</v>
      </c>
      <c r="AH289" s="136">
        <v>0.28028086600351082</v>
      </c>
      <c r="AI289" s="33">
        <v>0.25307197191339964</v>
      </c>
      <c r="AJ289" s="33">
        <v>-2.1252285191956124E-2</v>
      </c>
      <c r="AK289" s="33">
        <v>0.1152073732718894</v>
      </c>
      <c r="AL289" s="33">
        <v>0.12211981566820276</v>
      </c>
      <c r="AM289" s="33">
        <v>6.1983471074380167E-3</v>
      </c>
      <c r="AN289" s="34">
        <v>10.982051282051282</v>
      </c>
      <c r="AO289" s="33">
        <v>1.2487179487179487</v>
      </c>
      <c r="AP289" s="33">
        <v>0.18846153846153846</v>
      </c>
      <c r="AQ289" s="33">
        <v>1.0807692307692307</v>
      </c>
      <c r="AR289" s="35">
        <v>0.23303834808259588</v>
      </c>
      <c r="AS289" s="251">
        <f t="shared" si="8"/>
        <v>0.23205128205128206</v>
      </c>
      <c r="AT289" s="252">
        <f t="shared" si="9"/>
        <v>0</v>
      </c>
      <c r="AU289" s="29">
        <v>1569</v>
      </c>
      <c r="AV289" s="30">
        <v>1820</v>
      </c>
      <c r="AW289" s="31">
        <v>1726</v>
      </c>
      <c r="AX289" s="136">
        <v>0.15997450605481198</v>
      </c>
      <c r="AY289" s="33">
        <v>0.10006373486297004</v>
      </c>
      <c r="AZ289" s="35">
        <v>-5.1648351648351645E-2</v>
      </c>
      <c r="BA289" s="29">
        <v>11</v>
      </c>
      <c r="BB289" s="31">
        <v>10</v>
      </c>
      <c r="BC289" s="29">
        <v>1</v>
      </c>
      <c r="BD289" s="31">
        <v>1</v>
      </c>
      <c r="BE289" s="29">
        <v>6593</v>
      </c>
      <c r="BF289" s="30">
        <v>8566</v>
      </c>
      <c r="BG289" s="33">
        <v>0.76967079150128415</v>
      </c>
      <c r="BH289" s="30">
        <v>1339</v>
      </c>
      <c r="BI289" s="30">
        <v>1726</v>
      </c>
      <c r="BJ289" s="35">
        <v>0.77578215527230587</v>
      </c>
    </row>
    <row r="290" spans="1:62" x14ac:dyDescent="0.25">
      <c r="A290" s="132"/>
      <c r="B290" s="132"/>
      <c r="C290" s="132" t="s">
        <v>76</v>
      </c>
      <c r="D290" s="132"/>
      <c r="E290" s="132"/>
      <c r="F290" s="18">
        <v>406</v>
      </c>
      <c r="G290" s="15">
        <v>246</v>
      </c>
      <c r="H290" s="16">
        <v>0</v>
      </c>
      <c r="I290" s="16">
        <v>232</v>
      </c>
      <c r="J290" s="17">
        <v>14</v>
      </c>
      <c r="K290" s="15">
        <v>0</v>
      </c>
      <c r="L290" s="16">
        <v>9</v>
      </c>
      <c r="M290" s="16">
        <v>70</v>
      </c>
      <c r="N290" s="16">
        <v>1</v>
      </c>
      <c r="O290" s="16">
        <v>0</v>
      </c>
      <c r="P290" s="16">
        <v>0</v>
      </c>
      <c r="Q290" s="16">
        <v>5</v>
      </c>
      <c r="R290" s="17">
        <v>75</v>
      </c>
      <c r="S290" s="18">
        <v>49</v>
      </c>
      <c r="T290" s="15">
        <v>48</v>
      </c>
      <c r="U290" s="16">
        <v>0</v>
      </c>
      <c r="V290" s="16">
        <v>4</v>
      </c>
      <c r="W290" s="16">
        <v>43</v>
      </c>
      <c r="X290" s="17">
        <v>1</v>
      </c>
      <c r="Y290" s="15">
        <v>2025</v>
      </c>
      <c r="Z290" s="17">
        <v>346</v>
      </c>
      <c r="AA290" s="15">
        <v>2204</v>
      </c>
      <c r="AB290" s="17">
        <v>306</v>
      </c>
      <c r="AC290" s="15">
        <v>2056</v>
      </c>
      <c r="AD290" s="132">
        <v>292</v>
      </c>
      <c r="AE290" s="15">
        <v>106</v>
      </c>
      <c r="AF290" s="16">
        <v>59</v>
      </c>
      <c r="AG290" s="17">
        <v>221</v>
      </c>
      <c r="AH290" s="133">
        <v>8.8395061728395063E-2</v>
      </c>
      <c r="AI290" s="19">
        <v>1.5308641975308642E-2</v>
      </c>
      <c r="AJ290" s="19">
        <v>-6.7150635208711437E-2</v>
      </c>
      <c r="AK290" s="19">
        <v>-0.11560693641618497</v>
      </c>
      <c r="AL290" s="19">
        <v>-0.15606936416184972</v>
      </c>
      <c r="AM290" s="19">
        <v>-4.5751633986928102E-2</v>
      </c>
      <c r="AN290" s="20">
        <v>8.3577235772357721</v>
      </c>
      <c r="AO290" s="19">
        <v>1.1869918699186992</v>
      </c>
      <c r="AP290" s="19">
        <v>0.23983739837398374</v>
      </c>
      <c r="AQ290" s="19">
        <v>0.89837398373983735</v>
      </c>
      <c r="AR290" s="21">
        <v>0.23364485981308411</v>
      </c>
      <c r="AS290" s="247">
        <f t="shared" si="8"/>
        <v>0.1991869918699187</v>
      </c>
      <c r="AT290" s="248">
        <f t="shared" si="9"/>
        <v>4.0650406504065045E-3</v>
      </c>
      <c r="AU290" s="15">
        <v>968</v>
      </c>
      <c r="AV290" s="16">
        <v>1035</v>
      </c>
      <c r="AW290" s="17">
        <v>977</v>
      </c>
      <c r="AX290" s="133">
        <v>6.9214876033057857E-2</v>
      </c>
      <c r="AY290" s="19">
        <v>9.2975206611570251E-3</v>
      </c>
      <c r="AZ290" s="21">
        <v>-5.6038647342995171E-2</v>
      </c>
      <c r="BA290" s="15">
        <v>10</v>
      </c>
      <c r="BB290" s="17">
        <v>10</v>
      </c>
      <c r="BC290" s="15">
        <v>1</v>
      </c>
      <c r="BD290" s="17">
        <v>1</v>
      </c>
      <c r="BE290" s="15">
        <v>1576</v>
      </c>
      <c r="BF290" s="16">
        <v>2056</v>
      </c>
      <c r="BG290" s="19">
        <v>0.7665369649805448</v>
      </c>
      <c r="BH290" s="16">
        <v>744</v>
      </c>
      <c r="BI290" s="16">
        <v>977</v>
      </c>
      <c r="BJ290" s="21">
        <v>0.76151484135107472</v>
      </c>
    </row>
    <row r="291" spans="1:62" x14ac:dyDescent="0.25">
      <c r="E291" t="s">
        <v>68</v>
      </c>
      <c r="F291" s="32">
        <v>406</v>
      </c>
      <c r="G291" s="29">
        <v>246</v>
      </c>
      <c r="H291" s="30">
        <v>0</v>
      </c>
      <c r="I291" s="30">
        <v>232</v>
      </c>
      <c r="J291" s="31">
        <v>14</v>
      </c>
      <c r="K291" s="29">
        <v>0</v>
      </c>
      <c r="L291" s="30">
        <v>9</v>
      </c>
      <c r="M291" s="30">
        <v>70</v>
      </c>
      <c r="N291" s="30">
        <v>1</v>
      </c>
      <c r="O291" s="30">
        <v>0</v>
      </c>
      <c r="P291" s="30">
        <v>0</v>
      </c>
      <c r="Q291" s="30">
        <v>5</v>
      </c>
      <c r="R291" s="31">
        <v>75</v>
      </c>
      <c r="S291" s="32">
        <v>49</v>
      </c>
      <c r="T291" s="29">
        <v>48</v>
      </c>
      <c r="U291" s="30">
        <v>0</v>
      </c>
      <c r="V291" s="30">
        <v>4</v>
      </c>
      <c r="W291" s="30">
        <v>43</v>
      </c>
      <c r="X291" s="31">
        <v>1</v>
      </c>
      <c r="Y291" s="29">
        <v>2025</v>
      </c>
      <c r="Z291" s="31">
        <v>346</v>
      </c>
      <c r="AA291" s="29">
        <v>2204</v>
      </c>
      <c r="AB291" s="31">
        <v>306</v>
      </c>
      <c r="AC291" s="29">
        <v>2056</v>
      </c>
      <c r="AD291">
        <v>292</v>
      </c>
      <c r="AE291" s="29">
        <v>106</v>
      </c>
      <c r="AF291" s="30">
        <v>59</v>
      </c>
      <c r="AG291" s="31">
        <v>221</v>
      </c>
      <c r="AH291" s="136">
        <v>8.8395061728395063E-2</v>
      </c>
      <c r="AI291" s="33">
        <v>1.5308641975308642E-2</v>
      </c>
      <c r="AJ291" s="33">
        <v>-6.7150635208711437E-2</v>
      </c>
      <c r="AK291" s="33">
        <v>-0.11560693641618497</v>
      </c>
      <c r="AL291" s="33">
        <v>-0.15606936416184972</v>
      </c>
      <c r="AM291" s="33">
        <v>-4.5751633986928102E-2</v>
      </c>
      <c r="AN291" s="34">
        <v>8.3577235772357721</v>
      </c>
      <c r="AO291" s="33">
        <v>1.1869918699186992</v>
      </c>
      <c r="AP291" s="33">
        <v>0.23983739837398374</v>
      </c>
      <c r="AQ291" s="33">
        <v>0.89837398373983735</v>
      </c>
      <c r="AR291" s="35">
        <v>0.23364485981308411</v>
      </c>
      <c r="AS291" s="251">
        <f t="shared" si="8"/>
        <v>0.1991869918699187</v>
      </c>
      <c r="AT291" s="252">
        <f t="shared" si="9"/>
        <v>4.0650406504065045E-3</v>
      </c>
      <c r="AU291" s="29">
        <v>968</v>
      </c>
      <c r="AV291" s="30">
        <v>1035</v>
      </c>
      <c r="AW291" s="31">
        <v>977</v>
      </c>
      <c r="AX291" s="136">
        <v>6.9214876033057857E-2</v>
      </c>
      <c r="AY291" s="33">
        <v>9.2975206611570251E-3</v>
      </c>
      <c r="AZ291" s="35">
        <v>-5.6038647342995171E-2</v>
      </c>
      <c r="BA291" s="29">
        <v>10</v>
      </c>
      <c r="BB291" s="31">
        <v>10</v>
      </c>
      <c r="BC291" s="29">
        <v>1</v>
      </c>
      <c r="BD291" s="31">
        <v>1</v>
      </c>
      <c r="BE291" s="29">
        <v>1576</v>
      </c>
      <c r="BF291" s="30">
        <v>2056</v>
      </c>
      <c r="BG291" s="33">
        <v>0.7665369649805448</v>
      </c>
      <c r="BH291" s="30">
        <v>744</v>
      </c>
      <c r="BI291" s="30">
        <v>977</v>
      </c>
      <c r="BJ291" s="35">
        <v>0.76151484135107472</v>
      </c>
    </row>
    <row r="292" spans="1:62" x14ac:dyDescent="0.25">
      <c r="A292" s="132"/>
      <c r="B292" s="132"/>
      <c r="C292" s="132" t="s">
        <v>77</v>
      </c>
      <c r="D292" s="132"/>
      <c r="E292" s="132"/>
      <c r="F292" s="18">
        <v>231</v>
      </c>
      <c r="G292" s="15">
        <v>177</v>
      </c>
      <c r="H292" s="16">
        <v>0</v>
      </c>
      <c r="I292" s="16">
        <v>176</v>
      </c>
      <c r="J292" s="17">
        <v>1</v>
      </c>
      <c r="K292" s="15">
        <v>0</v>
      </c>
      <c r="L292" s="16">
        <v>3</v>
      </c>
      <c r="M292" s="16">
        <v>29</v>
      </c>
      <c r="N292" s="16">
        <v>0</v>
      </c>
      <c r="O292" s="16">
        <v>2</v>
      </c>
      <c r="P292" s="16">
        <v>0</v>
      </c>
      <c r="Q292" s="16">
        <v>3</v>
      </c>
      <c r="R292" s="17">
        <v>17</v>
      </c>
      <c r="S292" s="18">
        <v>16</v>
      </c>
      <c r="T292" s="15">
        <v>17</v>
      </c>
      <c r="U292" s="16">
        <v>0</v>
      </c>
      <c r="V292" s="16">
        <v>2</v>
      </c>
      <c r="W292" s="16">
        <v>15</v>
      </c>
      <c r="X292" s="17">
        <v>0</v>
      </c>
      <c r="Y292" s="15">
        <v>445</v>
      </c>
      <c r="Z292" s="17">
        <v>157</v>
      </c>
      <c r="AA292" s="15">
        <v>484</v>
      </c>
      <c r="AB292" s="17">
        <v>141</v>
      </c>
      <c r="AC292" s="15">
        <v>434</v>
      </c>
      <c r="AD292" s="132">
        <v>137</v>
      </c>
      <c r="AE292" s="15">
        <v>85</v>
      </c>
      <c r="AF292" s="16">
        <v>30</v>
      </c>
      <c r="AG292" s="17">
        <v>51</v>
      </c>
      <c r="AH292" s="133">
        <v>8.7640449438202248E-2</v>
      </c>
      <c r="AI292" s="19">
        <v>-2.4719101123595506E-2</v>
      </c>
      <c r="AJ292" s="19">
        <v>-0.10330578512396695</v>
      </c>
      <c r="AK292" s="19">
        <v>-0.10191082802547771</v>
      </c>
      <c r="AL292" s="19">
        <v>-0.12738853503184713</v>
      </c>
      <c r="AM292" s="19">
        <v>-2.8368794326241134E-2</v>
      </c>
      <c r="AN292" s="20">
        <v>2.4519774011299433</v>
      </c>
      <c r="AO292" s="19">
        <v>0.77401129943502822</v>
      </c>
      <c r="AP292" s="19">
        <v>0.16949152542372881</v>
      </c>
      <c r="AQ292" s="19">
        <v>0.28813559322033899</v>
      </c>
      <c r="AR292" s="21">
        <v>8.7628865979381437E-2</v>
      </c>
      <c r="AS292" s="247">
        <f t="shared" si="8"/>
        <v>9.03954802259887E-2</v>
      </c>
      <c r="AT292" s="248">
        <f t="shared" si="9"/>
        <v>-5.6497175141242938E-3</v>
      </c>
      <c r="AU292" s="15">
        <v>259</v>
      </c>
      <c r="AV292" s="16">
        <v>252</v>
      </c>
      <c r="AW292" s="17">
        <v>217</v>
      </c>
      <c r="AX292" s="133">
        <v>-2.7027027027027029E-2</v>
      </c>
      <c r="AY292" s="19">
        <v>-0.16216216216216217</v>
      </c>
      <c r="AZ292" s="21">
        <v>-0.1388888888888889</v>
      </c>
      <c r="BA292" s="15">
        <v>12</v>
      </c>
      <c r="BB292" s="17">
        <v>11</v>
      </c>
      <c r="BC292" s="15">
        <v>3</v>
      </c>
      <c r="BD292" s="17">
        <v>2</v>
      </c>
      <c r="BE292" s="15">
        <v>353</v>
      </c>
      <c r="BF292" s="16">
        <v>434</v>
      </c>
      <c r="BG292" s="19">
        <v>0.81336405529953915</v>
      </c>
      <c r="BH292" s="16">
        <v>169</v>
      </c>
      <c r="BI292" s="16">
        <v>217</v>
      </c>
      <c r="BJ292" s="21">
        <v>0.77880184331797231</v>
      </c>
    </row>
    <row r="293" spans="1:62" x14ac:dyDescent="0.25">
      <c r="E293" t="s">
        <v>68</v>
      </c>
      <c r="F293" s="32">
        <v>231</v>
      </c>
      <c r="G293" s="29">
        <v>177</v>
      </c>
      <c r="H293" s="30">
        <v>0</v>
      </c>
      <c r="I293" s="30">
        <v>176</v>
      </c>
      <c r="J293" s="31">
        <v>1</v>
      </c>
      <c r="K293" s="29">
        <v>0</v>
      </c>
      <c r="L293" s="30">
        <v>3</v>
      </c>
      <c r="M293" s="30">
        <v>29</v>
      </c>
      <c r="N293" s="30">
        <v>0</v>
      </c>
      <c r="O293" s="30">
        <v>2</v>
      </c>
      <c r="P293" s="30">
        <v>0</v>
      </c>
      <c r="Q293" s="30">
        <v>3</v>
      </c>
      <c r="R293" s="31">
        <v>17</v>
      </c>
      <c r="S293" s="32">
        <v>16</v>
      </c>
      <c r="T293" s="29">
        <v>17</v>
      </c>
      <c r="U293" s="30">
        <v>0</v>
      </c>
      <c r="V293" s="30">
        <v>2</v>
      </c>
      <c r="W293" s="30">
        <v>15</v>
      </c>
      <c r="X293" s="31">
        <v>0</v>
      </c>
      <c r="Y293" s="29">
        <v>445</v>
      </c>
      <c r="Z293" s="31">
        <v>157</v>
      </c>
      <c r="AA293" s="29">
        <v>484</v>
      </c>
      <c r="AB293" s="31">
        <v>141</v>
      </c>
      <c r="AC293" s="29">
        <v>434</v>
      </c>
      <c r="AD293">
        <v>137</v>
      </c>
      <c r="AE293" s="29">
        <v>85</v>
      </c>
      <c r="AF293" s="30">
        <v>30</v>
      </c>
      <c r="AG293" s="31">
        <v>51</v>
      </c>
      <c r="AH293" s="136">
        <v>8.7640449438202248E-2</v>
      </c>
      <c r="AI293" s="33">
        <v>-2.4719101123595506E-2</v>
      </c>
      <c r="AJ293" s="33">
        <v>-0.10330578512396695</v>
      </c>
      <c r="AK293" s="33">
        <v>-0.10191082802547771</v>
      </c>
      <c r="AL293" s="33">
        <v>-0.12738853503184713</v>
      </c>
      <c r="AM293" s="33">
        <v>-2.8368794326241134E-2</v>
      </c>
      <c r="AN293" s="34">
        <v>2.4519774011299433</v>
      </c>
      <c r="AO293" s="33">
        <v>0.77401129943502822</v>
      </c>
      <c r="AP293" s="33">
        <v>0.16949152542372881</v>
      </c>
      <c r="AQ293" s="33">
        <v>0.28813559322033899</v>
      </c>
      <c r="AR293" s="35">
        <v>8.7628865979381437E-2</v>
      </c>
      <c r="AS293" s="251">
        <f t="shared" si="8"/>
        <v>9.03954802259887E-2</v>
      </c>
      <c r="AT293" s="252">
        <f t="shared" si="9"/>
        <v>-5.6497175141242938E-3</v>
      </c>
      <c r="AU293" s="29">
        <v>259</v>
      </c>
      <c r="AV293" s="30">
        <v>252</v>
      </c>
      <c r="AW293" s="31">
        <v>217</v>
      </c>
      <c r="AX293" s="136">
        <v>-2.7027027027027029E-2</v>
      </c>
      <c r="AY293" s="33">
        <v>-0.16216216216216217</v>
      </c>
      <c r="AZ293" s="35">
        <v>-0.1388888888888889</v>
      </c>
      <c r="BA293" s="29">
        <v>12</v>
      </c>
      <c r="BB293" s="31">
        <v>11</v>
      </c>
      <c r="BC293" s="29">
        <v>3</v>
      </c>
      <c r="BD293" s="31">
        <v>2</v>
      </c>
      <c r="BE293" s="29">
        <v>353</v>
      </c>
      <c r="BF293" s="30">
        <v>434</v>
      </c>
      <c r="BG293" s="33">
        <v>0.81336405529953915</v>
      </c>
      <c r="BH293" s="30">
        <v>169</v>
      </c>
      <c r="BI293" s="30">
        <v>217</v>
      </c>
      <c r="BJ293" s="35">
        <v>0.77880184331797231</v>
      </c>
    </row>
    <row r="294" spans="1:62" x14ac:dyDescent="0.25">
      <c r="A294" s="130"/>
      <c r="B294" s="130" t="s">
        <v>78</v>
      </c>
      <c r="C294" s="130"/>
      <c r="D294" s="130"/>
      <c r="E294" s="130"/>
      <c r="F294" s="11">
        <v>7591</v>
      </c>
      <c r="G294" s="8">
        <v>6076</v>
      </c>
      <c r="H294" s="9">
        <v>0</v>
      </c>
      <c r="I294" s="9">
        <v>5999</v>
      </c>
      <c r="J294" s="10">
        <v>77</v>
      </c>
      <c r="K294" s="8">
        <v>0</v>
      </c>
      <c r="L294" s="9">
        <v>34</v>
      </c>
      <c r="M294" s="9">
        <v>599</v>
      </c>
      <c r="N294" s="9">
        <v>2</v>
      </c>
      <c r="O294" s="9">
        <v>13</v>
      </c>
      <c r="P294" s="9">
        <v>0</v>
      </c>
      <c r="Q294" s="9">
        <v>43</v>
      </c>
      <c r="R294" s="10">
        <v>823</v>
      </c>
      <c r="S294" s="11">
        <v>832</v>
      </c>
      <c r="T294" s="8">
        <v>504</v>
      </c>
      <c r="U294" s="9">
        <v>18</v>
      </c>
      <c r="V294" s="9">
        <v>30</v>
      </c>
      <c r="W294" s="9">
        <v>434</v>
      </c>
      <c r="X294" s="10">
        <v>22</v>
      </c>
      <c r="Y294" s="8">
        <v>50661</v>
      </c>
      <c r="Z294" s="10">
        <v>6101</v>
      </c>
      <c r="AA294" s="8">
        <v>52496</v>
      </c>
      <c r="AB294" s="10">
        <v>6295</v>
      </c>
      <c r="AC294" s="8">
        <v>54666</v>
      </c>
      <c r="AD294" s="130">
        <v>6589</v>
      </c>
      <c r="AE294" s="8">
        <v>989</v>
      </c>
      <c r="AF294" s="9">
        <v>442</v>
      </c>
      <c r="AG294" s="10">
        <v>4345</v>
      </c>
      <c r="AH294" s="131">
        <v>3.6221156313535063E-2</v>
      </c>
      <c r="AI294" s="12">
        <v>7.9054894297388517E-2</v>
      </c>
      <c r="AJ294" s="12">
        <v>4.1336482779640353E-2</v>
      </c>
      <c r="AK294" s="12">
        <v>3.1798065890837571E-2</v>
      </c>
      <c r="AL294" s="12">
        <v>7.9986887395508938E-2</v>
      </c>
      <c r="AM294" s="12">
        <v>4.6703733121525016E-2</v>
      </c>
      <c r="AN294" s="13">
        <v>8.9970375246872951</v>
      </c>
      <c r="AO294" s="12">
        <v>1.0844305464121133</v>
      </c>
      <c r="AP294" s="12">
        <v>7.2745227123107312E-2</v>
      </c>
      <c r="AQ294" s="12">
        <v>0.71510862409479925</v>
      </c>
      <c r="AR294" s="14">
        <v>0.11929265110885635</v>
      </c>
      <c r="AS294" s="245">
        <f t="shared" si="8"/>
        <v>0.13693219223173139</v>
      </c>
      <c r="AT294" s="246">
        <f t="shared" si="9"/>
        <v>5.3982883475971036E-2</v>
      </c>
      <c r="AU294" s="8">
        <v>4172</v>
      </c>
      <c r="AV294" s="9">
        <v>4320</v>
      </c>
      <c r="AW294" s="10">
        <v>4443</v>
      </c>
      <c r="AX294" s="131">
        <v>3.5474592521572389E-2</v>
      </c>
      <c r="AY294" s="12">
        <v>6.4956855225311597E-2</v>
      </c>
      <c r="AZ294" s="14">
        <v>2.8472222222222222E-2</v>
      </c>
      <c r="BA294" s="8">
        <v>12</v>
      </c>
      <c r="BB294" s="10">
        <v>12</v>
      </c>
      <c r="BC294" s="8">
        <v>3</v>
      </c>
      <c r="BD294" s="10">
        <v>2</v>
      </c>
      <c r="BE294" s="8">
        <v>37968</v>
      </c>
      <c r="BF294" s="9">
        <v>54666</v>
      </c>
      <c r="BG294" s="12">
        <v>0.69454505542750522</v>
      </c>
      <c r="BH294" s="9">
        <v>3291</v>
      </c>
      <c r="BI294" s="9">
        <v>4443</v>
      </c>
      <c r="BJ294" s="14">
        <v>0.74071573261309931</v>
      </c>
    </row>
    <row r="295" spans="1:62" x14ac:dyDescent="0.25">
      <c r="A295" s="132"/>
      <c r="B295" s="132"/>
      <c r="C295" s="132" t="s">
        <v>79</v>
      </c>
      <c r="D295" s="132"/>
      <c r="E295" s="132"/>
      <c r="F295" s="18">
        <v>2092</v>
      </c>
      <c r="G295" s="15">
        <v>1557</v>
      </c>
      <c r="H295" s="16">
        <v>0</v>
      </c>
      <c r="I295" s="16">
        <v>1497</v>
      </c>
      <c r="J295" s="17">
        <v>60</v>
      </c>
      <c r="K295" s="15">
        <v>0</v>
      </c>
      <c r="L295" s="16">
        <v>14</v>
      </c>
      <c r="M295" s="16">
        <v>91</v>
      </c>
      <c r="N295" s="16">
        <v>1</v>
      </c>
      <c r="O295" s="16">
        <v>4</v>
      </c>
      <c r="P295" s="16">
        <v>0</v>
      </c>
      <c r="Q295" s="16">
        <v>9</v>
      </c>
      <c r="R295" s="17">
        <v>415</v>
      </c>
      <c r="S295" s="18">
        <v>289</v>
      </c>
      <c r="T295" s="15">
        <v>68</v>
      </c>
      <c r="U295" s="16">
        <v>4</v>
      </c>
      <c r="V295" s="16">
        <v>6</v>
      </c>
      <c r="W295" s="16">
        <v>43</v>
      </c>
      <c r="X295" s="17">
        <v>15</v>
      </c>
      <c r="Y295" s="15">
        <v>8996</v>
      </c>
      <c r="Z295" s="17">
        <v>1450</v>
      </c>
      <c r="AA295" s="15">
        <v>9426</v>
      </c>
      <c r="AB295" s="17">
        <v>1512</v>
      </c>
      <c r="AC295" s="15">
        <v>10527</v>
      </c>
      <c r="AD295" s="132">
        <v>1592</v>
      </c>
      <c r="AE295" s="15">
        <v>505</v>
      </c>
      <c r="AF295" s="16">
        <v>375</v>
      </c>
      <c r="AG295" s="17">
        <v>1138</v>
      </c>
      <c r="AH295" s="133">
        <v>4.7799021787461093E-2</v>
      </c>
      <c r="AI295" s="19">
        <v>0.17018674966651845</v>
      </c>
      <c r="AJ295" s="19">
        <v>0.11680458306810948</v>
      </c>
      <c r="AK295" s="19">
        <v>4.275862068965517E-2</v>
      </c>
      <c r="AL295" s="19">
        <v>9.7931034482758625E-2</v>
      </c>
      <c r="AM295" s="19">
        <v>5.2910052910052907E-2</v>
      </c>
      <c r="AN295" s="20">
        <v>6.7610789980732173</v>
      </c>
      <c r="AO295" s="19">
        <v>1.0224791265253692</v>
      </c>
      <c r="AP295" s="19">
        <v>0.24084778420038536</v>
      </c>
      <c r="AQ295" s="19">
        <v>0.73089274245343605</v>
      </c>
      <c r="AR295" s="21">
        <v>0.21044624746450305</v>
      </c>
      <c r="AS295" s="247">
        <f t="shared" si="8"/>
        <v>0.18561335902376364</v>
      </c>
      <c r="AT295" s="248">
        <f t="shared" si="9"/>
        <v>0.14193962748876043</v>
      </c>
      <c r="AU295" s="15">
        <v>2122</v>
      </c>
      <c r="AV295" s="16">
        <v>2080</v>
      </c>
      <c r="AW295" s="17">
        <v>2138</v>
      </c>
      <c r="AX295" s="133">
        <v>-1.9792648444863337E-2</v>
      </c>
      <c r="AY295" s="19">
        <v>7.540056550424128E-3</v>
      </c>
      <c r="AZ295" s="21">
        <v>2.7884615384615386E-2</v>
      </c>
      <c r="BA295" s="15">
        <v>12</v>
      </c>
      <c r="BB295" s="17">
        <v>12</v>
      </c>
      <c r="BC295" s="15">
        <v>3</v>
      </c>
      <c r="BD295" s="17">
        <v>2</v>
      </c>
      <c r="BE295" s="15">
        <v>6491</v>
      </c>
      <c r="BF295" s="16">
        <v>10527</v>
      </c>
      <c r="BG295" s="19">
        <v>0.61660492068015582</v>
      </c>
      <c r="BH295" s="16">
        <v>1534</v>
      </c>
      <c r="BI295" s="16">
        <v>2138</v>
      </c>
      <c r="BJ295" s="21">
        <v>0.71749298409728723</v>
      </c>
    </row>
    <row r="296" spans="1:62" x14ac:dyDescent="0.25">
      <c r="E296" t="s">
        <v>68</v>
      </c>
      <c r="F296" s="32">
        <v>2047</v>
      </c>
      <c r="G296" s="29">
        <v>1514</v>
      </c>
      <c r="H296" s="30">
        <v>0</v>
      </c>
      <c r="I296" s="30">
        <v>1455</v>
      </c>
      <c r="J296" s="31">
        <v>59</v>
      </c>
      <c r="K296" s="29">
        <v>0</v>
      </c>
      <c r="L296" s="30">
        <v>13</v>
      </c>
      <c r="M296" s="30">
        <v>91</v>
      </c>
      <c r="N296" s="30">
        <v>1</v>
      </c>
      <c r="O296" s="30">
        <v>4</v>
      </c>
      <c r="P296" s="30">
        <v>0</v>
      </c>
      <c r="Q296" s="30">
        <v>9</v>
      </c>
      <c r="R296" s="31">
        <v>414</v>
      </c>
      <c r="S296" s="32">
        <v>244</v>
      </c>
      <c r="T296" s="29">
        <v>68</v>
      </c>
      <c r="U296" s="30">
        <v>4</v>
      </c>
      <c r="V296" s="30">
        <v>6</v>
      </c>
      <c r="W296" s="30">
        <v>43</v>
      </c>
      <c r="X296" s="31">
        <v>15</v>
      </c>
      <c r="Y296" s="29">
        <v>8996</v>
      </c>
      <c r="Z296" s="31">
        <v>1450</v>
      </c>
      <c r="AA296" s="29">
        <v>9426</v>
      </c>
      <c r="AB296" s="31">
        <v>1512</v>
      </c>
      <c r="AC296" s="29">
        <v>10284</v>
      </c>
      <c r="AD296">
        <v>1548</v>
      </c>
      <c r="AE296" s="29">
        <v>505</v>
      </c>
      <c r="AF296" s="30">
        <v>375</v>
      </c>
      <c r="AG296" s="31">
        <v>1107</v>
      </c>
      <c r="AH296" s="136">
        <v>4.7799021787461093E-2</v>
      </c>
      <c r="AI296" s="33">
        <v>0.1431747443308137</v>
      </c>
      <c r="AJ296" s="33">
        <v>9.1024824952259706E-2</v>
      </c>
      <c r="AK296" s="33">
        <v>4.275862068965517E-2</v>
      </c>
      <c r="AL296" s="33">
        <v>6.7586206896551718E-2</v>
      </c>
      <c r="AM296" s="33">
        <v>2.3809523809523808E-2</v>
      </c>
      <c r="AN296" s="34">
        <v>6.7926023778071336</v>
      </c>
      <c r="AO296" s="33">
        <v>1.0224570673712021</v>
      </c>
      <c r="AP296" s="33">
        <v>0.2476882430647292</v>
      </c>
      <c r="AQ296" s="33">
        <v>0.73117569352708056</v>
      </c>
      <c r="AR296" s="35">
        <v>0.21473029045643152</v>
      </c>
      <c r="AS296" s="251">
        <f t="shared" si="8"/>
        <v>0.16116248348745046</v>
      </c>
      <c r="AT296" s="252">
        <f t="shared" si="9"/>
        <v>0.11624834874504623</v>
      </c>
      <c r="AU296" s="29">
        <v>2122</v>
      </c>
      <c r="AV296" s="30">
        <v>2080</v>
      </c>
      <c r="AW296" s="31">
        <v>2120</v>
      </c>
      <c r="AX296" s="136">
        <v>-1.9792648444863337E-2</v>
      </c>
      <c r="AY296" s="33">
        <v>-9.42507068803016E-4</v>
      </c>
      <c r="AZ296" s="35">
        <v>1.9230769230769232E-2</v>
      </c>
      <c r="BA296" s="29">
        <v>12</v>
      </c>
      <c r="BB296" s="31">
        <v>12</v>
      </c>
      <c r="BC296" s="29">
        <v>3</v>
      </c>
      <c r="BD296" s="31">
        <v>2</v>
      </c>
      <c r="BE296" s="29">
        <v>6353</v>
      </c>
      <c r="BF296" s="30">
        <v>10284</v>
      </c>
      <c r="BG296" s="33">
        <v>0.61775573706728903</v>
      </c>
      <c r="BH296" s="30">
        <v>1520</v>
      </c>
      <c r="BI296" s="30">
        <v>2120</v>
      </c>
      <c r="BJ296" s="35">
        <v>0.71698113207547165</v>
      </c>
    </row>
    <row r="297" spans="1:62" x14ac:dyDescent="0.25">
      <c r="A297" s="132"/>
      <c r="B297" s="132"/>
      <c r="C297" s="132" t="s">
        <v>228</v>
      </c>
      <c r="D297" s="132"/>
      <c r="E297" s="132"/>
      <c r="F297" s="18">
        <v>32</v>
      </c>
      <c r="G297" s="15">
        <v>29</v>
      </c>
      <c r="H297" s="16">
        <v>0</v>
      </c>
      <c r="I297" s="16">
        <v>29</v>
      </c>
      <c r="J297" s="17">
        <v>0</v>
      </c>
      <c r="K297" s="15">
        <v>0</v>
      </c>
      <c r="L297" s="16">
        <v>2</v>
      </c>
      <c r="M297" s="16">
        <v>0</v>
      </c>
      <c r="N297" s="16">
        <v>0</v>
      </c>
      <c r="O297" s="16">
        <v>0</v>
      </c>
      <c r="P297" s="16">
        <v>0</v>
      </c>
      <c r="Q297" s="16">
        <v>0</v>
      </c>
      <c r="R297" s="17">
        <v>1</v>
      </c>
      <c r="S297" s="18">
        <v>13</v>
      </c>
      <c r="T297" s="15">
        <v>1</v>
      </c>
      <c r="U297" s="16">
        <v>1</v>
      </c>
      <c r="V297" s="16">
        <v>0</v>
      </c>
      <c r="W297" s="16">
        <v>0</v>
      </c>
      <c r="X297" s="17">
        <v>0</v>
      </c>
      <c r="Y297" s="15">
        <v>2</v>
      </c>
      <c r="Z297" s="17">
        <v>2</v>
      </c>
      <c r="AA297" s="15">
        <v>84</v>
      </c>
      <c r="AB297" s="17">
        <v>17</v>
      </c>
      <c r="AC297" s="15">
        <v>209</v>
      </c>
      <c r="AD297" s="132">
        <v>44</v>
      </c>
      <c r="AE297" s="15">
        <v>0</v>
      </c>
      <c r="AF297" s="16">
        <v>0</v>
      </c>
      <c r="AG297" s="17">
        <v>15</v>
      </c>
      <c r="AH297" s="133">
        <v>41</v>
      </c>
      <c r="AI297" s="19">
        <v>103.5</v>
      </c>
      <c r="AJ297" s="19">
        <v>1.4880952380952381</v>
      </c>
      <c r="AK297" s="19">
        <v>7.5</v>
      </c>
      <c r="AL297" s="19">
        <v>21</v>
      </c>
      <c r="AM297" s="19">
        <v>1.588235294117647</v>
      </c>
      <c r="AN297" s="20">
        <v>7.2068965517241379</v>
      </c>
      <c r="AO297" s="19">
        <v>1.5172413793103448</v>
      </c>
      <c r="AP297" s="19">
        <v>0</v>
      </c>
      <c r="AQ297" s="19">
        <v>0.51724137931034486</v>
      </c>
      <c r="AR297" s="21">
        <v>3.3333333333333333E-2</v>
      </c>
      <c r="AS297" s="247">
        <f t="shared" si="8"/>
        <v>0.44827586206896552</v>
      </c>
      <c r="AT297" s="248">
        <f t="shared" si="9"/>
        <v>0.41379310344827586</v>
      </c>
      <c r="AU297" s="15">
        <v>2</v>
      </c>
      <c r="AV297" s="16">
        <v>72</v>
      </c>
      <c r="AW297" s="17">
        <v>162</v>
      </c>
      <c r="AX297" s="133">
        <v>35</v>
      </c>
      <c r="AY297" s="19">
        <v>80</v>
      </c>
      <c r="AZ297" s="21">
        <v>1.25</v>
      </c>
      <c r="BA297" s="15">
        <v>13</v>
      </c>
      <c r="BB297" s="17">
        <v>14</v>
      </c>
      <c r="BC297" s="15">
        <v>3</v>
      </c>
      <c r="BD297" s="17">
        <v>3</v>
      </c>
      <c r="BE297" s="15">
        <v>116</v>
      </c>
      <c r="BF297" s="16">
        <v>209</v>
      </c>
      <c r="BG297" s="19">
        <v>0.55502392344497609</v>
      </c>
      <c r="BH297" s="16">
        <v>97</v>
      </c>
      <c r="BI297" s="16">
        <v>162</v>
      </c>
      <c r="BJ297" s="21">
        <v>0.59876543209876543</v>
      </c>
    </row>
    <row r="298" spans="1:62" x14ac:dyDescent="0.25">
      <c r="E298" t="s">
        <v>68</v>
      </c>
      <c r="F298" s="32">
        <v>30</v>
      </c>
      <c r="G298" s="29">
        <v>28</v>
      </c>
      <c r="H298" s="30">
        <v>0</v>
      </c>
      <c r="I298" s="30">
        <v>28</v>
      </c>
      <c r="J298" s="31">
        <v>0</v>
      </c>
      <c r="K298" s="29">
        <v>0</v>
      </c>
      <c r="L298" s="30">
        <v>1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1">
        <v>1</v>
      </c>
      <c r="S298" s="32">
        <v>11</v>
      </c>
      <c r="T298" s="29">
        <v>1</v>
      </c>
      <c r="U298" s="30">
        <v>1</v>
      </c>
      <c r="V298" s="30">
        <v>0</v>
      </c>
      <c r="W298" s="30">
        <v>0</v>
      </c>
      <c r="X298" s="31">
        <v>0</v>
      </c>
      <c r="Y298" s="29">
        <v>2</v>
      </c>
      <c r="Z298" s="31">
        <v>2</v>
      </c>
      <c r="AA298" s="29">
        <v>84</v>
      </c>
      <c r="AB298" s="31">
        <v>17</v>
      </c>
      <c r="AC298" s="29">
        <v>205</v>
      </c>
      <c r="AD298">
        <v>30</v>
      </c>
      <c r="AE298" s="29">
        <v>0</v>
      </c>
      <c r="AF298" s="30">
        <v>0</v>
      </c>
      <c r="AG298" s="31">
        <v>14</v>
      </c>
      <c r="AH298" s="136">
        <v>41</v>
      </c>
      <c r="AI298" s="33">
        <v>101.5</v>
      </c>
      <c r="AJ298" s="33">
        <v>1.4404761904761905</v>
      </c>
      <c r="AK298" s="33">
        <v>7.5</v>
      </c>
      <c r="AL298" s="33">
        <v>14</v>
      </c>
      <c r="AM298" s="33">
        <v>0.76470588235294112</v>
      </c>
      <c r="AN298" s="34">
        <v>7.3214285714285712</v>
      </c>
      <c r="AO298" s="33">
        <v>1.0714285714285714</v>
      </c>
      <c r="AP298" s="33">
        <v>0</v>
      </c>
      <c r="AQ298" s="33">
        <v>0.5</v>
      </c>
      <c r="AR298" s="35">
        <v>3.4482758620689655E-2</v>
      </c>
      <c r="AS298" s="251">
        <f t="shared" si="8"/>
        <v>0.39285714285714285</v>
      </c>
      <c r="AT298" s="252">
        <f t="shared" si="9"/>
        <v>0.35714285714285715</v>
      </c>
      <c r="AU298" s="29">
        <v>2</v>
      </c>
      <c r="AV298" s="30">
        <v>72</v>
      </c>
      <c r="AW298" s="31">
        <v>159</v>
      </c>
      <c r="AX298" s="136">
        <v>35</v>
      </c>
      <c r="AY298" s="33">
        <v>78.5</v>
      </c>
      <c r="AZ298" s="35">
        <v>1.2083333333333333</v>
      </c>
      <c r="BA298" s="29">
        <v>13</v>
      </c>
      <c r="BB298" s="31">
        <v>13</v>
      </c>
      <c r="BC298" s="29">
        <v>4</v>
      </c>
      <c r="BD298" s="31">
        <v>3</v>
      </c>
      <c r="BE298" s="29">
        <v>115</v>
      </c>
      <c r="BF298" s="30">
        <v>205</v>
      </c>
      <c r="BG298" s="33">
        <v>0.56097560975609762</v>
      </c>
      <c r="BH298" s="30">
        <v>96</v>
      </c>
      <c r="BI298" s="30">
        <v>159</v>
      </c>
      <c r="BJ298" s="35">
        <v>0.60377358490566035</v>
      </c>
    </row>
    <row r="299" spans="1:62" x14ac:dyDescent="0.25">
      <c r="A299" s="132"/>
      <c r="B299" s="132"/>
      <c r="C299" s="132" t="s">
        <v>133</v>
      </c>
      <c r="D299" s="132"/>
      <c r="E299" s="132"/>
      <c r="F299" s="18">
        <v>132</v>
      </c>
      <c r="G299" s="15">
        <v>95</v>
      </c>
      <c r="H299" s="16">
        <v>0</v>
      </c>
      <c r="I299" s="16">
        <v>95</v>
      </c>
      <c r="J299" s="17">
        <v>0</v>
      </c>
      <c r="K299" s="15">
        <v>0</v>
      </c>
      <c r="L299" s="16">
        <v>4</v>
      </c>
      <c r="M299" s="16">
        <v>16</v>
      </c>
      <c r="N299" s="16">
        <v>0</v>
      </c>
      <c r="O299" s="16">
        <v>0</v>
      </c>
      <c r="P299" s="16">
        <v>0</v>
      </c>
      <c r="Q299" s="16">
        <v>3</v>
      </c>
      <c r="R299" s="17">
        <v>14</v>
      </c>
      <c r="S299" s="18">
        <v>16</v>
      </c>
      <c r="T299" s="15">
        <v>16</v>
      </c>
      <c r="U299" s="16">
        <v>1</v>
      </c>
      <c r="V299" s="16">
        <v>3</v>
      </c>
      <c r="W299" s="16">
        <v>12</v>
      </c>
      <c r="X299" s="17">
        <v>0</v>
      </c>
      <c r="Y299" s="15">
        <v>699</v>
      </c>
      <c r="Z299" s="17">
        <v>107</v>
      </c>
      <c r="AA299" s="15">
        <v>804</v>
      </c>
      <c r="AB299" s="17">
        <v>109</v>
      </c>
      <c r="AC299" s="15">
        <v>798</v>
      </c>
      <c r="AD299" s="132">
        <v>106</v>
      </c>
      <c r="AE299" s="15">
        <v>21</v>
      </c>
      <c r="AF299" s="16">
        <v>0</v>
      </c>
      <c r="AG299" s="17">
        <v>72</v>
      </c>
      <c r="AH299" s="133">
        <v>0.15021459227467812</v>
      </c>
      <c r="AI299" s="19">
        <v>0.14163090128755365</v>
      </c>
      <c r="AJ299" s="19">
        <v>-7.462686567164179E-3</v>
      </c>
      <c r="AK299" s="19">
        <v>1.8691588785046728E-2</v>
      </c>
      <c r="AL299" s="19">
        <v>-9.3457943925233638E-3</v>
      </c>
      <c r="AM299" s="19">
        <v>-2.7522935779816515E-2</v>
      </c>
      <c r="AN299" s="20">
        <v>8.4</v>
      </c>
      <c r="AO299" s="19">
        <v>1.1157894736842104</v>
      </c>
      <c r="AP299" s="19">
        <v>0</v>
      </c>
      <c r="AQ299" s="19">
        <v>0.75789473684210529</v>
      </c>
      <c r="AR299" s="21">
        <v>0.12844036697247707</v>
      </c>
      <c r="AS299" s="247">
        <f t="shared" si="8"/>
        <v>0.16842105263157894</v>
      </c>
      <c r="AT299" s="248">
        <f t="shared" si="9"/>
        <v>0</v>
      </c>
      <c r="AU299" s="15">
        <v>299</v>
      </c>
      <c r="AV299" s="16">
        <v>285</v>
      </c>
      <c r="AW299" s="17">
        <v>324</v>
      </c>
      <c r="AX299" s="133">
        <v>-4.6822742474916385E-2</v>
      </c>
      <c r="AY299" s="19">
        <v>8.3612040133779264E-2</v>
      </c>
      <c r="AZ299" s="21">
        <v>0.1368421052631579</v>
      </c>
      <c r="BA299" s="15">
        <v>10</v>
      </c>
      <c r="BB299" s="17">
        <v>11</v>
      </c>
      <c r="BC299" s="15">
        <v>3</v>
      </c>
      <c r="BD299" s="17">
        <v>2</v>
      </c>
      <c r="BE299" s="15">
        <v>660</v>
      </c>
      <c r="BF299" s="16">
        <v>798</v>
      </c>
      <c r="BG299" s="19">
        <v>0.82706766917293228</v>
      </c>
      <c r="BH299" s="16">
        <v>259</v>
      </c>
      <c r="BI299" s="16">
        <v>324</v>
      </c>
      <c r="BJ299" s="21">
        <v>0.79938271604938271</v>
      </c>
    </row>
    <row r="300" spans="1:62" x14ac:dyDescent="0.25">
      <c r="E300" t="s">
        <v>68</v>
      </c>
      <c r="F300" s="32">
        <v>130</v>
      </c>
      <c r="G300" s="29">
        <v>93</v>
      </c>
      <c r="H300" s="30">
        <v>0</v>
      </c>
      <c r="I300" s="30">
        <v>93</v>
      </c>
      <c r="J300" s="31">
        <v>0</v>
      </c>
      <c r="K300" s="29">
        <v>0</v>
      </c>
      <c r="L300" s="30">
        <v>4</v>
      </c>
      <c r="M300" s="30">
        <v>16</v>
      </c>
      <c r="N300" s="30">
        <v>0</v>
      </c>
      <c r="O300" s="30">
        <v>0</v>
      </c>
      <c r="P300" s="30">
        <v>0</v>
      </c>
      <c r="Q300" s="30">
        <v>3</v>
      </c>
      <c r="R300" s="31">
        <v>14</v>
      </c>
      <c r="S300" s="32">
        <v>14</v>
      </c>
      <c r="T300" s="29">
        <v>16</v>
      </c>
      <c r="U300" s="30">
        <v>1</v>
      </c>
      <c r="V300" s="30">
        <v>3</v>
      </c>
      <c r="W300" s="30">
        <v>12</v>
      </c>
      <c r="X300" s="31">
        <v>0</v>
      </c>
      <c r="Y300" s="29">
        <v>699</v>
      </c>
      <c r="Z300" s="31">
        <v>107</v>
      </c>
      <c r="AA300" s="29">
        <v>804</v>
      </c>
      <c r="AB300" s="31">
        <v>109</v>
      </c>
      <c r="AC300" s="29">
        <v>786</v>
      </c>
      <c r="AD300">
        <v>104</v>
      </c>
      <c r="AE300" s="29">
        <v>21</v>
      </c>
      <c r="AF300" s="30">
        <v>0</v>
      </c>
      <c r="AG300" s="31">
        <v>70</v>
      </c>
      <c r="AH300" s="136">
        <v>0.15021459227467812</v>
      </c>
      <c r="AI300" s="33">
        <v>0.12446351931330472</v>
      </c>
      <c r="AJ300" s="33">
        <v>-2.2388059701492536E-2</v>
      </c>
      <c r="AK300" s="33">
        <v>1.8691588785046728E-2</v>
      </c>
      <c r="AL300" s="33">
        <v>-2.8037383177570093E-2</v>
      </c>
      <c r="AM300" s="33">
        <v>-4.5871559633027525E-2</v>
      </c>
      <c r="AN300" s="34">
        <v>8.4516129032258061</v>
      </c>
      <c r="AO300" s="33">
        <v>1.118279569892473</v>
      </c>
      <c r="AP300" s="33">
        <v>0</v>
      </c>
      <c r="AQ300" s="33">
        <v>0.75268817204301075</v>
      </c>
      <c r="AR300" s="35">
        <v>0.13084112149532709</v>
      </c>
      <c r="AS300" s="251">
        <f t="shared" si="8"/>
        <v>0.15053763440860216</v>
      </c>
      <c r="AT300" s="252">
        <f t="shared" si="9"/>
        <v>-2.1505376344086023E-2</v>
      </c>
      <c r="AU300" s="29">
        <v>299</v>
      </c>
      <c r="AV300" s="30">
        <v>285</v>
      </c>
      <c r="AW300" s="31">
        <v>323</v>
      </c>
      <c r="AX300" s="136">
        <v>-4.6822742474916385E-2</v>
      </c>
      <c r="AY300" s="33">
        <v>8.0267558528428096E-2</v>
      </c>
      <c r="AZ300" s="35">
        <v>0.13333333333333333</v>
      </c>
      <c r="BA300" s="29">
        <v>10</v>
      </c>
      <c r="BB300" s="31">
        <v>11</v>
      </c>
      <c r="BC300" s="29">
        <v>3</v>
      </c>
      <c r="BD300" s="31">
        <v>2</v>
      </c>
      <c r="BE300" s="29">
        <v>649</v>
      </c>
      <c r="BF300" s="30">
        <v>786</v>
      </c>
      <c r="BG300" s="33">
        <v>0.82569974554707382</v>
      </c>
      <c r="BH300" s="30">
        <v>258</v>
      </c>
      <c r="BI300" s="30">
        <v>323</v>
      </c>
      <c r="BJ300" s="35">
        <v>0.79876160990712075</v>
      </c>
    </row>
    <row r="301" spans="1:62" x14ac:dyDescent="0.25">
      <c r="A301" s="132"/>
      <c r="B301" s="132"/>
      <c r="C301" s="132" t="s">
        <v>134</v>
      </c>
      <c r="D301" s="132"/>
      <c r="E301" s="132"/>
      <c r="F301" s="18">
        <v>1793</v>
      </c>
      <c r="G301" s="15">
        <v>1558</v>
      </c>
      <c r="H301" s="16">
        <v>0</v>
      </c>
      <c r="I301" s="16">
        <v>1558</v>
      </c>
      <c r="J301" s="17">
        <v>0</v>
      </c>
      <c r="K301" s="15">
        <v>0</v>
      </c>
      <c r="L301" s="16">
        <v>1</v>
      </c>
      <c r="M301" s="16">
        <v>90</v>
      </c>
      <c r="N301" s="16">
        <v>0</v>
      </c>
      <c r="O301" s="16">
        <v>1</v>
      </c>
      <c r="P301" s="16">
        <v>0</v>
      </c>
      <c r="Q301" s="16">
        <v>9</v>
      </c>
      <c r="R301" s="17">
        <v>134</v>
      </c>
      <c r="S301" s="18">
        <v>238</v>
      </c>
      <c r="T301" s="15">
        <v>83</v>
      </c>
      <c r="U301" s="16">
        <v>5</v>
      </c>
      <c r="V301" s="16">
        <v>5</v>
      </c>
      <c r="W301" s="16">
        <v>69</v>
      </c>
      <c r="X301" s="17">
        <v>4</v>
      </c>
      <c r="Y301" s="15">
        <v>9433</v>
      </c>
      <c r="Z301" s="17">
        <v>1313</v>
      </c>
      <c r="AA301" s="15">
        <v>11503</v>
      </c>
      <c r="AB301" s="17">
        <v>1457</v>
      </c>
      <c r="AC301" s="15">
        <v>11545</v>
      </c>
      <c r="AD301" s="132">
        <v>1630</v>
      </c>
      <c r="AE301" s="15">
        <v>161</v>
      </c>
      <c r="AF301" s="16">
        <v>37</v>
      </c>
      <c r="AG301" s="17">
        <v>834</v>
      </c>
      <c r="AH301" s="133">
        <v>0.21944238312307857</v>
      </c>
      <c r="AI301" s="19">
        <v>0.2238948372734019</v>
      </c>
      <c r="AJ301" s="19">
        <v>3.6512214204990003E-3</v>
      </c>
      <c r="AK301" s="19">
        <v>0.10967250571210967</v>
      </c>
      <c r="AL301" s="19">
        <v>0.24143183549124142</v>
      </c>
      <c r="AM301" s="19">
        <v>0.11873713109128346</v>
      </c>
      <c r="AN301" s="20">
        <v>7.4101412066752248</v>
      </c>
      <c r="AO301" s="19">
        <v>1.0462130937098844</v>
      </c>
      <c r="AP301" s="19">
        <v>2.3748395378690629E-2</v>
      </c>
      <c r="AQ301" s="19">
        <v>0.5353016688061617</v>
      </c>
      <c r="AR301" s="21">
        <v>7.9196217494089838E-2</v>
      </c>
      <c r="AS301" s="247">
        <f t="shared" si="8"/>
        <v>0.15275994865211809</v>
      </c>
      <c r="AT301" s="248">
        <f t="shared" si="9"/>
        <v>9.9486521181001278E-2</v>
      </c>
      <c r="AU301" s="15">
        <v>1159</v>
      </c>
      <c r="AV301" s="16">
        <v>1292</v>
      </c>
      <c r="AW301" s="17">
        <v>1470</v>
      </c>
      <c r="AX301" s="133">
        <v>0.11475409836065574</v>
      </c>
      <c r="AY301" s="19">
        <v>0.26833477135461603</v>
      </c>
      <c r="AZ301" s="21">
        <v>0.13777089783281735</v>
      </c>
      <c r="BA301" s="15">
        <v>13</v>
      </c>
      <c r="BB301" s="17">
        <v>12</v>
      </c>
      <c r="BC301" s="15">
        <v>2</v>
      </c>
      <c r="BD301" s="17">
        <v>2</v>
      </c>
      <c r="BE301" s="15">
        <v>9247</v>
      </c>
      <c r="BF301" s="16">
        <v>11545</v>
      </c>
      <c r="BG301" s="19">
        <v>0.80095279341706371</v>
      </c>
      <c r="BH301" s="16">
        <v>1148</v>
      </c>
      <c r="BI301" s="16">
        <v>1470</v>
      </c>
      <c r="BJ301" s="21">
        <v>0.78095238095238095</v>
      </c>
    </row>
    <row r="302" spans="1:62" x14ac:dyDescent="0.25">
      <c r="E302" t="s">
        <v>68</v>
      </c>
      <c r="F302" s="32">
        <v>1793</v>
      </c>
      <c r="G302" s="29">
        <v>1558</v>
      </c>
      <c r="H302" s="30">
        <v>0</v>
      </c>
      <c r="I302" s="30">
        <v>1558</v>
      </c>
      <c r="J302" s="31">
        <v>0</v>
      </c>
      <c r="K302" s="29">
        <v>0</v>
      </c>
      <c r="L302" s="30">
        <v>1</v>
      </c>
      <c r="M302" s="30">
        <v>90</v>
      </c>
      <c r="N302" s="30">
        <v>0</v>
      </c>
      <c r="O302" s="30">
        <v>1</v>
      </c>
      <c r="P302" s="30">
        <v>0</v>
      </c>
      <c r="Q302" s="30">
        <v>9</v>
      </c>
      <c r="R302" s="31">
        <v>134</v>
      </c>
      <c r="S302" s="32">
        <v>238</v>
      </c>
      <c r="T302" s="29">
        <v>83</v>
      </c>
      <c r="U302" s="30">
        <v>5</v>
      </c>
      <c r="V302" s="30">
        <v>5</v>
      </c>
      <c r="W302" s="30">
        <v>69</v>
      </c>
      <c r="X302" s="31">
        <v>4</v>
      </c>
      <c r="Y302" s="29">
        <v>9433</v>
      </c>
      <c r="Z302" s="31">
        <v>1313</v>
      </c>
      <c r="AA302" s="29">
        <v>11503</v>
      </c>
      <c r="AB302" s="31">
        <v>1457</v>
      </c>
      <c r="AC302" s="29">
        <v>11545</v>
      </c>
      <c r="AD302">
        <v>1630</v>
      </c>
      <c r="AE302" s="29">
        <v>161</v>
      </c>
      <c r="AF302" s="30">
        <v>37</v>
      </c>
      <c r="AG302" s="31">
        <v>834</v>
      </c>
      <c r="AH302" s="136">
        <v>0.21944238312307857</v>
      </c>
      <c r="AI302" s="33">
        <v>0.2238948372734019</v>
      </c>
      <c r="AJ302" s="33">
        <v>3.6512214204990003E-3</v>
      </c>
      <c r="AK302" s="33">
        <v>0.10967250571210967</v>
      </c>
      <c r="AL302" s="33">
        <v>0.24143183549124142</v>
      </c>
      <c r="AM302" s="33">
        <v>0.11873713109128346</v>
      </c>
      <c r="AN302" s="34">
        <v>7.4101412066752248</v>
      </c>
      <c r="AO302" s="33">
        <v>1.0462130937098844</v>
      </c>
      <c r="AP302" s="33">
        <v>2.3748395378690629E-2</v>
      </c>
      <c r="AQ302" s="33">
        <v>0.5353016688061617</v>
      </c>
      <c r="AR302" s="35">
        <v>7.9196217494089838E-2</v>
      </c>
      <c r="AS302" s="251">
        <f t="shared" si="8"/>
        <v>0.15275994865211809</v>
      </c>
      <c r="AT302" s="252">
        <f t="shared" si="9"/>
        <v>9.9486521181001278E-2</v>
      </c>
      <c r="AU302" s="29">
        <v>1159</v>
      </c>
      <c r="AV302" s="30">
        <v>1292</v>
      </c>
      <c r="AW302" s="31">
        <v>1470</v>
      </c>
      <c r="AX302" s="136">
        <v>0.11475409836065574</v>
      </c>
      <c r="AY302" s="33">
        <v>0.26833477135461603</v>
      </c>
      <c r="AZ302" s="35">
        <v>0.13777089783281735</v>
      </c>
      <c r="BA302" s="29">
        <v>13</v>
      </c>
      <c r="BB302" s="31">
        <v>12</v>
      </c>
      <c r="BC302" s="29">
        <v>2</v>
      </c>
      <c r="BD302" s="31">
        <v>2</v>
      </c>
      <c r="BE302" s="29">
        <v>9247</v>
      </c>
      <c r="BF302" s="30">
        <v>11545</v>
      </c>
      <c r="BG302" s="33">
        <v>0.80095279341706371</v>
      </c>
      <c r="BH302" s="30">
        <v>1148</v>
      </c>
      <c r="BI302" s="30">
        <v>1470</v>
      </c>
      <c r="BJ302" s="35">
        <v>0.78095238095238095</v>
      </c>
    </row>
    <row r="303" spans="1:62" x14ac:dyDescent="0.25">
      <c r="A303" s="132"/>
      <c r="B303" s="132"/>
      <c r="C303" s="132" t="s">
        <v>135</v>
      </c>
      <c r="D303" s="132"/>
      <c r="E303" s="132"/>
      <c r="F303" s="18">
        <v>207</v>
      </c>
      <c r="G303" s="15">
        <v>177</v>
      </c>
      <c r="H303" s="16">
        <v>0</v>
      </c>
      <c r="I303" s="16">
        <v>161</v>
      </c>
      <c r="J303" s="17">
        <v>16</v>
      </c>
      <c r="K303" s="15">
        <v>0</v>
      </c>
      <c r="L303" s="16">
        <v>0</v>
      </c>
      <c r="M303" s="16">
        <v>19</v>
      </c>
      <c r="N303" s="16">
        <v>0</v>
      </c>
      <c r="O303" s="16">
        <v>0</v>
      </c>
      <c r="P303" s="16">
        <v>0</v>
      </c>
      <c r="Q303" s="16">
        <v>1</v>
      </c>
      <c r="R303" s="17">
        <v>10</v>
      </c>
      <c r="S303" s="18">
        <v>25</v>
      </c>
      <c r="T303" s="15">
        <v>17</v>
      </c>
      <c r="U303" s="16">
        <v>0</v>
      </c>
      <c r="V303" s="16">
        <v>1</v>
      </c>
      <c r="W303" s="16">
        <v>16</v>
      </c>
      <c r="X303" s="17">
        <v>0</v>
      </c>
      <c r="Y303" s="15">
        <v>1654</v>
      </c>
      <c r="Z303" s="17">
        <v>177</v>
      </c>
      <c r="AA303" s="15">
        <v>1768</v>
      </c>
      <c r="AB303" s="17">
        <v>187</v>
      </c>
      <c r="AC303" s="15">
        <v>1832</v>
      </c>
      <c r="AD303" s="132">
        <v>194</v>
      </c>
      <c r="AE303" s="15">
        <v>14</v>
      </c>
      <c r="AF303" s="16">
        <v>3</v>
      </c>
      <c r="AG303" s="17">
        <v>136</v>
      </c>
      <c r="AH303" s="133">
        <v>6.8923821039903271E-2</v>
      </c>
      <c r="AI303" s="19">
        <v>0.10761789600967352</v>
      </c>
      <c r="AJ303" s="19">
        <v>3.6199095022624438E-2</v>
      </c>
      <c r="AK303" s="19">
        <v>5.6497175141242938E-2</v>
      </c>
      <c r="AL303" s="19">
        <v>9.6045197740112997E-2</v>
      </c>
      <c r="AM303" s="19">
        <v>3.7433155080213901E-2</v>
      </c>
      <c r="AN303" s="20">
        <v>10.350282485875706</v>
      </c>
      <c r="AO303" s="19">
        <v>1.0960451977401129</v>
      </c>
      <c r="AP303" s="19">
        <v>1.6949152542372881E-2</v>
      </c>
      <c r="AQ303" s="19">
        <v>0.76836158192090398</v>
      </c>
      <c r="AR303" s="21">
        <v>5.3475935828877004E-2</v>
      </c>
      <c r="AS303" s="247">
        <f t="shared" si="8"/>
        <v>0.14124293785310735</v>
      </c>
      <c r="AT303" s="248">
        <f t="shared" si="9"/>
        <v>4.519774011299435E-2</v>
      </c>
      <c r="AU303" s="15">
        <v>556</v>
      </c>
      <c r="AV303" s="16">
        <v>615</v>
      </c>
      <c r="AW303" s="17">
        <v>657</v>
      </c>
      <c r="AX303" s="133">
        <v>0.10611510791366907</v>
      </c>
      <c r="AY303" s="19">
        <v>0.18165467625899281</v>
      </c>
      <c r="AZ303" s="21">
        <v>6.8292682926829273E-2</v>
      </c>
      <c r="BA303" s="15">
        <v>9</v>
      </c>
      <c r="BB303" s="17">
        <v>9</v>
      </c>
      <c r="BC303" s="15">
        <v>3</v>
      </c>
      <c r="BD303" s="17">
        <v>2</v>
      </c>
      <c r="BE303" s="15">
        <v>1150</v>
      </c>
      <c r="BF303" s="16">
        <v>1832</v>
      </c>
      <c r="BG303" s="19">
        <v>0.62772925764192145</v>
      </c>
      <c r="BH303" s="16">
        <v>461</v>
      </c>
      <c r="BI303" s="16">
        <v>657</v>
      </c>
      <c r="BJ303" s="21">
        <v>0.70167427701674279</v>
      </c>
    </row>
    <row r="304" spans="1:62" x14ac:dyDescent="0.25">
      <c r="E304" t="s">
        <v>68</v>
      </c>
      <c r="F304" s="32">
        <v>203</v>
      </c>
      <c r="G304" s="29">
        <v>173</v>
      </c>
      <c r="H304" s="30">
        <v>0</v>
      </c>
      <c r="I304" s="30">
        <v>157</v>
      </c>
      <c r="J304" s="31">
        <v>16</v>
      </c>
      <c r="K304" s="29">
        <v>0</v>
      </c>
      <c r="L304" s="30">
        <v>0</v>
      </c>
      <c r="M304" s="30">
        <v>19</v>
      </c>
      <c r="N304" s="30">
        <v>0</v>
      </c>
      <c r="O304" s="30">
        <v>0</v>
      </c>
      <c r="P304" s="30">
        <v>0</v>
      </c>
      <c r="Q304" s="30">
        <v>1</v>
      </c>
      <c r="R304" s="31">
        <v>10</v>
      </c>
      <c r="S304" s="32">
        <v>21</v>
      </c>
      <c r="T304" s="29">
        <v>17</v>
      </c>
      <c r="U304" s="30">
        <v>0</v>
      </c>
      <c r="V304" s="30">
        <v>1</v>
      </c>
      <c r="W304" s="30">
        <v>16</v>
      </c>
      <c r="X304" s="31">
        <v>0</v>
      </c>
      <c r="Y304" s="29">
        <v>1654</v>
      </c>
      <c r="Z304" s="31">
        <v>177</v>
      </c>
      <c r="AA304" s="29">
        <v>1768</v>
      </c>
      <c r="AB304" s="31">
        <v>187</v>
      </c>
      <c r="AC304" s="29">
        <v>1809</v>
      </c>
      <c r="AD304">
        <v>189</v>
      </c>
      <c r="AE304" s="29">
        <v>14</v>
      </c>
      <c r="AF304" s="30">
        <v>3</v>
      </c>
      <c r="AG304" s="31">
        <v>132</v>
      </c>
      <c r="AH304" s="136">
        <v>6.8923821039903271E-2</v>
      </c>
      <c r="AI304" s="33">
        <v>9.3712212817412335E-2</v>
      </c>
      <c r="AJ304" s="33">
        <v>2.3190045248868779E-2</v>
      </c>
      <c r="AK304" s="33">
        <v>5.6497175141242938E-2</v>
      </c>
      <c r="AL304" s="33">
        <v>6.7796610169491525E-2</v>
      </c>
      <c r="AM304" s="33">
        <v>1.06951871657754E-2</v>
      </c>
      <c r="AN304" s="34">
        <v>10.456647398843931</v>
      </c>
      <c r="AO304" s="33">
        <v>1.0924855491329479</v>
      </c>
      <c r="AP304" s="33">
        <v>1.7341040462427744E-2</v>
      </c>
      <c r="AQ304" s="33">
        <v>0.76300578034682076</v>
      </c>
      <c r="AR304" s="35">
        <v>5.4644808743169397E-2</v>
      </c>
      <c r="AS304" s="251">
        <f t="shared" si="8"/>
        <v>0.12138728323699421</v>
      </c>
      <c r="AT304" s="252">
        <f t="shared" si="9"/>
        <v>2.3121387283236993E-2</v>
      </c>
      <c r="AU304" s="29">
        <v>556</v>
      </c>
      <c r="AV304" s="30">
        <v>615</v>
      </c>
      <c r="AW304" s="31">
        <v>656</v>
      </c>
      <c r="AX304" s="136">
        <v>0.10611510791366907</v>
      </c>
      <c r="AY304" s="33">
        <v>0.17985611510791366</v>
      </c>
      <c r="AZ304" s="35">
        <v>6.6666666666666666E-2</v>
      </c>
      <c r="BA304" s="29">
        <v>9</v>
      </c>
      <c r="BB304" s="31">
        <v>9</v>
      </c>
      <c r="BC304" s="29">
        <v>3</v>
      </c>
      <c r="BD304" s="31">
        <v>2</v>
      </c>
      <c r="BE304" s="29">
        <v>1136</v>
      </c>
      <c r="BF304" s="30">
        <v>1809</v>
      </c>
      <c r="BG304" s="33">
        <v>0.62797125483692651</v>
      </c>
      <c r="BH304" s="30">
        <v>460</v>
      </c>
      <c r="BI304" s="30">
        <v>656</v>
      </c>
      <c r="BJ304" s="35">
        <v>0.70121951219512191</v>
      </c>
    </row>
    <row r="305" spans="1:62" x14ac:dyDescent="0.25">
      <c r="A305" s="132"/>
      <c r="B305" s="132"/>
      <c r="C305" s="132" t="s">
        <v>136</v>
      </c>
      <c r="D305" s="132"/>
      <c r="E305" s="132"/>
      <c r="F305" s="18">
        <v>3335</v>
      </c>
      <c r="G305" s="15">
        <v>2660</v>
      </c>
      <c r="H305" s="16">
        <v>0</v>
      </c>
      <c r="I305" s="16">
        <v>2659</v>
      </c>
      <c r="J305" s="17">
        <v>1</v>
      </c>
      <c r="K305" s="15">
        <v>0</v>
      </c>
      <c r="L305" s="16">
        <v>13</v>
      </c>
      <c r="M305" s="16">
        <v>383</v>
      </c>
      <c r="N305" s="16">
        <v>1</v>
      </c>
      <c r="O305" s="16">
        <v>8</v>
      </c>
      <c r="P305" s="16">
        <v>0</v>
      </c>
      <c r="Q305" s="16">
        <v>21</v>
      </c>
      <c r="R305" s="17">
        <v>249</v>
      </c>
      <c r="S305" s="18">
        <v>251</v>
      </c>
      <c r="T305" s="15">
        <v>319</v>
      </c>
      <c r="U305" s="16">
        <v>7</v>
      </c>
      <c r="V305" s="16">
        <v>15</v>
      </c>
      <c r="W305" s="16">
        <v>294</v>
      </c>
      <c r="X305" s="17">
        <v>3</v>
      </c>
      <c r="Y305" s="15">
        <v>29877</v>
      </c>
      <c r="Z305" s="17">
        <v>3052</v>
      </c>
      <c r="AA305" s="15">
        <v>28911</v>
      </c>
      <c r="AB305" s="17">
        <v>3013</v>
      </c>
      <c r="AC305" s="15">
        <v>29755</v>
      </c>
      <c r="AD305" s="132">
        <v>3037</v>
      </c>
      <c r="AE305" s="15">
        <v>288</v>
      </c>
      <c r="AF305" s="16">
        <v>27</v>
      </c>
      <c r="AG305" s="17">
        <v>2150</v>
      </c>
      <c r="AH305" s="133">
        <v>-3.2332563510392612E-2</v>
      </c>
      <c r="AI305" s="19">
        <v>-4.0834086420992741E-3</v>
      </c>
      <c r="AJ305" s="19">
        <v>2.9193040711148005E-2</v>
      </c>
      <c r="AK305" s="19">
        <v>-1.2778505897771953E-2</v>
      </c>
      <c r="AL305" s="19">
        <v>-4.9148099606815205E-3</v>
      </c>
      <c r="AM305" s="19">
        <v>7.9654829074012612E-3</v>
      </c>
      <c r="AN305" s="20">
        <v>11.186090225563909</v>
      </c>
      <c r="AO305" s="19">
        <v>1.1417293233082706</v>
      </c>
      <c r="AP305" s="19">
        <v>1.0150375939849625E-2</v>
      </c>
      <c r="AQ305" s="19">
        <v>0.80827067669172936</v>
      </c>
      <c r="AR305" s="21">
        <v>8.5596424888277761E-2</v>
      </c>
      <c r="AS305" s="247">
        <f t="shared" si="8"/>
        <v>9.4360902255639104E-2</v>
      </c>
      <c r="AT305" s="248">
        <f t="shared" si="9"/>
        <v>-2.5563909774436091E-2</v>
      </c>
      <c r="AU305" s="15">
        <v>3189</v>
      </c>
      <c r="AV305" s="16">
        <v>3212</v>
      </c>
      <c r="AW305" s="17">
        <v>3186</v>
      </c>
      <c r="AX305" s="133">
        <v>7.2122922546252743E-3</v>
      </c>
      <c r="AY305" s="19">
        <v>-9.4073377234242712E-4</v>
      </c>
      <c r="AZ305" s="21">
        <v>-8.0946450809464502E-3</v>
      </c>
      <c r="BA305" s="15">
        <v>11</v>
      </c>
      <c r="BB305" s="17">
        <v>12</v>
      </c>
      <c r="BC305" s="15">
        <v>3</v>
      </c>
      <c r="BD305" s="17">
        <v>2</v>
      </c>
      <c r="BE305" s="15">
        <v>20304</v>
      </c>
      <c r="BF305" s="16">
        <v>29755</v>
      </c>
      <c r="BG305" s="19">
        <v>0.68237271046882875</v>
      </c>
      <c r="BH305" s="16">
        <v>2296</v>
      </c>
      <c r="BI305" s="16">
        <v>3186</v>
      </c>
      <c r="BJ305" s="21">
        <v>0.72065285624607656</v>
      </c>
    </row>
    <row r="306" spans="1:62" x14ac:dyDescent="0.25">
      <c r="E306" t="s">
        <v>68</v>
      </c>
      <c r="F306" s="32">
        <v>3324</v>
      </c>
      <c r="G306" s="29">
        <v>2650</v>
      </c>
      <c r="H306" s="30">
        <v>0</v>
      </c>
      <c r="I306" s="30">
        <v>2649</v>
      </c>
      <c r="J306" s="31">
        <v>1</v>
      </c>
      <c r="K306" s="29">
        <v>0</v>
      </c>
      <c r="L306" s="30">
        <v>13</v>
      </c>
      <c r="M306" s="30">
        <v>382</v>
      </c>
      <c r="N306" s="30">
        <v>1</v>
      </c>
      <c r="O306" s="30">
        <v>8</v>
      </c>
      <c r="P306" s="30">
        <v>0</v>
      </c>
      <c r="Q306" s="30">
        <v>21</v>
      </c>
      <c r="R306" s="31">
        <v>249</v>
      </c>
      <c r="S306" s="32">
        <v>240</v>
      </c>
      <c r="T306" s="29">
        <v>318</v>
      </c>
      <c r="U306" s="30">
        <v>7</v>
      </c>
      <c r="V306" s="30">
        <v>15</v>
      </c>
      <c r="W306" s="30">
        <v>293</v>
      </c>
      <c r="X306" s="31">
        <v>3</v>
      </c>
      <c r="Y306" s="29">
        <v>29877</v>
      </c>
      <c r="Z306" s="31">
        <v>3052</v>
      </c>
      <c r="AA306" s="29">
        <v>28911</v>
      </c>
      <c r="AB306" s="31">
        <v>3013</v>
      </c>
      <c r="AC306" s="29">
        <v>29667</v>
      </c>
      <c r="AD306">
        <v>3026</v>
      </c>
      <c r="AE306" s="29">
        <v>288</v>
      </c>
      <c r="AF306" s="30">
        <v>27</v>
      </c>
      <c r="AG306" s="31">
        <v>2141</v>
      </c>
      <c r="AH306" s="136">
        <v>-3.2332563510392612E-2</v>
      </c>
      <c r="AI306" s="33">
        <v>-7.0288181544331764E-3</v>
      </c>
      <c r="AJ306" s="33">
        <v>2.6149216561170488E-2</v>
      </c>
      <c r="AK306" s="33">
        <v>-1.2778505897771953E-2</v>
      </c>
      <c r="AL306" s="33">
        <v>-8.5190039318479693E-3</v>
      </c>
      <c r="AM306" s="33">
        <v>4.3146365748423501E-3</v>
      </c>
      <c r="AN306" s="34">
        <v>11.195094339622642</v>
      </c>
      <c r="AO306" s="33">
        <v>1.1418867924528302</v>
      </c>
      <c r="AP306" s="33">
        <v>1.0188679245283019E-2</v>
      </c>
      <c r="AQ306" s="33">
        <v>0.80792452830188677</v>
      </c>
      <c r="AR306" s="35">
        <v>8.5891686788547777E-2</v>
      </c>
      <c r="AS306" s="251">
        <f t="shared" si="8"/>
        <v>9.056603773584905E-2</v>
      </c>
      <c r="AT306" s="252">
        <f t="shared" si="9"/>
        <v>-2.9433962264150942E-2</v>
      </c>
      <c r="AU306" s="29">
        <v>3189</v>
      </c>
      <c r="AV306" s="30">
        <v>3212</v>
      </c>
      <c r="AW306" s="31">
        <v>3183</v>
      </c>
      <c r="AX306" s="136">
        <v>7.2122922546252743E-3</v>
      </c>
      <c r="AY306" s="33">
        <v>-1.8814675446848542E-3</v>
      </c>
      <c r="AZ306" s="35">
        <v>-9.0286425902864256E-3</v>
      </c>
      <c r="BA306" s="29">
        <v>11</v>
      </c>
      <c r="BB306" s="31">
        <v>12</v>
      </c>
      <c r="BC306" s="29">
        <v>3</v>
      </c>
      <c r="BD306" s="31">
        <v>2</v>
      </c>
      <c r="BE306" s="29">
        <v>20236</v>
      </c>
      <c r="BF306" s="30">
        <v>29667</v>
      </c>
      <c r="BG306" s="33">
        <v>0.68210469545286012</v>
      </c>
      <c r="BH306" s="30">
        <v>2294</v>
      </c>
      <c r="BI306" s="30">
        <v>3183</v>
      </c>
      <c r="BJ306" s="35">
        <v>0.72070373861137293</v>
      </c>
    </row>
    <row r="307" spans="1:62" x14ac:dyDescent="0.25">
      <c r="A307" s="130"/>
      <c r="B307" s="130" t="s">
        <v>137</v>
      </c>
      <c r="C307" s="130"/>
      <c r="D307" s="130"/>
      <c r="E307" s="130"/>
      <c r="F307" s="11">
        <v>1758</v>
      </c>
      <c r="G307" s="8">
        <v>1515</v>
      </c>
      <c r="H307" s="9">
        <v>0</v>
      </c>
      <c r="I307" s="9">
        <v>1515</v>
      </c>
      <c r="J307" s="10">
        <v>0</v>
      </c>
      <c r="K307" s="8">
        <v>0</v>
      </c>
      <c r="L307" s="9">
        <v>0</v>
      </c>
      <c r="M307" s="9">
        <v>33</v>
      </c>
      <c r="N307" s="9">
        <v>9</v>
      </c>
      <c r="O307" s="9">
        <v>1</v>
      </c>
      <c r="P307" s="9">
        <v>0</v>
      </c>
      <c r="Q307" s="9">
        <v>19</v>
      </c>
      <c r="R307" s="10">
        <v>181</v>
      </c>
      <c r="S307" s="11">
        <v>131</v>
      </c>
      <c r="T307" s="8">
        <v>21</v>
      </c>
      <c r="U307" s="9">
        <v>3</v>
      </c>
      <c r="V307" s="9">
        <v>9</v>
      </c>
      <c r="W307" s="9">
        <v>8</v>
      </c>
      <c r="X307" s="10">
        <v>1</v>
      </c>
      <c r="Y307" s="8">
        <v>6556</v>
      </c>
      <c r="Z307" s="10">
        <v>1306</v>
      </c>
      <c r="AA307" s="8">
        <v>7012</v>
      </c>
      <c r="AB307" s="10">
        <v>1281</v>
      </c>
      <c r="AC307" s="8">
        <v>6228</v>
      </c>
      <c r="AD307" s="130">
        <v>1234</v>
      </c>
      <c r="AE307" s="8">
        <v>526</v>
      </c>
      <c r="AF307" s="9">
        <v>136</v>
      </c>
      <c r="AG307" s="10">
        <v>580</v>
      </c>
      <c r="AH307" s="131">
        <v>6.9554606467358143E-2</v>
      </c>
      <c r="AI307" s="12">
        <v>-5.0030506406345335E-2</v>
      </c>
      <c r="AJ307" s="12">
        <v>-0.11180832857957787</v>
      </c>
      <c r="AK307" s="12">
        <v>-1.9142419601837671E-2</v>
      </c>
      <c r="AL307" s="12">
        <v>-5.5130168453292494E-2</v>
      </c>
      <c r="AM307" s="12">
        <v>-3.6690085870413738E-2</v>
      </c>
      <c r="AN307" s="13">
        <v>4.110891089108911</v>
      </c>
      <c r="AO307" s="12">
        <v>0.81452145214521454</v>
      </c>
      <c r="AP307" s="12">
        <v>8.976897689768977E-2</v>
      </c>
      <c r="AQ307" s="12">
        <v>0.38283828382838286</v>
      </c>
      <c r="AR307" s="14">
        <v>0.10672169811320754</v>
      </c>
      <c r="AS307" s="245">
        <f t="shared" si="8"/>
        <v>8.6468646864686471E-2</v>
      </c>
      <c r="AT307" s="246">
        <f t="shared" si="9"/>
        <v>7.2607260726072612E-2</v>
      </c>
      <c r="AU307" s="8">
        <v>753</v>
      </c>
      <c r="AV307" s="9">
        <v>697</v>
      </c>
      <c r="AW307" s="10">
        <v>631</v>
      </c>
      <c r="AX307" s="131">
        <v>-7.4369189907038516E-2</v>
      </c>
      <c r="AY307" s="12">
        <v>-0.16201859229747675</v>
      </c>
      <c r="AZ307" s="14">
        <v>-9.4691535150645628E-2</v>
      </c>
      <c r="BA307" s="8">
        <v>16</v>
      </c>
      <c r="BB307" s="10">
        <v>16</v>
      </c>
      <c r="BC307" s="8">
        <v>4</v>
      </c>
      <c r="BD307" s="10">
        <v>3</v>
      </c>
      <c r="BE307" s="8">
        <v>4803</v>
      </c>
      <c r="BF307" s="9">
        <v>6228</v>
      </c>
      <c r="BG307" s="12">
        <v>0.77119460500963388</v>
      </c>
      <c r="BH307" s="9">
        <v>478</v>
      </c>
      <c r="BI307" s="9">
        <v>631</v>
      </c>
      <c r="BJ307" s="14">
        <v>0.75752773375594296</v>
      </c>
    </row>
    <row r="308" spans="1:62" x14ac:dyDescent="0.25">
      <c r="A308" s="132"/>
      <c r="B308" s="132"/>
      <c r="C308" s="132" t="s">
        <v>138</v>
      </c>
      <c r="D308" s="132"/>
      <c r="E308" s="132"/>
      <c r="F308" s="18">
        <v>872</v>
      </c>
      <c r="G308" s="15">
        <v>780</v>
      </c>
      <c r="H308" s="16">
        <v>0</v>
      </c>
      <c r="I308" s="16">
        <v>780</v>
      </c>
      <c r="J308" s="17">
        <v>0</v>
      </c>
      <c r="K308" s="15">
        <v>0</v>
      </c>
      <c r="L308" s="16">
        <v>0</v>
      </c>
      <c r="M308" s="16">
        <v>20</v>
      </c>
      <c r="N308" s="16">
        <v>5</v>
      </c>
      <c r="O308" s="16">
        <v>0</v>
      </c>
      <c r="P308" s="16">
        <v>0</v>
      </c>
      <c r="Q308" s="16">
        <v>12</v>
      </c>
      <c r="R308" s="17">
        <v>55</v>
      </c>
      <c r="S308" s="18">
        <v>97</v>
      </c>
      <c r="T308" s="15">
        <v>14</v>
      </c>
      <c r="U308" s="16">
        <v>0</v>
      </c>
      <c r="V308" s="16">
        <v>7</v>
      </c>
      <c r="W308" s="16">
        <v>6</v>
      </c>
      <c r="X308" s="17">
        <v>1</v>
      </c>
      <c r="Y308" s="15">
        <v>3069</v>
      </c>
      <c r="Z308" s="17">
        <v>613</v>
      </c>
      <c r="AA308" s="15">
        <v>3431</v>
      </c>
      <c r="AB308" s="17">
        <v>673</v>
      </c>
      <c r="AC308" s="15">
        <v>3153</v>
      </c>
      <c r="AD308" s="132">
        <v>644</v>
      </c>
      <c r="AE308" s="15">
        <v>230</v>
      </c>
      <c r="AF308" s="16">
        <v>28</v>
      </c>
      <c r="AG308" s="17">
        <v>255</v>
      </c>
      <c r="AH308" s="133">
        <v>0.11795373085695667</v>
      </c>
      <c r="AI308" s="19">
        <v>2.7370478983382209E-2</v>
      </c>
      <c r="AJ308" s="19">
        <v>-8.1025939959195575E-2</v>
      </c>
      <c r="AK308" s="19">
        <v>9.7879282218597069E-2</v>
      </c>
      <c r="AL308" s="19">
        <v>5.0570962479608482E-2</v>
      </c>
      <c r="AM308" s="19">
        <v>-4.3090638930163447E-2</v>
      </c>
      <c r="AN308" s="20">
        <v>4.0423076923076922</v>
      </c>
      <c r="AO308" s="19">
        <v>0.82564102564102559</v>
      </c>
      <c r="AP308" s="19">
        <v>3.5897435897435895E-2</v>
      </c>
      <c r="AQ308" s="19">
        <v>0.32692307692307693</v>
      </c>
      <c r="AR308" s="21">
        <v>6.5868263473053898E-2</v>
      </c>
      <c r="AS308" s="247">
        <f t="shared" si="8"/>
        <v>0.12435897435897436</v>
      </c>
      <c r="AT308" s="248">
        <f t="shared" si="9"/>
        <v>0.10641025641025641</v>
      </c>
      <c r="AU308" s="15">
        <v>500</v>
      </c>
      <c r="AV308" s="16">
        <v>500</v>
      </c>
      <c r="AW308" s="17">
        <v>460</v>
      </c>
      <c r="AX308" s="133">
        <v>0</v>
      </c>
      <c r="AY308" s="19">
        <v>-0.08</v>
      </c>
      <c r="AZ308" s="21">
        <v>-0.08</v>
      </c>
      <c r="BA308" s="15">
        <v>15</v>
      </c>
      <c r="BB308" s="17">
        <v>14</v>
      </c>
      <c r="BC308" s="15">
        <v>3</v>
      </c>
      <c r="BD308" s="17">
        <v>3</v>
      </c>
      <c r="BE308" s="15">
        <v>2435</v>
      </c>
      <c r="BF308" s="16">
        <v>3153</v>
      </c>
      <c r="BG308" s="19">
        <v>0.7722803679035839</v>
      </c>
      <c r="BH308" s="16">
        <v>352</v>
      </c>
      <c r="BI308" s="16">
        <v>460</v>
      </c>
      <c r="BJ308" s="21">
        <v>0.76521739130434785</v>
      </c>
    </row>
    <row r="309" spans="1:62" x14ac:dyDescent="0.25">
      <c r="A309" s="134"/>
      <c r="B309" s="134"/>
      <c r="C309" s="134"/>
      <c r="D309" s="134" t="s">
        <v>139</v>
      </c>
      <c r="E309" s="134"/>
      <c r="F309" s="25">
        <v>401</v>
      </c>
      <c r="G309" s="22">
        <v>357</v>
      </c>
      <c r="H309" s="23">
        <v>0</v>
      </c>
      <c r="I309" s="23">
        <v>357</v>
      </c>
      <c r="J309" s="24">
        <v>0</v>
      </c>
      <c r="K309" s="22">
        <v>0</v>
      </c>
      <c r="L309" s="23">
        <v>0</v>
      </c>
      <c r="M309" s="23">
        <v>7</v>
      </c>
      <c r="N309" s="23">
        <v>3</v>
      </c>
      <c r="O309" s="23">
        <v>0</v>
      </c>
      <c r="P309" s="23">
        <v>0</v>
      </c>
      <c r="Q309" s="23">
        <v>7</v>
      </c>
      <c r="R309" s="24">
        <v>27</v>
      </c>
      <c r="S309" s="25">
        <v>40</v>
      </c>
      <c r="T309" s="22">
        <v>6</v>
      </c>
      <c r="U309" s="23">
        <v>0</v>
      </c>
      <c r="V309" s="23">
        <v>4</v>
      </c>
      <c r="W309" s="23">
        <v>2</v>
      </c>
      <c r="X309" s="24">
        <v>0</v>
      </c>
      <c r="Y309" s="22">
        <v>1586</v>
      </c>
      <c r="Z309" s="24">
        <v>284</v>
      </c>
      <c r="AA309" s="22">
        <v>1840</v>
      </c>
      <c r="AB309" s="24">
        <v>311</v>
      </c>
      <c r="AC309" s="22">
        <v>1756</v>
      </c>
      <c r="AD309" s="134">
        <v>309</v>
      </c>
      <c r="AE309" s="22">
        <v>93</v>
      </c>
      <c r="AF309" s="23">
        <v>8</v>
      </c>
      <c r="AG309" s="24">
        <v>143</v>
      </c>
      <c r="AH309" s="135">
        <v>0.16015132408575031</v>
      </c>
      <c r="AI309" s="26">
        <v>0.10718789407313997</v>
      </c>
      <c r="AJ309" s="26">
        <v>-4.5652173913043478E-2</v>
      </c>
      <c r="AK309" s="26">
        <v>9.5070422535211266E-2</v>
      </c>
      <c r="AL309" s="26">
        <v>8.8028169014084501E-2</v>
      </c>
      <c r="AM309" s="26">
        <v>-6.4308681672025723E-3</v>
      </c>
      <c r="AN309" s="27">
        <v>4.9187675070028014</v>
      </c>
      <c r="AO309" s="26">
        <v>0.86554621848739499</v>
      </c>
      <c r="AP309" s="26">
        <v>2.2408963585434174E-2</v>
      </c>
      <c r="AQ309" s="26">
        <v>0.40056022408963587</v>
      </c>
      <c r="AR309" s="28">
        <v>7.03125E-2</v>
      </c>
      <c r="AS309" s="249">
        <f t="shared" si="8"/>
        <v>0.11204481792717087</v>
      </c>
      <c r="AT309" s="250">
        <f t="shared" si="9"/>
        <v>9.5238095238095233E-2</v>
      </c>
      <c r="AU309" s="22">
        <v>401</v>
      </c>
      <c r="AV309" s="23">
        <v>411</v>
      </c>
      <c r="AW309" s="24">
        <v>384</v>
      </c>
      <c r="AX309" s="135">
        <v>2.4937655860349128E-2</v>
      </c>
      <c r="AY309" s="26">
        <v>-4.2394014962593519E-2</v>
      </c>
      <c r="AZ309" s="28">
        <v>-6.569343065693431E-2</v>
      </c>
      <c r="BA309" s="22">
        <v>13</v>
      </c>
      <c r="BB309" s="24">
        <v>14</v>
      </c>
      <c r="BC309" s="22">
        <v>3</v>
      </c>
      <c r="BD309" s="24">
        <v>3</v>
      </c>
      <c r="BE309" s="22">
        <v>1371</v>
      </c>
      <c r="BF309" s="23">
        <v>1756</v>
      </c>
      <c r="BG309" s="26">
        <v>0.78075170842824604</v>
      </c>
      <c r="BH309" s="23">
        <v>291</v>
      </c>
      <c r="BI309" s="23">
        <v>384</v>
      </c>
      <c r="BJ309" s="28">
        <v>0.7578125</v>
      </c>
    </row>
    <row r="310" spans="1:62" x14ac:dyDescent="0.25">
      <c r="E310" t="s">
        <v>97</v>
      </c>
      <c r="F310" s="32">
        <v>401</v>
      </c>
      <c r="G310" s="29">
        <v>357</v>
      </c>
      <c r="H310" s="30">
        <v>0</v>
      </c>
      <c r="I310" s="30">
        <v>357</v>
      </c>
      <c r="J310" s="31">
        <v>0</v>
      </c>
      <c r="K310" s="29">
        <v>0</v>
      </c>
      <c r="L310" s="30">
        <v>0</v>
      </c>
      <c r="M310" s="30">
        <v>7</v>
      </c>
      <c r="N310" s="30">
        <v>3</v>
      </c>
      <c r="O310" s="30">
        <v>0</v>
      </c>
      <c r="P310" s="30">
        <v>0</v>
      </c>
      <c r="Q310" s="30">
        <v>7</v>
      </c>
      <c r="R310" s="31">
        <v>27</v>
      </c>
      <c r="S310" s="32">
        <v>40</v>
      </c>
      <c r="T310" s="29">
        <v>6</v>
      </c>
      <c r="U310" s="30">
        <v>0</v>
      </c>
      <c r="V310" s="30">
        <v>4</v>
      </c>
      <c r="W310" s="30">
        <v>2</v>
      </c>
      <c r="X310" s="31">
        <v>0</v>
      </c>
      <c r="Y310" s="29">
        <v>1586</v>
      </c>
      <c r="Z310" s="31">
        <v>284</v>
      </c>
      <c r="AA310" s="29">
        <v>1840</v>
      </c>
      <c r="AB310" s="31">
        <v>311</v>
      </c>
      <c r="AC310" s="29">
        <v>1756</v>
      </c>
      <c r="AD310">
        <v>309</v>
      </c>
      <c r="AE310" s="29">
        <v>93</v>
      </c>
      <c r="AF310" s="30">
        <v>8</v>
      </c>
      <c r="AG310" s="31">
        <v>143</v>
      </c>
      <c r="AH310" s="136">
        <v>0.16015132408575031</v>
      </c>
      <c r="AI310" s="33">
        <v>0.10718789407313997</v>
      </c>
      <c r="AJ310" s="33">
        <v>-4.5652173913043478E-2</v>
      </c>
      <c r="AK310" s="33">
        <v>9.5070422535211266E-2</v>
      </c>
      <c r="AL310" s="33">
        <v>8.8028169014084501E-2</v>
      </c>
      <c r="AM310" s="33">
        <v>-6.4308681672025723E-3</v>
      </c>
      <c r="AN310" s="34">
        <v>4.9187675070028014</v>
      </c>
      <c r="AO310" s="33">
        <v>0.86554621848739499</v>
      </c>
      <c r="AP310" s="33">
        <v>2.2408963585434174E-2</v>
      </c>
      <c r="AQ310" s="33">
        <v>0.40056022408963587</v>
      </c>
      <c r="AR310" s="35">
        <v>7.03125E-2</v>
      </c>
      <c r="AS310" s="251">
        <f t="shared" si="8"/>
        <v>0.11204481792717087</v>
      </c>
      <c r="AT310" s="252">
        <f t="shared" si="9"/>
        <v>9.5238095238095233E-2</v>
      </c>
      <c r="AU310" s="29">
        <v>401</v>
      </c>
      <c r="AV310" s="30">
        <v>411</v>
      </c>
      <c r="AW310" s="31">
        <v>384</v>
      </c>
      <c r="AX310" s="136">
        <v>2.4937655860349128E-2</v>
      </c>
      <c r="AY310" s="33">
        <v>-4.2394014962593519E-2</v>
      </c>
      <c r="AZ310" s="35">
        <v>-6.569343065693431E-2</v>
      </c>
      <c r="BA310" s="29">
        <v>13</v>
      </c>
      <c r="BB310" s="31">
        <v>14</v>
      </c>
      <c r="BC310" s="29">
        <v>3</v>
      </c>
      <c r="BD310" s="31">
        <v>3</v>
      </c>
      <c r="BE310" s="29">
        <v>1371</v>
      </c>
      <c r="BF310" s="30">
        <v>1756</v>
      </c>
      <c r="BG310" s="33">
        <v>0.78075170842824604</v>
      </c>
      <c r="BH310" s="30">
        <v>291</v>
      </c>
      <c r="BI310" s="30">
        <v>384</v>
      </c>
      <c r="BJ310" s="35">
        <v>0.7578125</v>
      </c>
    </row>
    <row r="311" spans="1:62" x14ac:dyDescent="0.25">
      <c r="A311" s="134"/>
      <c r="B311" s="134"/>
      <c r="C311" s="134"/>
      <c r="D311" s="134" t="s">
        <v>75</v>
      </c>
      <c r="E311" s="134"/>
      <c r="F311" s="25">
        <v>112</v>
      </c>
      <c r="G311" s="22">
        <v>105</v>
      </c>
      <c r="H311" s="23">
        <v>0</v>
      </c>
      <c r="I311" s="23">
        <v>105</v>
      </c>
      <c r="J311" s="24">
        <v>0</v>
      </c>
      <c r="K311" s="22">
        <v>0</v>
      </c>
      <c r="L311" s="23">
        <v>0</v>
      </c>
      <c r="M311" s="23">
        <v>2</v>
      </c>
      <c r="N311" s="23">
        <v>0</v>
      </c>
      <c r="O311" s="23">
        <v>0</v>
      </c>
      <c r="P311" s="23">
        <v>0</v>
      </c>
      <c r="Q311" s="23">
        <v>0</v>
      </c>
      <c r="R311" s="24">
        <v>5</v>
      </c>
      <c r="S311" s="25">
        <v>14</v>
      </c>
      <c r="T311" s="22">
        <v>1</v>
      </c>
      <c r="U311" s="23">
        <v>0</v>
      </c>
      <c r="V311" s="23">
        <v>0</v>
      </c>
      <c r="W311" s="23">
        <v>1</v>
      </c>
      <c r="X311" s="24">
        <v>0</v>
      </c>
      <c r="Y311" s="22">
        <v>251</v>
      </c>
      <c r="Z311" s="24">
        <v>78</v>
      </c>
      <c r="AA311" s="22">
        <v>214</v>
      </c>
      <c r="AB311" s="24">
        <v>79</v>
      </c>
      <c r="AC311" s="22">
        <v>164</v>
      </c>
      <c r="AD311" s="134">
        <v>60</v>
      </c>
      <c r="AE311" s="22">
        <v>52</v>
      </c>
      <c r="AF311" s="23">
        <v>9</v>
      </c>
      <c r="AG311" s="24">
        <v>14</v>
      </c>
      <c r="AH311" s="135">
        <v>-0.14741035856573706</v>
      </c>
      <c r="AI311" s="26">
        <v>-0.34661354581673309</v>
      </c>
      <c r="AJ311" s="26">
        <v>-0.23364485981308411</v>
      </c>
      <c r="AK311" s="26">
        <v>1.282051282051282E-2</v>
      </c>
      <c r="AL311" s="26">
        <v>-0.23076923076923078</v>
      </c>
      <c r="AM311" s="26">
        <v>-0.24050632911392406</v>
      </c>
      <c r="AN311" s="27">
        <v>1.5619047619047619</v>
      </c>
      <c r="AO311" s="26">
        <v>0.5714285714285714</v>
      </c>
      <c r="AP311" s="26">
        <v>8.5714285714285715E-2</v>
      </c>
      <c r="AQ311" s="26">
        <v>0.13333333333333333</v>
      </c>
      <c r="AR311" s="28">
        <v>4.5454545454545456E-2</v>
      </c>
      <c r="AS311" s="249">
        <f t="shared" si="8"/>
        <v>0.13333333333333333</v>
      </c>
      <c r="AT311" s="250">
        <f t="shared" si="9"/>
        <v>0.12380952380952381</v>
      </c>
      <c r="AU311" s="22">
        <v>100</v>
      </c>
      <c r="AV311" s="23">
        <v>68</v>
      </c>
      <c r="AW311" s="24">
        <v>71</v>
      </c>
      <c r="AX311" s="135">
        <v>-0.32</v>
      </c>
      <c r="AY311" s="26">
        <v>-0.28999999999999998</v>
      </c>
      <c r="AZ311" s="28">
        <v>4.4117647058823532E-2</v>
      </c>
      <c r="BA311" s="22">
        <v>35</v>
      </c>
      <c r="BB311" s="24">
        <v>23</v>
      </c>
      <c r="BC311" s="22">
        <v>4</v>
      </c>
      <c r="BD311" s="24">
        <v>3</v>
      </c>
      <c r="BE311" s="22">
        <v>100</v>
      </c>
      <c r="BF311" s="23">
        <v>164</v>
      </c>
      <c r="BG311" s="26">
        <v>0.6097560975609756</v>
      </c>
      <c r="BH311" s="23">
        <v>49</v>
      </c>
      <c r="BI311" s="23">
        <v>71</v>
      </c>
      <c r="BJ311" s="28">
        <v>0.6901408450704225</v>
      </c>
    </row>
    <row r="312" spans="1:62" x14ac:dyDescent="0.25">
      <c r="E312" t="s">
        <v>97</v>
      </c>
      <c r="F312" s="32">
        <v>112</v>
      </c>
      <c r="G312" s="29">
        <v>105</v>
      </c>
      <c r="H312" s="30">
        <v>0</v>
      </c>
      <c r="I312" s="30">
        <v>105</v>
      </c>
      <c r="J312" s="31">
        <v>0</v>
      </c>
      <c r="K312" s="29">
        <v>0</v>
      </c>
      <c r="L312" s="30">
        <v>0</v>
      </c>
      <c r="M312" s="30">
        <v>2</v>
      </c>
      <c r="N312" s="30">
        <v>0</v>
      </c>
      <c r="O312" s="30">
        <v>0</v>
      </c>
      <c r="P312" s="30">
        <v>0</v>
      </c>
      <c r="Q312" s="30">
        <v>0</v>
      </c>
      <c r="R312" s="31">
        <v>5</v>
      </c>
      <c r="S312" s="32">
        <v>14</v>
      </c>
      <c r="T312" s="29">
        <v>1</v>
      </c>
      <c r="U312" s="30">
        <v>0</v>
      </c>
      <c r="V312" s="30">
        <v>0</v>
      </c>
      <c r="W312" s="30">
        <v>1</v>
      </c>
      <c r="X312" s="31">
        <v>0</v>
      </c>
      <c r="Y312" s="29">
        <v>251</v>
      </c>
      <c r="Z312" s="31">
        <v>78</v>
      </c>
      <c r="AA312" s="29">
        <v>214</v>
      </c>
      <c r="AB312" s="31">
        <v>79</v>
      </c>
      <c r="AC312" s="29">
        <v>164</v>
      </c>
      <c r="AD312">
        <v>60</v>
      </c>
      <c r="AE312" s="29">
        <v>52</v>
      </c>
      <c r="AF312" s="30">
        <v>9</v>
      </c>
      <c r="AG312" s="31">
        <v>14</v>
      </c>
      <c r="AH312" s="136">
        <v>-0.14741035856573706</v>
      </c>
      <c r="AI312" s="33">
        <v>-0.34661354581673309</v>
      </c>
      <c r="AJ312" s="33">
        <v>-0.23364485981308411</v>
      </c>
      <c r="AK312" s="33">
        <v>1.282051282051282E-2</v>
      </c>
      <c r="AL312" s="33">
        <v>-0.23076923076923078</v>
      </c>
      <c r="AM312" s="33">
        <v>-0.24050632911392406</v>
      </c>
      <c r="AN312" s="34">
        <v>1.5619047619047619</v>
      </c>
      <c r="AO312" s="33">
        <v>0.5714285714285714</v>
      </c>
      <c r="AP312" s="33">
        <v>8.5714285714285715E-2</v>
      </c>
      <c r="AQ312" s="33">
        <v>0.13333333333333333</v>
      </c>
      <c r="AR312" s="35">
        <v>4.5454545454545456E-2</v>
      </c>
      <c r="AS312" s="251">
        <f t="shared" si="8"/>
        <v>0.13333333333333333</v>
      </c>
      <c r="AT312" s="252">
        <f t="shared" si="9"/>
        <v>0.12380952380952381</v>
      </c>
      <c r="AU312" s="29">
        <v>100</v>
      </c>
      <c r="AV312" s="30">
        <v>68</v>
      </c>
      <c r="AW312" s="31">
        <v>71</v>
      </c>
      <c r="AX312" s="136">
        <v>-0.32</v>
      </c>
      <c r="AY312" s="33">
        <v>-0.28999999999999998</v>
      </c>
      <c r="AZ312" s="35">
        <v>4.4117647058823532E-2</v>
      </c>
      <c r="BA312" s="29">
        <v>35</v>
      </c>
      <c r="BB312" s="31">
        <v>23</v>
      </c>
      <c r="BC312" s="29">
        <v>4</v>
      </c>
      <c r="BD312" s="31">
        <v>3</v>
      </c>
      <c r="BE312" s="29">
        <v>100</v>
      </c>
      <c r="BF312" s="30">
        <v>164</v>
      </c>
      <c r="BG312" s="33">
        <v>0.6097560975609756</v>
      </c>
      <c r="BH312" s="30">
        <v>49</v>
      </c>
      <c r="BI312" s="30">
        <v>71</v>
      </c>
      <c r="BJ312" s="35">
        <v>0.6901408450704225</v>
      </c>
    </row>
    <row r="313" spans="1:62" x14ac:dyDescent="0.25">
      <c r="A313" s="134"/>
      <c r="B313" s="134"/>
      <c r="C313" s="134"/>
      <c r="D313" s="134" t="s">
        <v>140</v>
      </c>
      <c r="E313" s="134"/>
      <c r="F313" s="25">
        <v>359</v>
      </c>
      <c r="G313" s="22">
        <v>318</v>
      </c>
      <c r="H313" s="23">
        <v>0</v>
      </c>
      <c r="I313" s="23">
        <v>318</v>
      </c>
      <c r="J313" s="24">
        <v>0</v>
      </c>
      <c r="K313" s="22">
        <v>0</v>
      </c>
      <c r="L313" s="23">
        <v>0</v>
      </c>
      <c r="M313" s="23">
        <v>11</v>
      </c>
      <c r="N313" s="23">
        <v>2</v>
      </c>
      <c r="O313" s="23">
        <v>0</v>
      </c>
      <c r="P313" s="23">
        <v>0</v>
      </c>
      <c r="Q313" s="23">
        <v>5</v>
      </c>
      <c r="R313" s="24">
        <v>23</v>
      </c>
      <c r="S313" s="25">
        <v>43</v>
      </c>
      <c r="T313" s="22">
        <v>7</v>
      </c>
      <c r="U313" s="23">
        <v>0</v>
      </c>
      <c r="V313" s="23">
        <v>3</v>
      </c>
      <c r="W313" s="23">
        <v>3</v>
      </c>
      <c r="X313" s="24">
        <v>1</v>
      </c>
      <c r="Y313" s="22">
        <v>1232</v>
      </c>
      <c r="Z313" s="24">
        <v>251</v>
      </c>
      <c r="AA313" s="22">
        <v>1377</v>
      </c>
      <c r="AB313" s="24">
        <v>283</v>
      </c>
      <c r="AC313" s="22">
        <v>1233</v>
      </c>
      <c r="AD313" s="134">
        <v>275</v>
      </c>
      <c r="AE313" s="22">
        <v>85</v>
      </c>
      <c r="AF313" s="23">
        <v>11</v>
      </c>
      <c r="AG313" s="24">
        <v>98</v>
      </c>
      <c r="AH313" s="135">
        <v>0.1176948051948052</v>
      </c>
      <c r="AI313" s="26">
        <v>8.1168831168831174E-4</v>
      </c>
      <c r="AJ313" s="26">
        <v>-0.10457516339869281</v>
      </c>
      <c r="AK313" s="26">
        <v>0.12749003984063745</v>
      </c>
      <c r="AL313" s="26">
        <v>9.5617529880478086E-2</v>
      </c>
      <c r="AM313" s="26">
        <v>-2.8268551236749116E-2</v>
      </c>
      <c r="AN313" s="27">
        <v>3.8773584905660377</v>
      </c>
      <c r="AO313" s="26">
        <v>0.86477987421383651</v>
      </c>
      <c r="AP313" s="26">
        <v>3.4591194968553458E-2</v>
      </c>
      <c r="AQ313" s="26">
        <v>0.3081761006289308</v>
      </c>
      <c r="AR313" s="28">
        <v>6.7448680351906154E-2</v>
      </c>
      <c r="AS313" s="249">
        <f t="shared" ref="AS313:AS376" si="10">S313/G313</f>
        <v>0.13522012578616352</v>
      </c>
      <c r="AT313" s="250">
        <f t="shared" ref="AT313:AT376" si="11">(S313-T313)/G313</f>
        <v>0.11320754716981132</v>
      </c>
      <c r="AU313" s="22">
        <v>312</v>
      </c>
      <c r="AV313" s="23">
        <v>338</v>
      </c>
      <c r="AW313" s="24">
        <v>301</v>
      </c>
      <c r="AX313" s="135">
        <v>8.3333333333333329E-2</v>
      </c>
      <c r="AY313" s="26">
        <v>-3.5256410256410256E-2</v>
      </c>
      <c r="AZ313" s="28">
        <v>-0.10946745562130178</v>
      </c>
      <c r="BA313" s="22">
        <v>16</v>
      </c>
      <c r="BB313" s="24">
        <v>13</v>
      </c>
      <c r="BC313" s="22">
        <v>4</v>
      </c>
      <c r="BD313" s="24">
        <v>3</v>
      </c>
      <c r="BE313" s="22">
        <v>964</v>
      </c>
      <c r="BF313" s="23">
        <v>1233</v>
      </c>
      <c r="BG313" s="26">
        <v>0.78183292781832925</v>
      </c>
      <c r="BH313" s="23">
        <v>236</v>
      </c>
      <c r="BI313" s="23">
        <v>301</v>
      </c>
      <c r="BJ313" s="28">
        <v>0.78405315614617943</v>
      </c>
    </row>
    <row r="314" spans="1:62" x14ac:dyDescent="0.25">
      <c r="E314" t="s">
        <v>97</v>
      </c>
      <c r="F314" s="32">
        <v>359</v>
      </c>
      <c r="G314" s="29">
        <v>318</v>
      </c>
      <c r="H314" s="30">
        <v>0</v>
      </c>
      <c r="I314" s="30">
        <v>318</v>
      </c>
      <c r="J314" s="31">
        <v>0</v>
      </c>
      <c r="K314" s="29">
        <v>0</v>
      </c>
      <c r="L314" s="30">
        <v>0</v>
      </c>
      <c r="M314" s="30">
        <v>11</v>
      </c>
      <c r="N314" s="30">
        <v>2</v>
      </c>
      <c r="O314" s="30">
        <v>0</v>
      </c>
      <c r="P314" s="30">
        <v>0</v>
      </c>
      <c r="Q314" s="30">
        <v>5</v>
      </c>
      <c r="R314" s="31">
        <v>23</v>
      </c>
      <c r="S314" s="32">
        <v>43</v>
      </c>
      <c r="T314" s="29">
        <v>7</v>
      </c>
      <c r="U314" s="30">
        <v>0</v>
      </c>
      <c r="V314" s="30">
        <v>3</v>
      </c>
      <c r="W314" s="30">
        <v>3</v>
      </c>
      <c r="X314" s="31">
        <v>1</v>
      </c>
      <c r="Y314" s="29">
        <v>1232</v>
      </c>
      <c r="Z314" s="31">
        <v>251</v>
      </c>
      <c r="AA314" s="29">
        <v>1377</v>
      </c>
      <c r="AB314" s="31">
        <v>283</v>
      </c>
      <c r="AC314" s="29">
        <v>1233</v>
      </c>
      <c r="AD314">
        <v>275</v>
      </c>
      <c r="AE314" s="29">
        <v>85</v>
      </c>
      <c r="AF314" s="30">
        <v>11</v>
      </c>
      <c r="AG314" s="31">
        <v>98</v>
      </c>
      <c r="AH314" s="136">
        <v>0.1176948051948052</v>
      </c>
      <c r="AI314" s="33">
        <v>8.1168831168831174E-4</v>
      </c>
      <c r="AJ314" s="33">
        <v>-0.10457516339869281</v>
      </c>
      <c r="AK314" s="33">
        <v>0.12749003984063745</v>
      </c>
      <c r="AL314" s="33">
        <v>9.5617529880478086E-2</v>
      </c>
      <c r="AM314" s="33">
        <v>-2.8268551236749116E-2</v>
      </c>
      <c r="AN314" s="34">
        <v>3.8773584905660377</v>
      </c>
      <c r="AO314" s="33">
        <v>0.86477987421383651</v>
      </c>
      <c r="AP314" s="33">
        <v>3.4591194968553458E-2</v>
      </c>
      <c r="AQ314" s="33">
        <v>0.3081761006289308</v>
      </c>
      <c r="AR314" s="35">
        <v>6.7448680351906154E-2</v>
      </c>
      <c r="AS314" s="251">
        <f t="shared" si="10"/>
        <v>0.13522012578616352</v>
      </c>
      <c r="AT314" s="252">
        <f t="shared" si="11"/>
        <v>0.11320754716981132</v>
      </c>
      <c r="AU314" s="29">
        <v>312</v>
      </c>
      <c r="AV314" s="30">
        <v>338</v>
      </c>
      <c r="AW314" s="31">
        <v>301</v>
      </c>
      <c r="AX314" s="136">
        <v>8.3333333333333329E-2</v>
      </c>
      <c r="AY314" s="33">
        <v>-3.5256410256410256E-2</v>
      </c>
      <c r="AZ314" s="35">
        <v>-0.10946745562130178</v>
      </c>
      <c r="BA314" s="29">
        <v>16</v>
      </c>
      <c r="BB314" s="31">
        <v>13</v>
      </c>
      <c r="BC314" s="29">
        <v>4</v>
      </c>
      <c r="BD314" s="31">
        <v>3</v>
      </c>
      <c r="BE314" s="29">
        <v>964</v>
      </c>
      <c r="BF314" s="30">
        <v>1233</v>
      </c>
      <c r="BG314" s="33">
        <v>0.78183292781832925</v>
      </c>
      <c r="BH314" s="30">
        <v>236</v>
      </c>
      <c r="BI314" s="30">
        <v>301</v>
      </c>
      <c r="BJ314" s="35">
        <v>0.78405315614617943</v>
      </c>
    </row>
    <row r="315" spans="1:62" x14ac:dyDescent="0.25">
      <c r="A315" s="132"/>
      <c r="B315" s="132"/>
      <c r="C315" s="132" t="s">
        <v>80</v>
      </c>
      <c r="D315" s="132"/>
      <c r="E315" s="132"/>
      <c r="F315" s="18">
        <v>286</v>
      </c>
      <c r="G315" s="15">
        <v>279</v>
      </c>
      <c r="H315" s="16">
        <v>0</v>
      </c>
      <c r="I315" s="16">
        <v>279</v>
      </c>
      <c r="J315" s="17">
        <v>0</v>
      </c>
      <c r="K315" s="15">
        <v>0</v>
      </c>
      <c r="L315" s="16">
        <v>0</v>
      </c>
      <c r="M315" s="16">
        <v>3</v>
      </c>
      <c r="N315" s="16">
        <v>0</v>
      </c>
      <c r="O315" s="16">
        <v>0</v>
      </c>
      <c r="P315" s="16">
        <v>0</v>
      </c>
      <c r="Q315" s="16">
        <v>0</v>
      </c>
      <c r="R315" s="17">
        <v>4</v>
      </c>
      <c r="S315" s="18">
        <v>3</v>
      </c>
      <c r="T315" s="15">
        <v>1</v>
      </c>
      <c r="U315" s="16">
        <v>0</v>
      </c>
      <c r="V315" s="16">
        <v>0</v>
      </c>
      <c r="W315" s="16">
        <v>1</v>
      </c>
      <c r="X315" s="17">
        <v>0</v>
      </c>
      <c r="Y315" s="15">
        <v>644</v>
      </c>
      <c r="Z315" s="17">
        <v>221</v>
      </c>
      <c r="AA315" s="15">
        <v>538</v>
      </c>
      <c r="AB315" s="17">
        <v>186</v>
      </c>
      <c r="AC315" s="15">
        <v>385</v>
      </c>
      <c r="AD315" s="132">
        <v>156</v>
      </c>
      <c r="AE315" s="15">
        <v>129</v>
      </c>
      <c r="AF315" s="16">
        <v>28</v>
      </c>
      <c r="AG315" s="17">
        <v>32</v>
      </c>
      <c r="AH315" s="133">
        <v>-0.16459627329192547</v>
      </c>
      <c r="AI315" s="19">
        <v>-0.40217391304347827</v>
      </c>
      <c r="AJ315" s="19">
        <v>-0.28438661710037177</v>
      </c>
      <c r="AK315" s="19">
        <v>-0.15837104072398189</v>
      </c>
      <c r="AL315" s="19">
        <v>-0.29411764705882354</v>
      </c>
      <c r="AM315" s="19">
        <v>-0.16129032258064516</v>
      </c>
      <c r="AN315" s="20">
        <v>1.3799283154121864</v>
      </c>
      <c r="AO315" s="19">
        <v>0.55913978494623651</v>
      </c>
      <c r="AP315" s="19">
        <v>0.1003584229390681</v>
      </c>
      <c r="AQ315" s="19">
        <v>0.11469534050179211</v>
      </c>
      <c r="AR315" s="21">
        <v>1.4134275618374558E-2</v>
      </c>
      <c r="AS315" s="247">
        <f t="shared" si="10"/>
        <v>1.0752688172043012E-2</v>
      </c>
      <c r="AT315" s="248">
        <f t="shared" si="11"/>
        <v>7.1684587813620072E-3</v>
      </c>
      <c r="AU315" s="15">
        <v>192</v>
      </c>
      <c r="AV315" s="16">
        <v>186</v>
      </c>
      <c r="AW315" s="17">
        <v>152</v>
      </c>
      <c r="AX315" s="133">
        <v>-3.125E-2</v>
      </c>
      <c r="AY315" s="19">
        <v>-0.20833333333333334</v>
      </c>
      <c r="AZ315" s="21">
        <v>-0.18279569892473119</v>
      </c>
      <c r="BA315" s="15">
        <v>11</v>
      </c>
      <c r="BB315" s="17">
        <v>12</v>
      </c>
      <c r="BC315" s="15">
        <v>4</v>
      </c>
      <c r="BD315" s="17">
        <v>4</v>
      </c>
      <c r="BE315" s="15">
        <v>289</v>
      </c>
      <c r="BF315" s="16">
        <v>385</v>
      </c>
      <c r="BG315" s="19">
        <v>0.75064935064935068</v>
      </c>
      <c r="BH315" s="16">
        <v>110</v>
      </c>
      <c r="BI315" s="16">
        <v>152</v>
      </c>
      <c r="BJ315" s="21">
        <v>0.72368421052631582</v>
      </c>
    </row>
    <row r="316" spans="1:62" x14ac:dyDescent="0.25">
      <c r="E316" t="s">
        <v>97</v>
      </c>
      <c r="F316" s="32">
        <v>286</v>
      </c>
      <c r="G316" s="29">
        <v>279</v>
      </c>
      <c r="H316" s="30">
        <v>0</v>
      </c>
      <c r="I316" s="30">
        <v>279</v>
      </c>
      <c r="J316" s="31">
        <v>0</v>
      </c>
      <c r="K316" s="29">
        <v>0</v>
      </c>
      <c r="L316" s="30">
        <v>0</v>
      </c>
      <c r="M316" s="30">
        <v>3</v>
      </c>
      <c r="N316" s="30">
        <v>0</v>
      </c>
      <c r="O316" s="30">
        <v>0</v>
      </c>
      <c r="P316" s="30">
        <v>0</v>
      </c>
      <c r="Q316" s="30">
        <v>0</v>
      </c>
      <c r="R316" s="31">
        <v>4</v>
      </c>
      <c r="S316" s="32">
        <v>3</v>
      </c>
      <c r="T316" s="29">
        <v>1</v>
      </c>
      <c r="U316" s="30">
        <v>0</v>
      </c>
      <c r="V316" s="30">
        <v>0</v>
      </c>
      <c r="W316" s="30">
        <v>1</v>
      </c>
      <c r="X316" s="31">
        <v>0</v>
      </c>
      <c r="Y316" s="29">
        <v>644</v>
      </c>
      <c r="Z316" s="31">
        <v>221</v>
      </c>
      <c r="AA316" s="29">
        <v>538</v>
      </c>
      <c r="AB316" s="31">
        <v>186</v>
      </c>
      <c r="AC316" s="29">
        <v>385</v>
      </c>
      <c r="AD316">
        <v>156</v>
      </c>
      <c r="AE316" s="29">
        <v>129</v>
      </c>
      <c r="AF316" s="30">
        <v>28</v>
      </c>
      <c r="AG316" s="31">
        <v>32</v>
      </c>
      <c r="AH316" s="136">
        <v>-0.16459627329192547</v>
      </c>
      <c r="AI316" s="33">
        <v>-0.40217391304347827</v>
      </c>
      <c r="AJ316" s="33">
        <v>-0.28438661710037177</v>
      </c>
      <c r="AK316" s="33">
        <v>-0.15837104072398189</v>
      </c>
      <c r="AL316" s="33">
        <v>-0.29411764705882354</v>
      </c>
      <c r="AM316" s="33">
        <v>-0.16129032258064516</v>
      </c>
      <c r="AN316" s="34">
        <v>1.3799283154121864</v>
      </c>
      <c r="AO316" s="33">
        <v>0.55913978494623651</v>
      </c>
      <c r="AP316" s="33">
        <v>0.1003584229390681</v>
      </c>
      <c r="AQ316" s="33">
        <v>0.11469534050179211</v>
      </c>
      <c r="AR316" s="35">
        <v>1.4134275618374558E-2</v>
      </c>
      <c r="AS316" s="251">
        <f t="shared" si="10"/>
        <v>1.0752688172043012E-2</v>
      </c>
      <c r="AT316" s="252">
        <f t="shared" si="11"/>
        <v>7.1684587813620072E-3</v>
      </c>
      <c r="AU316" s="29">
        <v>192</v>
      </c>
      <c r="AV316" s="30">
        <v>186</v>
      </c>
      <c r="AW316" s="31">
        <v>152</v>
      </c>
      <c r="AX316" s="136">
        <v>-3.125E-2</v>
      </c>
      <c r="AY316" s="33">
        <v>-0.20833333333333334</v>
      </c>
      <c r="AZ316" s="35">
        <v>-0.18279569892473119</v>
      </c>
      <c r="BA316" s="29">
        <v>11</v>
      </c>
      <c r="BB316" s="31">
        <v>12</v>
      </c>
      <c r="BC316" s="29">
        <v>4</v>
      </c>
      <c r="BD316" s="31">
        <v>4</v>
      </c>
      <c r="BE316" s="29">
        <v>289</v>
      </c>
      <c r="BF316" s="30">
        <v>385</v>
      </c>
      <c r="BG316" s="33">
        <v>0.75064935064935068</v>
      </c>
      <c r="BH316" s="30">
        <v>110</v>
      </c>
      <c r="BI316" s="30">
        <v>152</v>
      </c>
      <c r="BJ316" s="35">
        <v>0.72368421052631582</v>
      </c>
    </row>
    <row r="317" spans="1:62" x14ac:dyDescent="0.25">
      <c r="A317" s="132"/>
      <c r="B317" s="132"/>
      <c r="C317" s="132" t="s">
        <v>141</v>
      </c>
      <c r="D317" s="132"/>
      <c r="E317" s="132"/>
      <c r="F317" s="18">
        <v>529</v>
      </c>
      <c r="G317" s="15">
        <v>388</v>
      </c>
      <c r="H317" s="16">
        <v>0</v>
      </c>
      <c r="I317" s="16">
        <v>388</v>
      </c>
      <c r="J317" s="17">
        <v>0</v>
      </c>
      <c r="K317" s="15">
        <v>0</v>
      </c>
      <c r="L317" s="16">
        <v>0</v>
      </c>
      <c r="M317" s="16">
        <v>9</v>
      </c>
      <c r="N317" s="16">
        <v>4</v>
      </c>
      <c r="O317" s="16">
        <v>0</v>
      </c>
      <c r="P317" s="16">
        <v>0</v>
      </c>
      <c r="Q317" s="16">
        <v>7</v>
      </c>
      <c r="R317" s="17">
        <v>121</v>
      </c>
      <c r="S317" s="18">
        <v>23</v>
      </c>
      <c r="T317" s="15">
        <v>6</v>
      </c>
      <c r="U317" s="16">
        <v>3</v>
      </c>
      <c r="V317" s="16">
        <v>2</v>
      </c>
      <c r="W317" s="16">
        <v>1</v>
      </c>
      <c r="X317" s="17">
        <v>0</v>
      </c>
      <c r="Y317" s="15">
        <v>2601</v>
      </c>
      <c r="Z317" s="17">
        <v>425</v>
      </c>
      <c r="AA317" s="15">
        <v>2688</v>
      </c>
      <c r="AB317" s="17">
        <v>368</v>
      </c>
      <c r="AC317" s="15">
        <v>2349</v>
      </c>
      <c r="AD317" s="132">
        <v>372</v>
      </c>
      <c r="AE317" s="15">
        <v>158</v>
      </c>
      <c r="AF317" s="16">
        <v>76</v>
      </c>
      <c r="AG317" s="17">
        <v>267</v>
      </c>
      <c r="AH317" s="133">
        <v>3.3448673587081888E-2</v>
      </c>
      <c r="AI317" s="19">
        <v>-9.6885813148788927E-2</v>
      </c>
      <c r="AJ317" s="19">
        <v>-0.12611607142857142</v>
      </c>
      <c r="AK317" s="19">
        <v>-0.13411764705882354</v>
      </c>
      <c r="AL317" s="19">
        <v>-0.12470588235294118</v>
      </c>
      <c r="AM317" s="19">
        <v>1.0869565217391304E-2</v>
      </c>
      <c r="AN317" s="20">
        <v>6.054123711340206</v>
      </c>
      <c r="AO317" s="19">
        <v>0.95876288659793818</v>
      </c>
      <c r="AP317" s="19">
        <v>0.19587628865979381</v>
      </c>
      <c r="AQ317" s="19">
        <v>0.68814432989690721</v>
      </c>
      <c r="AR317" s="21">
        <v>0.23772102161100198</v>
      </c>
      <c r="AS317" s="247">
        <f t="shared" si="10"/>
        <v>5.9278350515463915E-2</v>
      </c>
      <c r="AT317" s="248">
        <f t="shared" si="11"/>
        <v>4.3814432989690719E-2</v>
      </c>
      <c r="AU317" s="15">
        <v>571</v>
      </c>
      <c r="AV317" s="16">
        <v>490</v>
      </c>
      <c r="AW317" s="17">
        <v>426</v>
      </c>
      <c r="AX317" s="133">
        <v>-0.14185639229422067</v>
      </c>
      <c r="AY317" s="19">
        <v>-0.25394045534150611</v>
      </c>
      <c r="AZ317" s="21">
        <v>-0.1306122448979592</v>
      </c>
      <c r="BA317" s="15">
        <v>19</v>
      </c>
      <c r="BB317" s="17">
        <v>16</v>
      </c>
      <c r="BC317" s="15">
        <v>4</v>
      </c>
      <c r="BD317" s="17">
        <v>4</v>
      </c>
      <c r="BE317" s="15">
        <v>1837</v>
      </c>
      <c r="BF317" s="16">
        <v>2349</v>
      </c>
      <c r="BG317" s="19">
        <v>0.7820349084716901</v>
      </c>
      <c r="BH317" s="16">
        <v>328</v>
      </c>
      <c r="BI317" s="16">
        <v>426</v>
      </c>
      <c r="BJ317" s="21">
        <v>0.7699530516431925</v>
      </c>
    </row>
    <row r="318" spans="1:62" x14ac:dyDescent="0.25">
      <c r="A318" s="134"/>
      <c r="B318" s="134"/>
      <c r="C318" s="134"/>
      <c r="D318" s="134" t="s">
        <v>142</v>
      </c>
      <c r="E318" s="134"/>
      <c r="F318" s="25">
        <v>303</v>
      </c>
      <c r="G318" s="22">
        <v>185</v>
      </c>
      <c r="H318" s="23">
        <v>0</v>
      </c>
      <c r="I318" s="23">
        <v>185</v>
      </c>
      <c r="J318" s="24">
        <v>0</v>
      </c>
      <c r="K318" s="22">
        <v>0</v>
      </c>
      <c r="L318" s="23">
        <v>0</v>
      </c>
      <c r="M318" s="23">
        <v>3</v>
      </c>
      <c r="N318" s="23">
        <v>3</v>
      </c>
      <c r="O318" s="23">
        <v>0</v>
      </c>
      <c r="P318" s="23">
        <v>0</v>
      </c>
      <c r="Q318" s="23">
        <v>5</v>
      </c>
      <c r="R318" s="24">
        <v>107</v>
      </c>
      <c r="S318" s="25">
        <v>12</v>
      </c>
      <c r="T318" s="22">
        <v>5</v>
      </c>
      <c r="U318" s="23">
        <v>3</v>
      </c>
      <c r="V318" s="23">
        <v>1</v>
      </c>
      <c r="W318" s="23">
        <v>1</v>
      </c>
      <c r="X318" s="24">
        <v>0</v>
      </c>
      <c r="Y318" s="22">
        <v>1344</v>
      </c>
      <c r="Z318" s="24">
        <v>240</v>
      </c>
      <c r="AA318" s="22">
        <v>1226</v>
      </c>
      <c r="AB318" s="24">
        <v>176</v>
      </c>
      <c r="AC318" s="22">
        <v>1128</v>
      </c>
      <c r="AD318" s="134">
        <v>172</v>
      </c>
      <c r="AE318" s="22">
        <v>131</v>
      </c>
      <c r="AF318" s="23">
        <v>73</v>
      </c>
      <c r="AG318" s="24">
        <v>181</v>
      </c>
      <c r="AH318" s="135">
        <v>-8.7797619047619041E-2</v>
      </c>
      <c r="AI318" s="26">
        <v>-0.16071428571428573</v>
      </c>
      <c r="AJ318" s="26">
        <v>-7.9934747145187598E-2</v>
      </c>
      <c r="AK318" s="26">
        <v>-0.26666666666666666</v>
      </c>
      <c r="AL318" s="26">
        <v>-0.28333333333333333</v>
      </c>
      <c r="AM318" s="26">
        <v>-2.2727272727272728E-2</v>
      </c>
      <c r="AN318" s="27">
        <v>6.0972972972972972</v>
      </c>
      <c r="AO318" s="26">
        <v>0.92972972972972978</v>
      </c>
      <c r="AP318" s="26">
        <v>0.39459459459459462</v>
      </c>
      <c r="AQ318" s="26">
        <v>0.97837837837837838</v>
      </c>
      <c r="AR318" s="28">
        <v>0.36643835616438358</v>
      </c>
      <c r="AS318" s="249">
        <f t="shared" si="10"/>
        <v>6.4864864864864868E-2</v>
      </c>
      <c r="AT318" s="250">
        <f t="shared" si="11"/>
        <v>3.783783783783784E-2</v>
      </c>
      <c r="AU318" s="22">
        <v>412</v>
      </c>
      <c r="AV318" s="23">
        <v>344</v>
      </c>
      <c r="AW318" s="24">
        <v>289</v>
      </c>
      <c r="AX318" s="135">
        <v>-0.1650485436893204</v>
      </c>
      <c r="AY318" s="26">
        <v>-0.29854368932038833</v>
      </c>
      <c r="AZ318" s="28">
        <v>-0.15988372093023256</v>
      </c>
      <c r="BA318" s="22">
        <v>20</v>
      </c>
      <c r="BB318" s="24">
        <v>14</v>
      </c>
      <c r="BC318" s="22">
        <v>3</v>
      </c>
      <c r="BD318" s="24">
        <v>4</v>
      </c>
      <c r="BE318" s="22">
        <v>888</v>
      </c>
      <c r="BF318" s="23">
        <v>1128</v>
      </c>
      <c r="BG318" s="26">
        <v>0.78723404255319152</v>
      </c>
      <c r="BH318" s="23">
        <v>220</v>
      </c>
      <c r="BI318" s="23">
        <v>289</v>
      </c>
      <c r="BJ318" s="28">
        <v>0.76124567474048443</v>
      </c>
    </row>
    <row r="319" spans="1:62" x14ac:dyDescent="0.25">
      <c r="E319" t="s">
        <v>97</v>
      </c>
      <c r="F319" s="32">
        <v>303</v>
      </c>
      <c r="G319" s="29">
        <v>185</v>
      </c>
      <c r="H319" s="30">
        <v>0</v>
      </c>
      <c r="I319" s="30">
        <v>185</v>
      </c>
      <c r="J319" s="31">
        <v>0</v>
      </c>
      <c r="K319" s="29">
        <v>0</v>
      </c>
      <c r="L319" s="30">
        <v>0</v>
      </c>
      <c r="M319" s="30">
        <v>3</v>
      </c>
      <c r="N319" s="30">
        <v>3</v>
      </c>
      <c r="O319" s="30">
        <v>0</v>
      </c>
      <c r="P319" s="30">
        <v>0</v>
      </c>
      <c r="Q319" s="30">
        <v>5</v>
      </c>
      <c r="R319" s="31">
        <v>107</v>
      </c>
      <c r="S319" s="32">
        <v>12</v>
      </c>
      <c r="T319" s="29">
        <v>5</v>
      </c>
      <c r="U319" s="30">
        <v>3</v>
      </c>
      <c r="V319" s="30">
        <v>1</v>
      </c>
      <c r="W319" s="30">
        <v>1</v>
      </c>
      <c r="X319" s="31">
        <v>0</v>
      </c>
      <c r="Y319" s="29">
        <v>1344</v>
      </c>
      <c r="Z319" s="31">
        <v>240</v>
      </c>
      <c r="AA319" s="29">
        <v>1226</v>
      </c>
      <c r="AB319" s="31">
        <v>176</v>
      </c>
      <c r="AC319" s="29">
        <v>1128</v>
      </c>
      <c r="AD319">
        <v>172</v>
      </c>
      <c r="AE319" s="29">
        <v>131</v>
      </c>
      <c r="AF319" s="30">
        <v>73</v>
      </c>
      <c r="AG319" s="31">
        <v>181</v>
      </c>
      <c r="AH319" s="136">
        <v>-8.7797619047619041E-2</v>
      </c>
      <c r="AI319" s="33">
        <v>-0.16071428571428573</v>
      </c>
      <c r="AJ319" s="33">
        <v>-7.9934747145187598E-2</v>
      </c>
      <c r="AK319" s="33">
        <v>-0.26666666666666666</v>
      </c>
      <c r="AL319" s="33">
        <v>-0.28333333333333333</v>
      </c>
      <c r="AM319" s="33">
        <v>-2.2727272727272728E-2</v>
      </c>
      <c r="AN319" s="34">
        <v>6.0972972972972972</v>
      </c>
      <c r="AO319" s="33">
        <v>0.92972972972972978</v>
      </c>
      <c r="AP319" s="33">
        <v>0.39459459459459462</v>
      </c>
      <c r="AQ319" s="33">
        <v>0.97837837837837838</v>
      </c>
      <c r="AR319" s="35">
        <v>0.36643835616438358</v>
      </c>
      <c r="AS319" s="251">
        <f t="shared" si="10"/>
        <v>6.4864864864864868E-2</v>
      </c>
      <c r="AT319" s="252">
        <f t="shared" si="11"/>
        <v>3.783783783783784E-2</v>
      </c>
      <c r="AU319" s="29">
        <v>412</v>
      </c>
      <c r="AV319" s="30">
        <v>344</v>
      </c>
      <c r="AW319" s="31">
        <v>289</v>
      </c>
      <c r="AX319" s="136">
        <v>-0.1650485436893204</v>
      </c>
      <c r="AY319" s="33">
        <v>-0.29854368932038833</v>
      </c>
      <c r="AZ319" s="35">
        <v>-0.15988372093023256</v>
      </c>
      <c r="BA319" s="29">
        <v>20</v>
      </c>
      <c r="BB319" s="31">
        <v>14</v>
      </c>
      <c r="BC319" s="29">
        <v>3</v>
      </c>
      <c r="BD319" s="31">
        <v>4</v>
      </c>
      <c r="BE319" s="29">
        <v>888</v>
      </c>
      <c r="BF319" s="30">
        <v>1128</v>
      </c>
      <c r="BG319" s="33">
        <v>0.78723404255319152</v>
      </c>
      <c r="BH319" s="30">
        <v>220</v>
      </c>
      <c r="BI319" s="30">
        <v>289</v>
      </c>
      <c r="BJ319" s="35">
        <v>0.76124567474048443</v>
      </c>
    </row>
    <row r="320" spans="1:62" x14ac:dyDescent="0.25">
      <c r="A320" s="134"/>
      <c r="B320" s="134"/>
      <c r="C320" s="134"/>
      <c r="D320" s="134" t="s">
        <v>143</v>
      </c>
      <c r="E320" s="134"/>
      <c r="F320" s="25">
        <v>226</v>
      </c>
      <c r="G320" s="22">
        <v>203</v>
      </c>
      <c r="H320" s="23">
        <v>0</v>
      </c>
      <c r="I320" s="23">
        <v>203</v>
      </c>
      <c r="J320" s="24">
        <v>0</v>
      </c>
      <c r="K320" s="22">
        <v>0</v>
      </c>
      <c r="L320" s="23">
        <v>0</v>
      </c>
      <c r="M320" s="23">
        <v>6</v>
      </c>
      <c r="N320" s="23">
        <v>1</v>
      </c>
      <c r="O320" s="23">
        <v>0</v>
      </c>
      <c r="P320" s="23">
        <v>0</v>
      </c>
      <c r="Q320" s="23">
        <v>2</v>
      </c>
      <c r="R320" s="24">
        <v>14</v>
      </c>
      <c r="S320" s="25">
        <v>11</v>
      </c>
      <c r="T320" s="22">
        <v>1</v>
      </c>
      <c r="U320" s="23">
        <v>0</v>
      </c>
      <c r="V320" s="23">
        <v>1</v>
      </c>
      <c r="W320" s="23">
        <v>0</v>
      </c>
      <c r="X320" s="24">
        <v>0</v>
      </c>
      <c r="Y320" s="22">
        <v>1257</v>
      </c>
      <c r="Z320" s="24">
        <v>185</v>
      </c>
      <c r="AA320" s="22">
        <v>1462</v>
      </c>
      <c r="AB320" s="24">
        <v>192</v>
      </c>
      <c r="AC320" s="22">
        <v>1221</v>
      </c>
      <c r="AD320" s="134">
        <v>200</v>
      </c>
      <c r="AE320" s="22">
        <v>27</v>
      </c>
      <c r="AF320" s="23">
        <v>3</v>
      </c>
      <c r="AG320" s="24">
        <v>86</v>
      </c>
      <c r="AH320" s="135">
        <v>0.16308671439936356</v>
      </c>
      <c r="AI320" s="26">
        <v>-2.8639618138424822E-2</v>
      </c>
      <c r="AJ320" s="26">
        <v>-0.16484268125854992</v>
      </c>
      <c r="AK320" s="26">
        <v>3.783783783783784E-2</v>
      </c>
      <c r="AL320" s="26">
        <v>8.1081081081081086E-2</v>
      </c>
      <c r="AM320" s="26">
        <v>4.1666666666666664E-2</v>
      </c>
      <c r="AN320" s="27">
        <v>6.014778325123153</v>
      </c>
      <c r="AO320" s="26">
        <v>0.98522167487684731</v>
      </c>
      <c r="AP320" s="26">
        <v>1.4778325123152709E-2</v>
      </c>
      <c r="AQ320" s="26">
        <v>0.42364532019704432</v>
      </c>
      <c r="AR320" s="28">
        <v>6.4516129032258063E-2</v>
      </c>
      <c r="AS320" s="249">
        <f t="shared" si="10"/>
        <v>5.4187192118226604E-2</v>
      </c>
      <c r="AT320" s="250">
        <f t="shared" si="11"/>
        <v>4.9261083743842367E-2</v>
      </c>
      <c r="AU320" s="22">
        <v>403</v>
      </c>
      <c r="AV320" s="23">
        <v>373</v>
      </c>
      <c r="AW320" s="24">
        <v>321</v>
      </c>
      <c r="AX320" s="135">
        <v>-7.4441687344913146E-2</v>
      </c>
      <c r="AY320" s="26">
        <v>-0.20347394540942929</v>
      </c>
      <c r="AZ320" s="28">
        <v>-0.13941018766756033</v>
      </c>
      <c r="BA320" s="22">
        <v>19</v>
      </c>
      <c r="BB320" s="24">
        <v>16</v>
      </c>
      <c r="BC320" s="22">
        <v>4</v>
      </c>
      <c r="BD320" s="24">
        <v>4</v>
      </c>
      <c r="BE320" s="22">
        <v>949</v>
      </c>
      <c r="BF320" s="23">
        <v>1221</v>
      </c>
      <c r="BG320" s="26">
        <v>0.77723177723177728</v>
      </c>
      <c r="BH320" s="23">
        <v>250</v>
      </c>
      <c r="BI320" s="23">
        <v>321</v>
      </c>
      <c r="BJ320" s="28">
        <v>0.77881619937694702</v>
      </c>
    </row>
    <row r="321" spans="1:62" x14ac:dyDescent="0.25">
      <c r="E321" t="s">
        <v>97</v>
      </c>
      <c r="F321" s="32">
        <v>225</v>
      </c>
      <c r="G321" s="29">
        <v>202</v>
      </c>
      <c r="H321" s="30">
        <v>0</v>
      </c>
      <c r="I321" s="30">
        <v>202</v>
      </c>
      <c r="J321" s="31">
        <v>0</v>
      </c>
      <c r="K321" s="29">
        <v>0</v>
      </c>
      <c r="L321" s="30">
        <v>0</v>
      </c>
      <c r="M321" s="30">
        <v>6</v>
      </c>
      <c r="N321" s="30">
        <v>1</v>
      </c>
      <c r="O321" s="30">
        <v>0</v>
      </c>
      <c r="P321" s="30">
        <v>0</v>
      </c>
      <c r="Q321" s="30">
        <v>2</v>
      </c>
      <c r="R321" s="31">
        <v>14</v>
      </c>
      <c r="S321" s="32">
        <v>11</v>
      </c>
      <c r="T321" s="29">
        <v>1</v>
      </c>
      <c r="U321" s="30">
        <v>0</v>
      </c>
      <c r="V321" s="30">
        <v>1</v>
      </c>
      <c r="W321" s="30">
        <v>0</v>
      </c>
      <c r="X321" s="31">
        <v>0</v>
      </c>
      <c r="Y321" s="29">
        <v>1252</v>
      </c>
      <c r="Z321" s="31">
        <v>184</v>
      </c>
      <c r="AA321" s="29">
        <v>1455</v>
      </c>
      <c r="AB321" s="31">
        <v>191</v>
      </c>
      <c r="AC321" s="29">
        <v>1212</v>
      </c>
      <c r="AD321">
        <v>199</v>
      </c>
      <c r="AE321" s="29">
        <v>27</v>
      </c>
      <c r="AF321" s="30">
        <v>3</v>
      </c>
      <c r="AG321" s="31">
        <v>85</v>
      </c>
      <c r="AH321" s="136">
        <v>0.1621405750798722</v>
      </c>
      <c r="AI321" s="33">
        <v>-3.1948881789137379E-2</v>
      </c>
      <c r="AJ321" s="33">
        <v>-0.1670103092783505</v>
      </c>
      <c r="AK321" s="33">
        <v>3.8043478260869568E-2</v>
      </c>
      <c r="AL321" s="33">
        <v>8.1521739130434784E-2</v>
      </c>
      <c r="AM321" s="33">
        <v>4.1884816753926704E-2</v>
      </c>
      <c r="AN321" s="34">
        <v>6</v>
      </c>
      <c r="AO321" s="33">
        <v>0.98514851485148514</v>
      </c>
      <c r="AP321" s="33">
        <v>1.4851485148514851E-2</v>
      </c>
      <c r="AQ321" s="33">
        <v>0.42079207920792078</v>
      </c>
      <c r="AR321" s="35">
        <v>6.4814814814814811E-2</v>
      </c>
      <c r="AS321" s="251">
        <f t="shared" si="10"/>
        <v>5.4455445544554455E-2</v>
      </c>
      <c r="AT321" s="252">
        <f t="shared" si="11"/>
        <v>4.9504950495049507E-2</v>
      </c>
      <c r="AU321" s="29">
        <v>403</v>
      </c>
      <c r="AV321" s="30">
        <v>372</v>
      </c>
      <c r="AW321" s="31">
        <v>319</v>
      </c>
      <c r="AX321" s="136">
        <v>-7.6923076923076927E-2</v>
      </c>
      <c r="AY321" s="33">
        <v>-0.20843672456575682</v>
      </c>
      <c r="AZ321" s="35">
        <v>-0.1424731182795699</v>
      </c>
      <c r="BA321" s="29">
        <v>19</v>
      </c>
      <c r="BB321" s="31">
        <v>16</v>
      </c>
      <c r="BC321" s="29">
        <v>4</v>
      </c>
      <c r="BD321" s="31">
        <v>4</v>
      </c>
      <c r="BE321" s="29">
        <v>940</v>
      </c>
      <c r="BF321" s="30">
        <v>1212</v>
      </c>
      <c r="BG321" s="33">
        <v>0.77557755775577553</v>
      </c>
      <c r="BH321" s="30">
        <v>248</v>
      </c>
      <c r="BI321" s="30">
        <v>319</v>
      </c>
      <c r="BJ321" s="35">
        <v>0.77742946708463945</v>
      </c>
    </row>
    <row r="322" spans="1:62" x14ac:dyDescent="0.25">
      <c r="A322" s="132"/>
      <c r="B322" s="132"/>
      <c r="C322" s="132" t="s">
        <v>134</v>
      </c>
      <c r="D322" s="132"/>
      <c r="E322" s="132"/>
      <c r="F322" s="18">
        <v>71</v>
      </c>
      <c r="G322" s="15">
        <v>68</v>
      </c>
      <c r="H322" s="16">
        <v>0</v>
      </c>
      <c r="I322" s="16">
        <v>68</v>
      </c>
      <c r="J322" s="17">
        <v>0</v>
      </c>
      <c r="K322" s="15">
        <v>0</v>
      </c>
      <c r="L322" s="16">
        <v>0</v>
      </c>
      <c r="M322" s="16">
        <v>1</v>
      </c>
      <c r="N322" s="16">
        <v>0</v>
      </c>
      <c r="O322" s="16">
        <v>1</v>
      </c>
      <c r="P322" s="16">
        <v>0</v>
      </c>
      <c r="Q322" s="16">
        <v>0</v>
      </c>
      <c r="R322" s="17">
        <v>1</v>
      </c>
      <c r="S322" s="18">
        <v>8</v>
      </c>
      <c r="T322" s="15"/>
      <c r="U322" s="16"/>
      <c r="V322" s="16"/>
      <c r="W322" s="16"/>
      <c r="X322" s="17"/>
      <c r="Y322" s="15">
        <v>242</v>
      </c>
      <c r="Z322" s="17">
        <v>47</v>
      </c>
      <c r="AA322" s="15">
        <v>355</v>
      </c>
      <c r="AB322" s="17">
        <v>54</v>
      </c>
      <c r="AC322" s="15">
        <v>341</v>
      </c>
      <c r="AD322" s="132">
        <v>62</v>
      </c>
      <c r="AE322" s="15">
        <v>9</v>
      </c>
      <c r="AF322" s="16">
        <v>4</v>
      </c>
      <c r="AG322" s="17">
        <v>26</v>
      </c>
      <c r="AH322" s="133">
        <v>0.46694214876033058</v>
      </c>
      <c r="AI322" s="19">
        <v>0.40909090909090912</v>
      </c>
      <c r="AJ322" s="19">
        <v>-3.9436619718309862E-2</v>
      </c>
      <c r="AK322" s="19">
        <v>0.14893617021276595</v>
      </c>
      <c r="AL322" s="19">
        <v>0.31914893617021278</v>
      </c>
      <c r="AM322" s="19">
        <v>0.14814814814814814</v>
      </c>
      <c r="AN322" s="20">
        <v>5.0147058823529411</v>
      </c>
      <c r="AO322" s="19">
        <v>0.91176470588235292</v>
      </c>
      <c r="AP322" s="19">
        <v>5.8823529411764705E-2</v>
      </c>
      <c r="AQ322" s="19">
        <v>0.38235294117647056</v>
      </c>
      <c r="AR322" s="21">
        <v>1.4492753623188406E-2</v>
      </c>
      <c r="AS322" s="247">
        <f t="shared" si="10"/>
        <v>0.11764705882352941</v>
      </c>
      <c r="AT322" s="248">
        <f t="shared" si="11"/>
        <v>0.11764705882352941</v>
      </c>
      <c r="AU322" s="15">
        <v>121</v>
      </c>
      <c r="AV322" s="16">
        <v>155</v>
      </c>
      <c r="AW322" s="17">
        <v>157</v>
      </c>
      <c r="AX322" s="133">
        <v>0.28099173553719009</v>
      </c>
      <c r="AY322" s="19">
        <v>0.2975206611570248</v>
      </c>
      <c r="AZ322" s="21">
        <v>1.2903225806451613E-2</v>
      </c>
      <c r="BA322" s="15">
        <v>19</v>
      </c>
      <c r="BB322" s="17">
        <v>22</v>
      </c>
      <c r="BC322" s="15">
        <v>4</v>
      </c>
      <c r="BD322" s="17">
        <v>4</v>
      </c>
      <c r="BE322" s="15">
        <v>242</v>
      </c>
      <c r="BF322" s="16">
        <v>341</v>
      </c>
      <c r="BG322" s="19">
        <v>0.70967741935483875</v>
      </c>
      <c r="BH322" s="16">
        <v>109</v>
      </c>
      <c r="BI322" s="16">
        <v>157</v>
      </c>
      <c r="BJ322" s="21">
        <v>0.69426751592356684</v>
      </c>
    </row>
    <row r="323" spans="1:62" x14ac:dyDescent="0.25">
      <c r="E323" t="s">
        <v>97</v>
      </c>
      <c r="F323" s="32">
        <v>71</v>
      </c>
      <c r="G323" s="29">
        <v>68</v>
      </c>
      <c r="H323" s="30">
        <v>0</v>
      </c>
      <c r="I323" s="30">
        <v>68</v>
      </c>
      <c r="J323" s="31">
        <v>0</v>
      </c>
      <c r="K323" s="29">
        <v>0</v>
      </c>
      <c r="L323" s="30">
        <v>0</v>
      </c>
      <c r="M323" s="30">
        <v>1</v>
      </c>
      <c r="N323" s="30">
        <v>0</v>
      </c>
      <c r="O323" s="30">
        <v>1</v>
      </c>
      <c r="P323" s="30">
        <v>0</v>
      </c>
      <c r="Q323" s="30">
        <v>0</v>
      </c>
      <c r="R323" s="31">
        <v>1</v>
      </c>
      <c r="S323" s="32">
        <v>8</v>
      </c>
      <c r="T323" s="29"/>
      <c r="U323" s="30"/>
      <c r="V323" s="30"/>
      <c r="W323" s="30"/>
      <c r="X323" s="31"/>
      <c r="Y323" s="29">
        <v>242</v>
      </c>
      <c r="Z323" s="31">
        <v>47</v>
      </c>
      <c r="AA323" s="29">
        <v>355</v>
      </c>
      <c r="AB323" s="31">
        <v>54</v>
      </c>
      <c r="AC323" s="29">
        <v>341</v>
      </c>
      <c r="AD323">
        <v>62</v>
      </c>
      <c r="AE323" s="29">
        <v>9</v>
      </c>
      <c r="AF323" s="30">
        <v>4</v>
      </c>
      <c r="AG323" s="31">
        <v>26</v>
      </c>
      <c r="AH323" s="136">
        <v>0.46694214876033058</v>
      </c>
      <c r="AI323" s="33">
        <v>0.40909090909090912</v>
      </c>
      <c r="AJ323" s="33">
        <v>-3.9436619718309862E-2</v>
      </c>
      <c r="AK323" s="33">
        <v>0.14893617021276595</v>
      </c>
      <c r="AL323" s="33">
        <v>0.31914893617021278</v>
      </c>
      <c r="AM323" s="33">
        <v>0.14814814814814814</v>
      </c>
      <c r="AN323" s="34">
        <v>5.0147058823529411</v>
      </c>
      <c r="AO323" s="33">
        <v>0.91176470588235292</v>
      </c>
      <c r="AP323" s="33">
        <v>5.8823529411764705E-2</v>
      </c>
      <c r="AQ323" s="33">
        <v>0.38235294117647056</v>
      </c>
      <c r="AR323" s="35">
        <v>1.4492753623188406E-2</v>
      </c>
      <c r="AS323" s="251">
        <f t="shared" si="10"/>
        <v>0.11764705882352941</v>
      </c>
      <c r="AT323" s="252">
        <f t="shared" si="11"/>
        <v>0.11764705882352941</v>
      </c>
      <c r="AU323" s="29">
        <v>121</v>
      </c>
      <c r="AV323" s="30">
        <v>155</v>
      </c>
      <c r="AW323" s="31">
        <v>157</v>
      </c>
      <c r="AX323" s="136">
        <v>0.28099173553719009</v>
      </c>
      <c r="AY323" s="33">
        <v>0.2975206611570248</v>
      </c>
      <c r="AZ323" s="35">
        <v>1.2903225806451613E-2</v>
      </c>
      <c r="BA323" s="29">
        <v>19</v>
      </c>
      <c r="BB323" s="31">
        <v>22</v>
      </c>
      <c r="BC323" s="29">
        <v>4</v>
      </c>
      <c r="BD323" s="31">
        <v>4</v>
      </c>
      <c r="BE323" s="29">
        <v>242</v>
      </c>
      <c r="BF323" s="30">
        <v>341</v>
      </c>
      <c r="BG323" s="33">
        <v>0.70967741935483875</v>
      </c>
      <c r="BH323" s="30">
        <v>109</v>
      </c>
      <c r="BI323" s="30">
        <v>157</v>
      </c>
      <c r="BJ323" s="35">
        <v>0.69426751592356684</v>
      </c>
    </row>
    <row r="324" spans="1:62" x14ac:dyDescent="0.25">
      <c r="A324" s="130"/>
      <c r="B324" s="130" t="s">
        <v>80</v>
      </c>
      <c r="C324" s="130"/>
      <c r="D324" s="130"/>
      <c r="E324" s="130"/>
      <c r="F324" s="11">
        <v>5542</v>
      </c>
      <c r="G324" s="8">
        <v>4669</v>
      </c>
      <c r="H324" s="9">
        <v>59</v>
      </c>
      <c r="I324" s="9">
        <v>4676</v>
      </c>
      <c r="J324" s="10">
        <v>52</v>
      </c>
      <c r="K324" s="8">
        <v>0</v>
      </c>
      <c r="L324" s="9">
        <v>133</v>
      </c>
      <c r="M324" s="9">
        <v>153</v>
      </c>
      <c r="N324" s="9">
        <v>7</v>
      </c>
      <c r="O324" s="9">
        <v>45</v>
      </c>
      <c r="P324" s="9">
        <v>0</v>
      </c>
      <c r="Q324" s="9">
        <v>48</v>
      </c>
      <c r="R324" s="10">
        <v>425</v>
      </c>
      <c r="S324" s="11">
        <v>341</v>
      </c>
      <c r="T324" s="8">
        <v>318</v>
      </c>
      <c r="U324" s="9">
        <v>9</v>
      </c>
      <c r="V324" s="9">
        <v>31</v>
      </c>
      <c r="W324" s="9">
        <v>97</v>
      </c>
      <c r="X324" s="10">
        <v>181</v>
      </c>
      <c r="Y324" s="8">
        <v>13287</v>
      </c>
      <c r="Z324" s="10">
        <v>3547</v>
      </c>
      <c r="AA324" s="8">
        <v>14302</v>
      </c>
      <c r="AB324" s="10">
        <v>3563</v>
      </c>
      <c r="AC324" s="8">
        <v>13804</v>
      </c>
      <c r="AD324" s="130">
        <v>3499</v>
      </c>
      <c r="AE324" s="8">
        <v>1884</v>
      </c>
      <c r="AF324" s="9">
        <v>949</v>
      </c>
      <c r="AG324" s="10">
        <v>1553</v>
      </c>
      <c r="AH324" s="131">
        <v>7.6390456837510348E-2</v>
      </c>
      <c r="AI324" s="12">
        <v>3.891021299014074E-2</v>
      </c>
      <c r="AJ324" s="12">
        <v>-3.482030485246819E-2</v>
      </c>
      <c r="AK324" s="12">
        <v>4.5108542430222724E-3</v>
      </c>
      <c r="AL324" s="12">
        <v>-1.3532562729066817E-2</v>
      </c>
      <c r="AM324" s="12">
        <v>-1.7962391243334271E-2</v>
      </c>
      <c r="AN324" s="13">
        <v>2.9565217391304346</v>
      </c>
      <c r="AO324" s="12">
        <v>0.74941100878132361</v>
      </c>
      <c r="AP324" s="12">
        <v>0.20325551509959305</v>
      </c>
      <c r="AQ324" s="12">
        <v>0.3326194045834226</v>
      </c>
      <c r="AR324" s="14">
        <v>8.3431488025127606E-2</v>
      </c>
      <c r="AS324" s="245">
        <f t="shared" si="10"/>
        <v>7.303491111587064E-2</v>
      </c>
      <c r="AT324" s="246">
        <f t="shared" si="11"/>
        <v>4.9261083743842365E-3</v>
      </c>
      <c r="AU324" s="8">
        <v>0</v>
      </c>
      <c r="AV324" s="9">
        <v>0</v>
      </c>
      <c r="AW324" s="10">
        <v>0</v>
      </c>
      <c r="AX324" s="131"/>
      <c r="AY324" s="12"/>
      <c r="AZ324" s="14"/>
      <c r="BA324" s="8"/>
      <c r="BB324" s="10"/>
      <c r="BC324" s="8"/>
      <c r="BD324" s="10"/>
      <c r="BE324" s="8">
        <v>0</v>
      </c>
      <c r="BF324" s="9">
        <v>0</v>
      </c>
      <c r="BG324" s="12"/>
      <c r="BH324" s="9">
        <v>0</v>
      </c>
      <c r="BI324" s="9">
        <v>0</v>
      </c>
      <c r="BJ324" s="14"/>
    </row>
    <row r="325" spans="1:62" x14ac:dyDescent="0.25">
      <c r="A325" s="132"/>
      <c r="B325" s="132"/>
      <c r="C325" s="132" t="s">
        <v>81</v>
      </c>
      <c r="D325" s="132"/>
      <c r="E325" s="132"/>
      <c r="F325" s="18">
        <v>1068</v>
      </c>
      <c r="G325" s="15">
        <v>938</v>
      </c>
      <c r="H325" s="16">
        <v>1</v>
      </c>
      <c r="I325" s="16">
        <v>922</v>
      </c>
      <c r="J325" s="17">
        <v>17</v>
      </c>
      <c r="K325" s="15">
        <v>0</v>
      </c>
      <c r="L325" s="16">
        <v>22</v>
      </c>
      <c r="M325" s="16">
        <v>19</v>
      </c>
      <c r="N325" s="16">
        <v>2</v>
      </c>
      <c r="O325" s="16">
        <v>7</v>
      </c>
      <c r="P325" s="16">
        <v>0</v>
      </c>
      <c r="Q325" s="16">
        <v>12</v>
      </c>
      <c r="R325" s="17">
        <v>66</v>
      </c>
      <c r="S325" s="18">
        <v>50</v>
      </c>
      <c r="T325" s="15">
        <v>22</v>
      </c>
      <c r="U325" s="16">
        <v>0</v>
      </c>
      <c r="V325" s="16">
        <v>8</v>
      </c>
      <c r="W325" s="16">
        <v>13</v>
      </c>
      <c r="X325" s="17">
        <v>1</v>
      </c>
      <c r="Y325" s="15">
        <v>1612</v>
      </c>
      <c r="Z325" s="17">
        <v>540</v>
      </c>
      <c r="AA325" s="15">
        <v>1784</v>
      </c>
      <c r="AB325" s="17">
        <v>545</v>
      </c>
      <c r="AC325" s="15">
        <v>1654</v>
      </c>
      <c r="AD325" s="132">
        <v>538</v>
      </c>
      <c r="AE325" s="15">
        <v>502</v>
      </c>
      <c r="AF325" s="16">
        <v>289</v>
      </c>
      <c r="AG325" s="17">
        <v>198</v>
      </c>
      <c r="AH325" s="133">
        <v>0.10669975186104218</v>
      </c>
      <c r="AI325" s="19">
        <v>2.6054590570719603E-2</v>
      </c>
      <c r="AJ325" s="19">
        <v>-7.2869955156950675E-2</v>
      </c>
      <c r="AK325" s="19">
        <v>9.2592592592592587E-3</v>
      </c>
      <c r="AL325" s="19">
        <v>-3.7037037037037038E-3</v>
      </c>
      <c r="AM325" s="19">
        <v>-1.2844036697247707E-2</v>
      </c>
      <c r="AN325" s="20">
        <v>1.7633262260127931</v>
      </c>
      <c r="AO325" s="19">
        <v>0.57356076759061836</v>
      </c>
      <c r="AP325" s="19">
        <v>0.30810234541577824</v>
      </c>
      <c r="AQ325" s="19">
        <v>0.21108742004264391</v>
      </c>
      <c r="AR325" s="21">
        <v>6.5737051792828682E-2</v>
      </c>
      <c r="AS325" s="247">
        <f t="shared" si="10"/>
        <v>5.3304904051172705E-2</v>
      </c>
      <c r="AT325" s="248">
        <f t="shared" si="11"/>
        <v>2.9850746268656716E-2</v>
      </c>
      <c r="AU325" s="15">
        <v>737</v>
      </c>
      <c r="AV325" s="16">
        <v>775</v>
      </c>
      <c r="AW325" s="17">
        <v>745</v>
      </c>
      <c r="AX325" s="133">
        <v>5.1560379918588875E-2</v>
      </c>
      <c r="AY325" s="19">
        <v>1.0854816824966078E-2</v>
      </c>
      <c r="AZ325" s="21">
        <v>-3.870967741935484E-2</v>
      </c>
      <c r="BA325" s="15">
        <v>12</v>
      </c>
      <c r="BB325" s="17">
        <v>12</v>
      </c>
      <c r="BC325" s="15">
        <v>2</v>
      </c>
      <c r="BD325" s="17">
        <v>2</v>
      </c>
      <c r="BE325" s="15">
        <v>1105</v>
      </c>
      <c r="BF325" s="16">
        <v>1654</v>
      </c>
      <c r="BG325" s="19">
        <v>0.66807738814993956</v>
      </c>
      <c r="BH325" s="16">
        <v>524</v>
      </c>
      <c r="BI325" s="16">
        <v>745</v>
      </c>
      <c r="BJ325" s="21">
        <v>0.70335570469798658</v>
      </c>
    </row>
    <row r="326" spans="1:62" x14ac:dyDescent="0.25">
      <c r="E326" t="s">
        <v>181</v>
      </c>
      <c r="F326" s="32">
        <v>15</v>
      </c>
      <c r="G326" s="29">
        <v>11</v>
      </c>
      <c r="H326" s="30">
        <v>0</v>
      </c>
      <c r="I326" s="30">
        <v>11</v>
      </c>
      <c r="J326" s="31">
        <v>0</v>
      </c>
      <c r="K326" s="29">
        <v>0</v>
      </c>
      <c r="L326" s="30">
        <v>0</v>
      </c>
      <c r="M326" s="30">
        <v>0</v>
      </c>
      <c r="N326" s="30">
        <v>0</v>
      </c>
      <c r="O326" s="30">
        <v>4</v>
      </c>
      <c r="P326" s="30">
        <v>0</v>
      </c>
      <c r="Q326" s="30">
        <v>0</v>
      </c>
      <c r="R326" s="31">
        <v>0</v>
      </c>
      <c r="S326" s="32">
        <v>0</v>
      </c>
      <c r="T326" s="29"/>
      <c r="U326" s="30"/>
      <c r="V326" s="30"/>
      <c r="W326" s="30"/>
      <c r="X326" s="31"/>
      <c r="Y326" s="29">
        <v>0</v>
      </c>
      <c r="Z326" s="31">
        <v>0</v>
      </c>
      <c r="AA326" s="29">
        <v>0</v>
      </c>
      <c r="AB326" s="31">
        <v>0</v>
      </c>
      <c r="AC326" s="29">
        <v>0</v>
      </c>
      <c r="AD326">
        <v>0</v>
      </c>
      <c r="AE326" s="29">
        <v>15</v>
      </c>
      <c r="AF326" s="30">
        <v>15</v>
      </c>
      <c r="AG326" s="31">
        <v>0</v>
      </c>
      <c r="AH326" s="136"/>
      <c r="AI326" s="33"/>
      <c r="AJ326" s="33"/>
      <c r="AK326" s="33"/>
      <c r="AL326" s="33"/>
      <c r="AM326" s="33"/>
      <c r="AN326" s="34">
        <v>0</v>
      </c>
      <c r="AO326" s="33">
        <v>0</v>
      </c>
      <c r="AP326" s="33">
        <v>1.3636363636363635</v>
      </c>
      <c r="AQ326" s="33">
        <v>0</v>
      </c>
      <c r="AR326" s="35">
        <v>0</v>
      </c>
      <c r="AS326" s="251">
        <f t="shared" si="10"/>
        <v>0</v>
      </c>
      <c r="AT326" s="252">
        <f t="shared" si="11"/>
        <v>0</v>
      </c>
      <c r="AU326" s="29">
        <v>0</v>
      </c>
      <c r="AV326" s="30">
        <v>0</v>
      </c>
      <c r="AW326" s="31">
        <v>0</v>
      </c>
      <c r="AX326" s="136"/>
      <c r="AY326" s="33"/>
      <c r="AZ326" s="35"/>
      <c r="BA326" s="29"/>
      <c r="BB326" s="31"/>
      <c r="BC326" s="29"/>
      <c r="BD326" s="31"/>
      <c r="BE326" s="29">
        <v>0</v>
      </c>
      <c r="BF326" s="30">
        <v>0</v>
      </c>
      <c r="BG326" s="33"/>
      <c r="BH326" s="30">
        <v>0</v>
      </c>
      <c r="BI326" s="30">
        <v>0</v>
      </c>
      <c r="BJ326" s="35"/>
    </row>
    <row r="327" spans="1:62" x14ac:dyDescent="0.25">
      <c r="E327" t="s">
        <v>82</v>
      </c>
      <c r="F327" s="32">
        <v>15</v>
      </c>
      <c r="G327" s="29">
        <v>15</v>
      </c>
      <c r="H327" s="30">
        <v>0</v>
      </c>
      <c r="I327" s="30">
        <v>15</v>
      </c>
      <c r="J327" s="31">
        <v>0</v>
      </c>
      <c r="K327" s="29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1">
        <v>0</v>
      </c>
      <c r="S327" s="32">
        <v>0</v>
      </c>
      <c r="T327" s="29"/>
      <c r="U327" s="30"/>
      <c r="V327" s="30"/>
      <c r="W327" s="30"/>
      <c r="X327" s="31"/>
      <c r="Y327" s="29">
        <v>8</v>
      </c>
      <c r="Z327" s="31">
        <v>5</v>
      </c>
      <c r="AA327" s="29">
        <v>8</v>
      </c>
      <c r="AB327" s="31">
        <v>6</v>
      </c>
      <c r="AC327" s="29">
        <v>32</v>
      </c>
      <c r="AD327">
        <v>11</v>
      </c>
      <c r="AE327" s="29">
        <v>4</v>
      </c>
      <c r="AF327" s="30">
        <v>3</v>
      </c>
      <c r="AG327" s="31">
        <v>2</v>
      </c>
      <c r="AH327" s="136">
        <v>0</v>
      </c>
      <c r="AI327" s="33">
        <v>3</v>
      </c>
      <c r="AJ327" s="33">
        <v>3</v>
      </c>
      <c r="AK327" s="33">
        <v>0.2</v>
      </c>
      <c r="AL327" s="33">
        <v>1.2</v>
      </c>
      <c r="AM327" s="33">
        <v>0.83333333333333337</v>
      </c>
      <c r="AN327" s="34">
        <v>2.1333333333333333</v>
      </c>
      <c r="AO327" s="33">
        <v>0.73333333333333328</v>
      </c>
      <c r="AP327" s="33">
        <v>0.2</v>
      </c>
      <c r="AQ327" s="33">
        <v>0.13333333333333333</v>
      </c>
      <c r="AR327" s="35">
        <v>0</v>
      </c>
      <c r="AS327" s="251">
        <f t="shared" si="10"/>
        <v>0</v>
      </c>
      <c r="AT327" s="252">
        <f t="shared" si="11"/>
        <v>0</v>
      </c>
      <c r="AU327" s="29">
        <v>8</v>
      </c>
      <c r="AV327" s="30">
        <v>6</v>
      </c>
      <c r="AW327" s="31">
        <v>9</v>
      </c>
      <c r="AX327" s="136">
        <v>-0.25</v>
      </c>
      <c r="AY327" s="33">
        <v>0.125</v>
      </c>
      <c r="AZ327" s="35">
        <v>0.5</v>
      </c>
      <c r="BA327" s="29">
        <v>9</v>
      </c>
      <c r="BB327" s="31">
        <v>9.5</v>
      </c>
      <c r="BC327" s="29">
        <v>1</v>
      </c>
      <c r="BD327" s="31">
        <v>8</v>
      </c>
      <c r="BE327" s="29">
        <v>5</v>
      </c>
      <c r="BF327" s="30">
        <v>32</v>
      </c>
      <c r="BG327" s="33">
        <v>0.15625</v>
      </c>
      <c r="BH327" s="30">
        <v>4</v>
      </c>
      <c r="BI327" s="30">
        <v>9</v>
      </c>
      <c r="BJ327" s="35">
        <v>0.44444444444444442</v>
      </c>
    </row>
    <row r="328" spans="1:62" x14ac:dyDescent="0.25">
      <c r="E328" t="s">
        <v>68</v>
      </c>
      <c r="F328" s="32">
        <v>1033</v>
      </c>
      <c r="G328" s="29">
        <v>911</v>
      </c>
      <c r="H328" s="30">
        <v>1</v>
      </c>
      <c r="I328" s="30">
        <v>895</v>
      </c>
      <c r="J328" s="31">
        <v>17</v>
      </c>
      <c r="K328" s="29">
        <v>0</v>
      </c>
      <c r="L328" s="30">
        <v>18</v>
      </c>
      <c r="M328" s="30">
        <v>19</v>
      </c>
      <c r="N328" s="30">
        <v>2</v>
      </c>
      <c r="O328" s="30">
        <v>3</v>
      </c>
      <c r="P328" s="30">
        <v>0</v>
      </c>
      <c r="Q328" s="30">
        <v>12</v>
      </c>
      <c r="R328" s="31">
        <v>66</v>
      </c>
      <c r="S328" s="32">
        <v>45</v>
      </c>
      <c r="T328" s="29">
        <v>22</v>
      </c>
      <c r="U328" s="30">
        <v>0</v>
      </c>
      <c r="V328" s="30">
        <v>8</v>
      </c>
      <c r="W328" s="30">
        <v>13</v>
      </c>
      <c r="X328" s="31">
        <v>1</v>
      </c>
      <c r="Y328" s="29">
        <v>1604</v>
      </c>
      <c r="Z328" s="31">
        <v>535</v>
      </c>
      <c r="AA328" s="29">
        <v>1776</v>
      </c>
      <c r="AB328" s="31">
        <v>539</v>
      </c>
      <c r="AC328" s="29">
        <v>1613</v>
      </c>
      <c r="AD328">
        <v>526</v>
      </c>
      <c r="AE328" s="29">
        <v>483</v>
      </c>
      <c r="AF328" s="30">
        <v>271</v>
      </c>
      <c r="AG328" s="31">
        <v>195</v>
      </c>
      <c r="AH328" s="136">
        <v>0.10723192019950124</v>
      </c>
      <c r="AI328" s="33">
        <v>5.6109725685785537E-3</v>
      </c>
      <c r="AJ328" s="33">
        <v>-9.1779279279279286E-2</v>
      </c>
      <c r="AK328" s="33">
        <v>7.4766355140186919E-3</v>
      </c>
      <c r="AL328" s="33">
        <v>-1.6822429906542057E-2</v>
      </c>
      <c r="AM328" s="33">
        <v>-2.4118738404452691E-2</v>
      </c>
      <c r="AN328" s="34">
        <v>1.7705817782656421</v>
      </c>
      <c r="AO328" s="33">
        <v>0.57738748627881453</v>
      </c>
      <c r="AP328" s="33">
        <v>0.29747530186608123</v>
      </c>
      <c r="AQ328" s="33">
        <v>0.21405049396267836</v>
      </c>
      <c r="AR328" s="35">
        <v>6.7553735926305009E-2</v>
      </c>
      <c r="AS328" s="251">
        <f t="shared" si="10"/>
        <v>4.9396267837541162E-2</v>
      </c>
      <c r="AT328" s="252">
        <f t="shared" si="11"/>
        <v>2.5246981339187707E-2</v>
      </c>
      <c r="AU328" s="29">
        <v>733</v>
      </c>
      <c r="AV328" s="30">
        <v>774</v>
      </c>
      <c r="AW328" s="31">
        <v>744</v>
      </c>
      <c r="AX328" s="136">
        <v>5.593451568894952E-2</v>
      </c>
      <c r="AY328" s="33">
        <v>1.5006821282401092E-2</v>
      </c>
      <c r="AZ328" s="35">
        <v>-3.875968992248062E-2</v>
      </c>
      <c r="BA328" s="29">
        <v>12</v>
      </c>
      <c r="BB328" s="31">
        <v>12</v>
      </c>
      <c r="BC328" s="29">
        <v>2</v>
      </c>
      <c r="BD328" s="31">
        <v>2</v>
      </c>
      <c r="BE328" s="29">
        <v>1096</v>
      </c>
      <c r="BF328" s="30">
        <v>1613</v>
      </c>
      <c r="BG328" s="33">
        <v>0.67947923124612519</v>
      </c>
      <c r="BH328" s="30">
        <v>523</v>
      </c>
      <c r="BI328" s="30">
        <v>744</v>
      </c>
      <c r="BJ328" s="35">
        <v>0.70295698924731187</v>
      </c>
    </row>
    <row r="329" spans="1:62" x14ac:dyDescent="0.25">
      <c r="A329" s="132"/>
      <c r="B329" s="132"/>
      <c r="C329" s="132" t="s">
        <v>83</v>
      </c>
      <c r="D329" s="132"/>
      <c r="E329" s="132"/>
      <c r="F329" s="18">
        <v>347</v>
      </c>
      <c r="G329" s="15">
        <v>238</v>
      </c>
      <c r="H329" s="16">
        <v>0</v>
      </c>
      <c r="I329" s="16">
        <v>237</v>
      </c>
      <c r="J329" s="17">
        <v>1</v>
      </c>
      <c r="K329" s="15">
        <v>0</v>
      </c>
      <c r="L329" s="16">
        <v>15</v>
      </c>
      <c r="M329" s="16">
        <v>42</v>
      </c>
      <c r="N329" s="16">
        <v>0</v>
      </c>
      <c r="O329" s="16">
        <v>0</v>
      </c>
      <c r="P329" s="16">
        <v>0</v>
      </c>
      <c r="Q329" s="16">
        <v>5</v>
      </c>
      <c r="R329" s="17">
        <v>47</v>
      </c>
      <c r="S329" s="18">
        <v>35</v>
      </c>
      <c r="T329" s="15">
        <v>37</v>
      </c>
      <c r="U329" s="16">
        <v>1</v>
      </c>
      <c r="V329" s="16">
        <v>3</v>
      </c>
      <c r="W329" s="16">
        <v>33</v>
      </c>
      <c r="X329" s="17">
        <v>0</v>
      </c>
      <c r="Y329" s="15">
        <v>2543</v>
      </c>
      <c r="Z329" s="17">
        <v>308</v>
      </c>
      <c r="AA329" s="15">
        <v>2739</v>
      </c>
      <c r="AB329" s="17">
        <v>300</v>
      </c>
      <c r="AC329" s="15">
        <v>2533</v>
      </c>
      <c r="AD329" s="132">
        <v>277</v>
      </c>
      <c r="AE329" s="15">
        <v>55</v>
      </c>
      <c r="AF329" s="16">
        <v>30</v>
      </c>
      <c r="AG329" s="17">
        <v>209</v>
      </c>
      <c r="AH329" s="133">
        <v>7.707432166732206E-2</v>
      </c>
      <c r="AI329" s="19">
        <v>-3.9323633503735743E-3</v>
      </c>
      <c r="AJ329" s="19">
        <v>-7.5209930631617378E-2</v>
      </c>
      <c r="AK329" s="19">
        <v>-2.5974025974025976E-2</v>
      </c>
      <c r="AL329" s="19">
        <v>-0.10064935064935066</v>
      </c>
      <c r="AM329" s="19">
        <v>-7.6666666666666661E-2</v>
      </c>
      <c r="AN329" s="20">
        <v>10.642857142857142</v>
      </c>
      <c r="AO329" s="19">
        <v>1.1638655462184875</v>
      </c>
      <c r="AP329" s="19">
        <v>0.12605042016806722</v>
      </c>
      <c r="AQ329" s="19">
        <v>0.87815126050420167</v>
      </c>
      <c r="AR329" s="21">
        <v>0.1649122807017544</v>
      </c>
      <c r="AS329" s="247">
        <f t="shared" si="10"/>
        <v>0.14705882352941177</v>
      </c>
      <c r="AT329" s="248">
        <f t="shared" si="11"/>
        <v>-8.4033613445378148E-3</v>
      </c>
      <c r="AU329" s="15">
        <v>860</v>
      </c>
      <c r="AV329" s="16">
        <v>848</v>
      </c>
      <c r="AW329" s="17">
        <v>845</v>
      </c>
      <c r="AX329" s="133">
        <v>-1.3953488372093023E-2</v>
      </c>
      <c r="AY329" s="19">
        <v>-1.7441860465116279E-2</v>
      </c>
      <c r="AZ329" s="21">
        <v>-3.5377358490566039E-3</v>
      </c>
      <c r="BA329" s="15">
        <v>9</v>
      </c>
      <c r="BB329" s="17">
        <v>9</v>
      </c>
      <c r="BC329" s="15">
        <v>2</v>
      </c>
      <c r="BD329" s="17">
        <v>2</v>
      </c>
      <c r="BE329" s="15">
        <v>1907</v>
      </c>
      <c r="BF329" s="16">
        <v>2533</v>
      </c>
      <c r="BG329" s="19">
        <v>0.75286221871298853</v>
      </c>
      <c r="BH329" s="16">
        <v>622</v>
      </c>
      <c r="BI329" s="16">
        <v>845</v>
      </c>
      <c r="BJ329" s="21">
        <v>0.73609467455621302</v>
      </c>
    </row>
    <row r="330" spans="1:62" x14ac:dyDescent="0.25">
      <c r="E330" t="s">
        <v>68</v>
      </c>
      <c r="F330" s="32">
        <v>346</v>
      </c>
      <c r="G330" s="29">
        <v>237</v>
      </c>
      <c r="H330" s="30">
        <v>0</v>
      </c>
      <c r="I330" s="30">
        <v>236</v>
      </c>
      <c r="J330" s="31">
        <v>1</v>
      </c>
      <c r="K330" s="29">
        <v>0</v>
      </c>
      <c r="L330" s="30">
        <v>15</v>
      </c>
      <c r="M330" s="30">
        <v>42</v>
      </c>
      <c r="N330" s="30">
        <v>0</v>
      </c>
      <c r="O330" s="30">
        <v>0</v>
      </c>
      <c r="P330" s="30">
        <v>0</v>
      </c>
      <c r="Q330" s="30">
        <v>5</v>
      </c>
      <c r="R330" s="31">
        <v>47</v>
      </c>
      <c r="S330" s="32">
        <v>34</v>
      </c>
      <c r="T330" s="29">
        <v>37</v>
      </c>
      <c r="U330" s="30">
        <v>1</v>
      </c>
      <c r="V330" s="30">
        <v>3</v>
      </c>
      <c r="W330" s="30">
        <v>33</v>
      </c>
      <c r="X330" s="31">
        <v>0</v>
      </c>
      <c r="Y330" s="29">
        <v>2543</v>
      </c>
      <c r="Z330" s="31">
        <v>308</v>
      </c>
      <c r="AA330" s="29">
        <v>2739</v>
      </c>
      <c r="AB330" s="31">
        <v>300</v>
      </c>
      <c r="AC330" s="29">
        <v>2523</v>
      </c>
      <c r="AD330">
        <v>276</v>
      </c>
      <c r="AE330" s="29">
        <v>55</v>
      </c>
      <c r="AF330" s="30">
        <v>30</v>
      </c>
      <c r="AG330" s="31">
        <v>209</v>
      </c>
      <c r="AH330" s="136">
        <v>7.707432166732206E-2</v>
      </c>
      <c r="AI330" s="33">
        <v>-7.8647267007471485E-3</v>
      </c>
      <c r="AJ330" s="33">
        <v>-7.8860898138006577E-2</v>
      </c>
      <c r="AK330" s="33">
        <v>-2.5974025974025976E-2</v>
      </c>
      <c r="AL330" s="33">
        <v>-0.1038961038961039</v>
      </c>
      <c r="AM330" s="33">
        <v>-0.08</v>
      </c>
      <c r="AN330" s="34">
        <v>10.645569620253164</v>
      </c>
      <c r="AO330" s="33">
        <v>1.1645569620253164</v>
      </c>
      <c r="AP330" s="33">
        <v>0.12658227848101267</v>
      </c>
      <c r="AQ330" s="33">
        <v>0.88185654008438819</v>
      </c>
      <c r="AR330" s="35">
        <v>0.16549295774647887</v>
      </c>
      <c r="AS330" s="251">
        <f t="shared" si="10"/>
        <v>0.14345991561181434</v>
      </c>
      <c r="AT330" s="252">
        <f t="shared" si="11"/>
        <v>-1.2658227848101266E-2</v>
      </c>
      <c r="AU330" s="29">
        <v>857</v>
      </c>
      <c r="AV330" s="30">
        <v>848</v>
      </c>
      <c r="AW330" s="31">
        <v>842</v>
      </c>
      <c r="AX330" s="136">
        <v>-1.0501750291715286E-2</v>
      </c>
      <c r="AY330" s="33">
        <v>-1.7502917152858809E-2</v>
      </c>
      <c r="AZ330" s="35">
        <v>-7.0754716981132077E-3</v>
      </c>
      <c r="BA330" s="29">
        <v>9</v>
      </c>
      <c r="BB330" s="31">
        <v>9</v>
      </c>
      <c r="BC330" s="29">
        <v>2</v>
      </c>
      <c r="BD330" s="31">
        <v>2</v>
      </c>
      <c r="BE330" s="29">
        <v>1899</v>
      </c>
      <c r="BF330" s="30">
        <v>2523</v>
      </c>
      <c r="BG330" s="33">
        <v>0.75267538644470866</v>
      </c>
      <c r="BH330" s="30">
        <v>620</v>
      </c>
      <c r="BI330" s="30">
        <v>842</v>
      </c>
      <c r="BJ330" s="35">
        <v>0.73634204275534443</v>
      </c>
    </row>
    <row r="331" spans="1:62" x14ac:dyDescent="0.25">
      <c r="A331" s="132"/>
      <c r="B331" s="132"/>
      <c r="C331" s="132" t="s">
        <v>229</v>
      </c>
      <c r="D331" s="132"/>
      <c r="E331" s="132"/>
      <c r="F331" s="18">
        <v>319</v>
      </c>
      <c r="G331" s="15">
        <v>291</v>
      </c>
      <c r="H331" s="16">
        <v>3</v>
      </c>
      <c r="I331" s="16">
        <v>287</v>
      </c>
      <c r="J331" s="17">
        <v>7</v>
      </c>
      <c r="K331" s="15">
        <v>0</v>
      </c>
      <c r="L331" s="16">
        <v>1</v>
      </c>
      <c r="M331" s="16">
        <v>0</v>
      </c>
      <c r="N331" s="16">
        <v>0</v>
      </c>
      <c r="O331" s="16">
        <v>9</v>
      </c>
      <c r="P331" s="16">
        <v>0</v>
      </c>
      <c r="Q331" s="16">
        <v>5</v>
      </c>
      <c r="R331" s="17">
        <v>10</v>
      </c>
      <c r="S331" s="18">
        <v>43</v>
      </c>
      <c r="T331" s="15">
        <v>42</v>
      </c>
      <c r="U331" s="16">
        <v>2</v>
      </c>
      <c r="V331" s="16">
        <v>4</v>
      </c>
      <c r="W331" s="16">
        <v>0</v>
      </c>
      <c r="X331" s="17">
        <v>36</v>
      </c>
      <c r="Y331" s="15">
        <v>213</v>
      </c>
      <c r="Z331" s="17">
        <v>99</v>
      </c>
      <c r="AA331" s="15">
        <v>240</v>
      </c>
      <c r="AB331" s="17">
        <v>121</v>
      </c>
      <c r="AC331" s="15">
        <v>251</v>
      </c>
      <c r="AD331" s="132">
        <v>120</v>
      </c>
      <c r="AE331" s="15">
        <v>205</v>
      </c>
      <c r="AF331" s="16">
        <v>142</v>
      </c>
      <c r="AG331" s="17">
        <v>41</v>
      </c>
      <c r="AH331" s="133">
        <v>0.12676056338028169</v>
      </c>
      <c r="AI331" s="19">
        <v>0.17840375586854459</v>
      </c>
      <c r="AJ331" s="19">
        <v>4.583333333333333E-2</v>
      </c>
      <c r="AK331" s="19">
        <v>0.22222222222222221</v>
      </c>
      <c r="AL331" s="19">
        <v>0.21212121212121213</v>
      </c>
      <c r="AM331" s="19">
        <v>-8.2644628099173556E-3</v>
      </c>
      <c r="AN331" s="20">
        <v>0.86254295532646053</v>
      </c>
      <c r="AO331" s="19">
        <v>0.41237113402061853</v>
      </c>
      <c r="AP331" s="19">
        <v>0.48797250859106528</v>
      </c>
      <c r="AQ331" s="19">
        <v>0.14089347079037801</v>
      </c>
      <c r="AR331" s="21">
        <v>3.3222591362126248E-2</v>
      </c>
      <c r="AS331" s="247">
        <f t="shared" si="10"/>
        <v>0.14776632302405499</v>
      </c>
      <c r="AT331" s="248">
        <f t="shared" si="11"/>
        <v>3.4364261168384879E-3</v>
      </c>
      <c r="AU331" s="15">
        <v>83</v>
      </c>
      <c r="AV331" s="16">
        <v>83</v>
      </c>
      <c r="AW331" s="17">
        <v>85</v>
      </c>
      <c r="AX331" s="133">
        <v>0</v>
      </c>
      <c r="AY331" s="19">
        <v>2.4096385542168676E-2</v>
      </c>
      <c r="AZ331" s="21">
        <v>2.4096385542168676E-2</v>
      </c>
      <c r="BA331" s="15">
        <v>30</v>
      </c>
      <c r="BB331" s="17">
        <v>30</v>
      </c>
      <c r="BC331" s="15">
        <v>6</v>
      </c>
      <c r="BD331" s="17">
        <v>3</v>
      </c>
      <c r="BE331" s="15">
        <v>118</v>
      </c>
      <c r="BF331" s="16">
        <v>251</v>
      </c>
      <c r="BG331" s="19">
        <v>0.47011952191235062</v>
      </c>
      <c r="BH331" s="16">
        <v>51</v>
      </c>
      <c r="BI331" s="16">
        <v>85</v>
      </c>
      <c r="BJ331" s="21">
        <v>0.6</v>
      </c>
    </row>
    <row r="332" spans="1:62" x14ac:dyDescent="0.25">
      <c r="E332" t="s">
        <v>68</v>
      </c>
      <c r="F332" s="32">
        <v>182</v>
      </c>
      <c r="G332" s="29">
        <v>161</v>
      </c>
      <c r="H332" s="30">
        <v>0</v>
      </c>
      <c r="I332" s="30">
        <v>154</v>
      </c>
      <c r="J332" s="31">
        <v>7</v>
      </c>
      <c r="K332" s="29">
        <v>0</v>
      </c>
      <c r="L332" s="30">
        <v>1</v>
      </c>
      <c r="M332" s="30">
        <v>0</v>
      </c>
      <c r="N332" s="30">
        <v>0</v>
      </c>
      <c r="O332" s="30">
        <v>8</v>
      </c>
      <c r="P332" s="30">
        <v>0</v>
      </c>
      <c r="Q332" s="30">
        <v>5</v>
      </c>
      <c r="R332" s="31">
        <v>7</v>
      </c>
      <c r="S332" s="32">
        <v>0</v>
      </c>
      <c r="T332" s="29">
        <v>5</v>
      </c>
      <c r="U332" s="30">
        <v>1</v>
      </c>
      <c r="V332" s="30">
        <v>4</v>
      </c>
      <c r="W332" s="30">
        <v>0</v>
      </c>
      <c r="X332" s="31">
        <v>0</v>
      </c>
      <c r="Y332" s="29">
        <v>90</v>
      </c>
      <c r="Z332" s="31">
        <v>51</v>
      </c>
      <c r="AA332" s="29">
        <v>102</v>
      </c>
      <c r="AB332" s="31">
        <v>51</v>
      </c>
      <c r="AC332" s="29">
        <v>106</v>
      </c>
      <c r="AD332">
        <v>51</v>
      </c>
      <c r="AE332" s="29">
        <v>129</v>
      </c>
      <c r="AF332" s="30">
        <v>91</v>
      </c>
      <c r="AG332" s="31">
        <v>21</v>
      </c>
      <c r="AH332" s="136">
        <v>0.13333333333333333</v>
      </c>
      <c r="AI332" s="33">
        <v>0.17777777777777778</v>
      </c>
      <c r="AJ332" s="33">
        <v>3.9215686274509803E-2</v>
      </c>
      <c r="AK332" s="33">
        <v>0</v>
      </c>
      <c r="AL332" s="33">
        <v>0</v>
      </c>
      <c r="AM332" s="33">
        <v>0</v>
      </c>
      <c r="AN332" s="34">
        <v>0.65838509316770188</v>
      </c>
      <c r="AO332" s="33">
        <v>0.31677018633540371</v>
      </c>
      <c r="AP332" s="33">
        <v>0.56521739130434778</v>
      </c>
      <c r="AQ332" s="33">
        <v>0.13043478260869565</v>
      </c>
      <c r="AR332" s="35">
        <v>4.1666666666666664E-2</v>
      </c>
      <c r="AS332" s="251">
        <f t="shared" si="10"/>
        <v>0</v>
      </c>
      <c r="AT332" s="252">
        <f t="shared" si="11"/>
        <v>-3.1055900621118012E-2</v>
      </c>
      <c r="AU332" s="29">
        <v>52</v>
      </c>
      <c r="AV332" s="30">
        <v>37</v>
      </c>
      <c r="AW332" s="31">
        <v>47</v>
      </c>
      <c r="AX332" s="136">
        <v>-0.28846153846153844</v>
      </c>
      <c r="AY332" s="33">
        <v>-9.6153846153846159E-2</v>
      </c>
      <c r="AZ332" s="35">
        <v>0.27027027027027029</v>
      </c>
      <c r="BA332" s="29">
        <v>28</v>
      </c>
      <c r="BB332" s="31">
        <v>26</v>
      </c>
      <c r="BC332" s="29">
        <v>7.5</v>
      </c>
      <c r="BD332" s="31">
        <v>3</v>
      </c>
      <c r="BE332" s="29">
        <v>48</v>
      </c>
      <c r="BF332" s="30">
        <v>106</v>
      </c>
      <c r="BG332" s="33">
        <v>0.45283018867924529</v>
      </c>
      <c r="BH332" s="30">
        <v>28</v>
      </c>
      <c r="BI332" s="30">
        <v>47</v>
      </c>
      <c r="BJ332" s="35">
        <v>0.5957446808510638</v>
      </c>
    </row>
    <row r="333" spans="1:62" x14ac:dyDescent="0.25">
      <c r="E333" t="s">
        <v>148</v>
      </c>
      <c r="F333" s="32">
        <v>137</v>
      </c>
      <c r="G333" s="29">
        <v>130</v>
      </c>
      <c r="H333" s="30">
        <v>3</v>
      </c>
      <c r="I333" s="30">
        <v>133</v>
      </c>
      <c r="J333" s="31">
        <v>0</v>
      </c>
      <c r="K333" s="29">
        <v>0</v>
      </c>
      <c r="L333" s="30">
        <v>0</v>
      </c>
      <c r="M333" s="30">
        <v>0</v>
      </c>
      <c r="N333" s="30">
        <v>0</v>
      </c>
      <c r="O333" s="30">
        <v>1</v>
      </c>
      <c r="P333" s="30">
        <v>0</v>
      </c>
      <c r="Q333" s="30">
        <v>0</v>
      </c>
      <c r="R333" s="31">
        <v>3</v>
      </c>
      <c r="S333" s="32">
        <v>43</v>
      </c>
      <c r="T333" s="29">
        <v>37</v>
      </c>
      <c r="U333" s="30">
        <v>1</v>
      </c>
      <c r="V333" s="30">
        <v>0</v>
      </c>
      <c r="W333" s="30">
        <v>0</v>
      </c>
      <c r="X333" s="31">
        <v>36</v>
      </c>
      <c r="Y333" s="29">
        <v>123</v>
      </c>
      <c r="Z333" s="31">
        <v>48</v>
      </c>
      <c r="AA333" s="29">
        <v>138</v>
      </c>
      <c r="AB333" s="31">
        <v>70</v>
      </c>
      <c r="AC333" s="29">
        <v>145</v>
      </c>
      <c r="AD333">
        <v>69</v>
      </c>
      <c r="AE333" s="29">
        <v>76</v>
      </c>
      <c r="AF333" s="30">
        <v>51</v>
      </c>
      <c r="AG333" s="31">
        <v>20</v>
      </c>
      <c r="AH333" s="136">
        <v>0.12195121951219512</v>
      </c>
      <c r="AI333" s="33">
        <v>0.17886178861788618</v>
      </c>
      <c r="AJ333" s="33">
        <v>5.0724637681159424E-2</v>
      </c>
      <c r="AK333" s="33">
        <v>0.45833333333333331</v>
      </c>
      <c r="AL333" s="33">
        <v>0.4375</v>
      </c>
      <c r="AM333" s="33">
        <v>-1.4285714285714285E-2</v>
      </c>
      <c r="AN333" s="34">
        <v>1.1153846153846154</v>
      </c>
      <c r="AO333" s="33">
        <v>0.53076923076923077</v>
      </c>
      <c r="AP333" s="33">
        <v>0.3923076923076923</v>
      </c>
      <c r="AQ333" s="33">
        <v>0.15384615384615385</v>
      </c>
      <c r="AR333" s="35">
        <v>2.2556390977443608E-2</v>
      </c>
      <c r="AS333" s="251">
        <f t="shared" si="10"/>
        <v>0.33076923076923076</v>
      </c>
      <c r="AT333" s="252">
        <f t="shared" si="11"/>
        <v>4.6153846153846156E-2</v>
      </c>
      <c r="AU333" s="29">
        <v>41</v>
      </c>
      <c r="AV333" s="30">
        <v>52</v>
      </c>
      <c r="AW333" s="31">
        <v>43</v>
      </c>
      <c r="AX333" s="136">
        <v>0.26829268292682928</v>
      </c>
      <c r="AY333" s="33">
        <v>4.878048780487805E-2</v>
      </c>
      <c r="AZ333" s="35">
        <v>-0.17307692307692307</v>
      </c>
      <c r="BA333" s="29">
        <v>42</v>
      </c>
      <c r="BB333" s="31">
        <v>35</v>
      </c>
      <c r="BC333" s="29">
        <v>6</v>
      </c>
      <c r="BD333" s="31">
        <v>4</v>
      </c>
      <c r="BE333" s="29">
        <v>70</v>
      </c>
      <c r="BF333" s="30">
        <v>145</v>
      </c>
      <c r="BG333" s="33">
        <v>0.48275862068965519</v>
      </c>
      <c r="BH333" s="30">
        <v>24</v>
      </c>
      <c r="BI333" s="30">
        <v>43</v>
      </c>
      <c r="BJ333" s="35">
        <v>0.55813953488372092</v>
      </c>
    </row>
    <row r="334" spans="1:62" x14ac:dyDescent="0.25">
      <c r="A334" s="132"/>
      <c r="B334" s="132"/>
      <c r="C334" s="132" t="s">
        <v>84</v>
      </c>
      <c r="D334" s="132"/>
      <c r="E334" s="132"/>
      <c r="F334" s="18">
        <v>765</v>
      </c>
      <c r="G334" s="15">
        <v>690</v>
      </c>
      <c r="H334" s="16">
        <v>7</v>
      </c>
      <c r="I334" s="16">
        <v>697</v>
      </c>
      <c r="J334" s="17">
        <v>0</v>
      </c>
      <c r="K334" s="15">
        <v>0</v>
      </c>
      <c r="L334" s="16">
        <v>14</v>
      </c>
      <c r="M334" s="16">
        <v>9</v>
      </c>
      <c r="N334" s="16">
        <v>0</v>
      </c>
      <c r="O334" s="16">
        <v>3</v>
      </c>
      <c r="P334" s="16">
        <v>0</v>
      </c>
      <c r="Q334" s="16">
        <v>9</v>
      </c>
      <c r="R334" s="17">
        <v>33</v>
      </c>
      <c r="S334" s="18">
        <v>30</v>
      </c>
      <c r="T334" s="15">
        <v>54</v>
      </c>
      <c r="U334" s="16">
        <v>1</v>
      </c>
      <c r="V334" s="16">
        <v>4</v>
      </c>
      <c r="W334" s="16">
        <v>7</v>
      </c>
      <c r="X334" s="17">
        <v>42</v>
      </c>
      <c r="Y334" s="15">
        <v>1421</v>
      </c>
      <c r="Z334" s="17">
        <v>572</v>
      </c>
      <c r="AA334" s="15">
        <v>1778</v>
      </c>
      <c r="AB334" s="17">
        <v>572</v>
      </c>
      <c r="AC334" s="15">
        <v>1551</v>
      </c>
      <c r="AD334" s="132">
        <v>551</v>
      </c>
      <c r="AE334" s="15">
        <v>216</v>
      </c>
      <c r="AF334" s="16">
        <v>68</v>
      </c>
      <c r="AG334" s="17">
        <v>187</v>
      </c>
      <c r="AH334" s="133">
        <v>0.25123152709359609</v>
      </c>
      <c r="AI334" s="19">
        <v>9.1484869809992958E-2</v>
      </c>
      <c r="AJ334" s="19">
        <v>-0.12767154105736783</v>
      </c>
      <c r="AK334" s="19">
        <v>0</v>
      </c>
      <c r="AL334" s="19">
        <v>-3.6713286713286712E-2</v>
      </c>
      <c r="AM334" s="19">
        <v>-3.6713286713286712E-2</v>
      </c>
      <c r="AN334" s="20">
        <v>2.2478260869565219</v>
      </c>
      <c r="AO334" s="19">
        <v>0.79855072463768118</v>
      </c>
      <c r="AP334" s="19">
        <v>9.8550724637681164E-2</v>
      </c>
      <c r="AQ334" s="19">
        <v>0.27101449275362322</v>
      </c>
      <c r="AR334" s="21">
        <v>4.5643153526970952E-2</v>
      </c>
      <c r="AS334" s="247">
        <f t="shared" si="10"/>
        <v>4.3478260869565216E-2</v>
      </c>
      <c r="AT334" s="248">
        <f t="shared" si="11"/>
        <v>-3.4782608695652174E-2</v>
      </c>
      <c r="AU334" s="15">
        <v>594</v>
      </c>
      <c r="AV334" s="16">
        <v>682</v>
      </c>
      <c r="AW334" s="17">
        <v>658</v>
      </c>
      <c r="AX334" s="133">
        <v>0.14814814814814814</v>
      </c>
      <c r="AY334" s="19">
        <v>0.10774410774410774</v>
      </c>
      <c r="AZ334" s="21">
        <v>-3.519061583577713E-2</v>
      </c>
      <c r="BA334" s="15">
        <v>12</v>
      </c>
      <c r="BB334" s="17">
        <v>12</v>
      </c>
      <c r="BC334" s="15">
        <v>3</v>
      </c>
      <c r="BD334" s="17">
        <v>3</v>
      </c>
      <c r="BE334" s="15">
        <v>1131</v>
      </c>
      <c r="BF334" s="16">
        <v>1551</v>
      </c>
      <c r="BG334" s="19">
        <v>0.72920696324951639</v>
      </c>
      <c r="BH334" s="16">
        <v>459</v>
      </c>
      <c r="BI334" s="16">
        <v>658</v>
      </c>
      <c r="BJ334" s="21">
        <v>0.69756838905775076</v>
      </c>
    </row>
    <row r="335" spans="1:62" x14ac:dyDescent="0.25">
      <c r="E335" t="s">
        <v>68</v>
      </c>
      <c r="F335" s="32">
        <v>759</v>
      </c>
      <c r="G335" s="29">
        <v>685</v>
      </c>
      <c r="H335" s="30">
        <v>7</v>
      </c>
      <c r="I335" s="30">
        <v>692</v>
      </c>
      <c r="J335" s="31">
        <v>0</v>
      </c>
      <c r="K335" s="29">
        <v>0</v>
      </c>
      <c r="L335" s="30">
        <v>13</v>
      </c>
      <c r="M335" s="30">
        <v>9</v>
      </c>
      <c r="N335" s="30">
        <v>0</v>
      </c>
      <c r="O335" s="30">
        <v>3</v>
      </c>
      <c r="P335" s="30">
        <v>0</v>
      </c>
      <c r="Q335" s="30">
        <v>9</v>
      </c>
      <c r="R335" s="31">
        <v>33</v>
      </c>
      <c r="S335" s="32">
        <v>28</v>
      </c>
      <c r="T335" s="29">
        <v>54</v>
      </c>
      <c r="U335" s="30">
        <v>1</v>
      </c>
      <c r="V335" s="30">
        <v>4</v>
      </c>
      <c r="W335" s="30">
        <v>7</v>
      </c>
      <c r="X335" s="31">
        <v>42</v>
      </c>
      <c r="Y335" s="29">
        <v>1421</v>
      </c>
      <c r="Z335" s="31">
        <v>572</v>
      </c>
      <c r="AA335" s="29">
        <v>1778</v>
      </c>
      <c r="AB335" s="31">
        <v>572</v>
      </c>
      <c r="AC335" s="29">
        <v>1549</v>
      </c>
      <c r="AD335">
        <v>550</v>
      </c>
      <c r="AE335" s="29">
        <v>212</v>
      </c>
      <c r="AF335" s="30">
        <v>64</v>
      </c>
      <c r="AG335" s="31">
        <v>187</v>
      </c>
      <c r="AH335" s="136">
        <v>0.25123152709359609</v>
      </c>
      <c r="AI335" s="33">
        <v>9.0077410274454608E-2</v>
      </c>
      <c r="AJ335" s="33">
        <v>-0.12879640044994375</v>
      </c>
      <c r="AK335" s="33">
        <v>0</v>
      </c>
      <c r="AL335" s="33">
        <v>-3.8461538461538464E-2</v>
      </c>
      <c r="AM335" s="33">
        <v>-3.8461538461538464E-2</v>
      </c>
      <c r="AN335" s="34">
        <v>2.2613138686131387</v>
      </c>
      <c r="AO335" s="33">
        <v>0.8029197080291971</v>
      </c>
      <c r="AP335" s="33">
        <v>9.3430656934306563E-2</v>
      </c>
      <c r="AQ335" s="33">
        <v>0.27299270072992698</v>
      </c>
      <c r="AR335" s="35">
        <v>4.596100278551532E-2</v>
      </c>
      <c r="AS335" s="251">
        <f t="shared" si="10"/>
        <v>4.0875912408759124E-2</v>
      </c>
      <c r="AT335" s="252">
        <f t="shared" si="11"/>
        <v>-3.7956204379562042E-2</v>
      </c>
      <c r="AU335" s="29">
        <v>594</v>
      </c>
      <c r="AV335" s="30">
        <v>680</v>
      </c>
      <c r="AW335" s="31">
        <v>658</v>
      </c>
      <c r="AX335" s="136">
        <v>0.14478114478114479</v>
      </c>
      <c r="AY335" s="33">
        <v>0.10774410774410774</v>
      </c>
      <c r="AZ335" s="35">
        <v>-3.2352941176470591E-2</v>
      </c>
      <c r="BA335" s="29">
        <v>12</v>
      </c>
      <c r="BB335" s="31">
        <v>12</v>
      </c>
      <c r="BC335" s="29">
        <v>3</v>
      </c>
      <c r="BD335" s="31">
        <v>3</v>
      </c>
      <c r="BE335" s="29">
        <v>1129</v>
      </c>
      <c r="BF335" s="30">
        <v>1549</v>
      </c>
      <c r="BG335" s="33">
        <v>0.72885732730794062</v>
      </c>
      <c r="BH335" s="30">
        <v>459</v>
      </c>
      <c r="BI335" s="30">
        <v>658</v>
      </c>
      <c r="BJ335" s="35">
        <v>0.69756838905775076</v>
      </c>
    </row>
    <row r="336" spans="1:62" x14ac:dyDescent="0.25">
      <c r="A336" s="132"/>
      <c r="B336" s="132"/>
      <c r="C336" s="132" t="s">
        <v>85</v>
      </c>
      <c r="D336" s="132"/>
      <c r="E336" s="132"/>
      <c r="F336" s="18">
        <v>70</v>
      </c>
      <c r="G336" s="15">
        <v>54</v>
      </c>
      <c r="H336" s="16">
        <v>12</v>
      </c>
      <c r="I336" s="16">
        <v>66</v>
      </c>
      <c r="J336" s="17">
        <v>0</v>
      </c>
      <c r="K336" s="15">
        <v>0</v>
      </c>
      <c r="L336" s="16">
        <v>1</v>
      </c>
      <c r="M336" s="16">
        <v>2</v>
      </c>
      <c r="N336" s="16">
        <v>0</v>
      </c>
      <c r="O336" s="16">
        <v>0</v>
      </c>
      <c r="P336" s="16">
        <v>0</v>
      </c>
      <c r="Q336" s="16">
        <v>1</v>
      </c>
      <c r="R336" s="17">
        <v>0</v>
      </c>
      <c r="S336" s="18">
        <v>2</v>
      </c>
      <c r="T336" s="15">
        <v>2</v>
      </c>
      <c r="U336" s="16">
        <v>0</v>
      </c>
      <c r="V336" s="16">
        <v>1</v>
      </c>
      <c r="W336" s="16">
        <v>1</v>
      </c>
      <c r="X336" s="17">
        <v>0</v>
      </c>
      <c r="Y336" s="15">
        <v>211</v>
      </c>
      <c r="Z336" s="17">
        <v>42</v>
      </c>
      <c r="AA336" s="15">
        <v>271</v>
      </c>
      <c r="AB336" s="17">
        <v>53</v>
      </c>
      <c r="AC336" s="15">
        <v>264</v>
      </c>
      <c r="AD336" s="132">
        <v>53</v>
      </c>
      <c r="AE336" s="15">
        <v>4</v>
      </c>
      <c r="AF336" s="16">
        <v>2</v>
      </c>
      <c r="AG336" s="17">
        <v>25</v>
      </c>
      <c r="AH336" s="133">
        <v>0.28436018957345971</v>
      </c>
      <c r="AI336" s="19">
        <v>0.25118483412322273</v>
      </c>
      <c r="AJ336" s="19">
        <v>-2.5830258302583026E-2</v>
      </c>
      <c r="AK336" s="19">
        <v>0.26190476190476192</v>
      </c>
      <c r="AL336" s="19">
        <v>0.26190476190476192</v>
      </c>
      <c r="AM336" s="19">
        <v>0</v>
      </c>
      <c r="AN336" s="20">
        <v>4.8888888888888893</v>
      </c>
      <c r="AO336" s="19">
        <v>0.98148148148148151</v>
      </c>
      <c r="AP336" s="19">
        <v>3.7037037037037035E-2</v>
      </c>
      <c r="AQ336" s="19">
        <v>0.46296296296296297</v>
      </c>
      <c r="AR336" s="21">
        <v>0</v>
      </c>
      <c r="AS336" s="247">
        <f t="shared" si="10"/>
        <v>3.7037037037037035E-2</v>
      </c>
      <c r="AT336" s="248">
        <f t="shared" si="11"/>
        <v>0</v>
      </c>
      <c r="AU336" s="15">
        <v>153</v>
      </c>
      <c r="AV336" s="16">
        <v>179</v>
      </c>
      <c r="AW336" s="17">
        <v>164</v>
      </c>
      <c r="AX336" s="133">
        <v>0.16993464052287582</v>
      </c>
      <c r="AY336" s="19">
        <v>7.1895424836601302E-2</v>
      </c>
      <c r="AZ336" s="21">
        <v>-8.3798882681564241E-2</v>
      </c>
      <c r="BA336" s="15">
        <v>12</v>
      </c>
      <c r="BB336" s="17">
        <v>12</v>
      </c>
      <c r="BC336" s="15">
        <v>2</v>
      </c>
      <c r="BD336" s="17">
        <v>3</v>
      </c>
      <c r="BE336" s="15">
        <v>160</v>
      </c>
      <c r="BF336" s="16">
        <v>264</v>
      </c>
      <c r="BG336" s="19">
        <v>0.60606060606060608</v>
      </c>
      <c r="BH336" s="16">
        <v>102</v>
      </c>
      <c r="BI336" s="16">
        <v>164</v>
      </c>
      <c r="BJ336" s="21">
        <v>0.62195121951219512</v>
      </c>
    </row>
    <row r="337" spans="1:62" x14ac:dyDescent="0.25">
      <c r="E337" t="s">
        <v>68</v>
      </c>
      <c r="F337" s="32">
        <v>69</v>
      </c>
      <c r="G337" s="29">
        <v>53</v>
      </c>
      <c r="H337" s="30">
        <v>12</v>
      </c>
      <c r="I337" s="30">
        <v>65</v>
      </c>
      <c r="J337" s="31">
        <v>0</v>
      </c>
      <c r="K337" s="29">
        <v>0</v>
      </c>
      <c r="L337" s="30">
        <v>1</v>
      </c>
      <c r="M337" s="30">
        <v>2</v>
      </c>
      <c r="N337" s="30">
        <v>0</v>
      </c>
      <c r="O337" s="30">
        <v>0</v>
      </c>
      <c r="P337" s="30">
        <v>0</v>
      </c>
      <c r="Q337" s="30">
        <v>1</v>
      </c>
      <c r="R337" s="31">
        <v>0</v>
      </c>
      <c r="S337" s="32">
        <v>1</v>
      </c>
      <c r="T337" s="29">
        <v>2</v>
      </c>
      <c r="U337" s="30">
        <v>0</v>
      </c>
      <c r="V337" s="30">
        <v>1</v>
      </c>
      <c r="W337" s="30">
        <v>1</v>
      </c>
      <c r="X337" s="31">
        <v>0</v>
      </c>
      <c r="Y337" s="29">
        <v>211</v>
      </c>
      <c r="Z337" s="31">
        <v>42</v>
      </c>
      <c r="AA337" s="29">
        <v>271</v>
      </c>
      <c r="AB337" s="31">
        <v>53</v>
      </c>
      <c r="AC337" s="29">
        <v>261</v>
      </c>
      <c r="AD337">
        <v>52</v>
      </c>
      <c r="AE337" s="29">
        <v>4</v>
      </c>
      <c r="AF337" s="30">
        <v>2</v>
      </c>
      <c r="AG337" s="31">
        <v>25</v>
      </c>
      <c r="AH337" s="136">
        <v>0.28436018957345971</v>
      </c>
      <c r="AI337" s="33">
        <v>0.23696682464454977</v>
      </c>
      <c r="AJ337" s="33">
        <v>-3.6900369003690037E-2</v>
      </c>
      <c r="AK337" s="33">
        <v>0.26190476190476192</v>
      </c>
      <c r="AL337" s="33">
        <v>0.23809523809523808</v>
      </c>
      <c r="AM337" s="33">
        <v>-1.8867924528301886E-2</v>
      </c>
      <c r="AN337" s="34">
        <v>4.9245283018867925</v>
      </c>
      <c r="AO337" s="33">
        <v>0.98113207547169812</v>
      </c>
      <c r="AP337" s="33">
        <v>3.7735849056603772E-2</v>
      </c>
      <c r="AQ337" s="33">
        <v>0.47169811320754718</v>
      </c>
      <c r="AR337" s="35">
        <v>0</v>
      </c>
      <c r="AS337" s="251">
        <f t="shared" si="10"/>
        <v>1.8867924528301886E-2</v>
      </c>
      <c r="AT337" s="252">
        <f t="shared" si="11"/>
        <v>-1.8867924528301886E-2</v>
      </c>
      <c r="AU337" s="29">
        <v>153</v>
      </c>
      <c r="AV337" s="30">
        <v>179</v>
      </c>
      <c r="AW337" s="31">
        <v>162</v>
      </c>
      <c r="AX337" s="136">
        <v>0.16993464052287582</v>
      </c>
      <c r="AY337" s="33">
        <v>5.8823529411764705E-2</v>
      </c>
      <c r="AZ337" s="35">
        <v>-9.4972067039106142E-2</v>
      </c>
      <c r="BA337" s="29">
        <v>12</v>
      </c>
      <c r="BB337" s="31">
        <v>12</v>
      </c>
      <c r="BC337" s="29">
        <v>2</v>
      </c>
      <c r="BD337" s="31">
        <v>3</v>
      </c>
      <c r="BE337" s="29">
        <v>157</v>
      </c>
      <c r="BF337" s="30">
        <v>261</v>
      </c>
      <c r="BG337" s="33">
        <v>0.6015325670498084</v>
      </c>
      <c r="BH337" s="30">
        <v>100</v>
      </c>
      <c r="BI337" s="30">
        <v>162</v>
      </c>
      <c r="BJ337" s="35">
        <v>0.61728395061728392</v>
      </c>
    </row>
    <row r="338" spans="1:62" x14ac:dyDescent="0.25">
      <c r="A338" s="132"/>
      <c r="B338" s="132"/>
      <c r="C338" s="132" t="s">
        <v>86</v>
      </c>
      <c r="D338" s="132"/>
      <c r="E338" s="132"/>
      <c r="F338" s="18">
        <v>181</v>
      </c>
      <c r="G338" s="15">
        <v>115</v>
      </c>
      <c r="H338" s="16">
        <v>22</v>
      </c>
      <c r="I338" s="16">
        <v>137</v>
      </c>
      <c r="J338" s="17">
        <v>0</v>
      </c>
      <c r="K338" s="15">
        <v>0</v>
      </c>
      <c r="L338" s="16">
        <v>6</v>
      </c>
      <c r="M338" s="16">
        <v>8</v>
      </c>
      <c r="N338" s="16">
        <v>0</v>
      </c>
      <c r="O338" s="16">
        <v>11</v>
      </c>
      <c r="P338" s="16">
        <v>0</v>
      </c>
      <c r="Q338" s="16">
        <v>3</v>
      </c>
      <c r="R338" s="17">
        <v>16</v>
      </c>
      <c r="S338" s="18">
        <v>11</v>
      </c>
      <c r="T338" s="15">
        <v>7</v>
      </c>
      <c r="U338" s="16">
        <v>1</v>
      </c>
      <c r="V338" s="16">
        <v>2</v>
      </c>
      <c r="W338" s="16">
        <v>3</v>
      </c>
      <c r="X338" s="17">
        <v>1</v>
      </c>
      <c r="Y338" s="15">
        <v>372</v>
      </c>
      <c r="Z338" s="17">
        <v>100</v>
      </c>
      <c r="AA338" s="15">
        <v>333</v>
      </c>
      <c r="AB338" s="17">
        <v>91</v>
      </c>
      <c r="AC338" s="15">
        <v>339</v>
      </c>
      <c r="AD338" s="132">
        <v>91</v>
      </c>
      <c r="AE338" s="15">
        <v>63</v>
      </c>
      <c r="AF338" s="16">
        <v>28</v>
      </c>
      <c r="AG338" s="17">
        <v>43</v>
      </c>
      <c r="AH338" s="133">
        <v>-0.10483870967741936</v>
      </c>
      <c r="AI338" s="19">
        <v>-8.8709677419354843E-2</v>
      </c>
      <c r="AJ338" s="19">
        <v>1.8018018018018018E-2</v>
      </c>
      <c r="AK338" s="19">
        <v>-0.09</v>
      </c>
      <c r="AL338" s="19">
        <v>-0.09</v>
      </c>
      <c r="AM338" s="19">
        <v>0</v>
      </c>
      <c r="AN338" s="20">
        <v>2.9478260869565216</v>
      </c>
      <c r="AO338" s="19">
        <v>0.79130434782608694</v>
      </c>
      <c r="AP338" s="19">
        <v>0.24347826086956523</v>
      </c>
      <c r="AQ338" s="19">
        <v>0.37391304347826088</v>
      </c>
      <c r="AR338" s="21">
        <v>0.12213740458015267</v>
      </c>
      <c r="AS338" s="247">
        <f t="shared" si="10"/>
        <v>9.5652173913043481E-2</v>
      </c>
      <c r="AT338" s="248">
        <f t="shared" si="11"/>
        <v>3.4782608695652174E-2</v>
      </c>
      <c r="AU338" s="15">
        <v>208</v>
      </c>
      <c r="AV338" s="16">
        <v>219</v>
      </c>
      <c r="AW338" s="17">
        <v>198</v>
      </c>
      <c r="AX338" s="133">
        <v>5.2884615384615384E-2</v>
      </c>
      <c r="AY338" s="19">
        <v>-4.807692307692308E-2</v>
      </c>
      <c r="AZ338" s="21">
        <v>-9.5890410958904104E-2</v>
      </c>
      <c r="BA338" s="15">
        <v>10</v>
      </c>
      <c r="BB338" s="17">
        <v>10.5</v>
      </c>
      <c r="BC338" s="15">
        <v>2</v>
      </c>
      <c r="BD338" s="17">
        <v>2</v>
      </c>
      <c r="BE338" s="15">
        <v>266</v>
      </c>
      <c r="BF338" s="16">
        <v>339</v>
      </c>
      <c r="BG338" s="19">
        <v>0.78466076696165188</v>
      </c>
      <c r="BH338" s="16">
        <v>145</v>
      </c>
      <c r="BI338" s="16">
        <v>198</v>
      </c>
      <c r="BJ338" s="21">
        <v>0.73232323232323238</v>
      </c>
    </row>
    <row r="339" spans="1:62" x14ac:dyDescent="0.25">
      <c r="E339" t="s">
        <v>68</v>
      </c>
      <c r="F339" s="32">
        <v>173</v>
      </c>
      <c r="G339" s="29">
        <v>111</v>
      </c>
      <c r="H339" s="30">
        <v>22</v>
      </c>
      <c r="I339" s="30">
        <v>133</v>
      </c>
      <c r="J339" s="31">
        <v>0</v>
      </c>
      <c r="K339" s="29">
        <v>0</v>
      </c>
      <c r="L339" s="30">
        <v>5</v>
      </c>
      <c r="M339" s="30">
        <v>8</v>
      </c>
      <c r="N339" s="30">
        <v>0</v>
      </c>
      <c r="O339" s="30">
        <v>9</v>
      </c>
      <c r="P339" s="30">
        <v>0</v>
      </c>
      <c r="Q339" s="30">
        <v>2</v>
      </c>
      <c r="R339" s="31">
        <v>16</v>
      </c>
      <c r="S339" s="32">
        <v>11</v>
      </c>
      <c r="T339" s="29">
        <v>6</v>
      </c>
      <c r="U339" s="30">
        <v>1</v>
      </c>
      <c r="V339" s="30">
        <v>1</v>
      </c>
      <c r="W339" s="30">
        <v>3</v>
      </c>
      <c r="X339" s="31">
        <v>1</v>
      </c>
      <c r="Y339" s="29">
        <v>367</v>
      </c>
      <c r="Z339" s="31">
        <v>97</v>
      </c>
      <c r="AA339" s="29">
        <v>331</v>
      </c>
      <c r="AB339" s="31">
        <v>90</v>
      </c>
      <c r="AC339" s="29">
        <v>338</v>
      </c>
      <c r="AD339">
        <v>90</v>
      </c>
      <c r="AE339" s="29">
        <v>57</v>
      </c>
      <c r="AF339" s="30">
        <v>22</v>
      </c>
      <c r="AG339" s="31">
        <v>42</v>
      </c>
      <c r="AH339" s="136">
        <v>-9.8092643051771122E-2</v>
      </c>
      <c r="AI339" s="33">
        <v>-7.901907356948229E-2</v>
      </c>
      <c r="AJ339" s="33">
        <v>2.1148036253776436E-2</v>
      </c>
      <c r="AK339" s="33">
        <v>-7.2164948453608241E-2</v>
      </c>
      <c r="AL339" s="33">
        <v>-7.2164948453608241E-2</v>
      </c>
      <c r="AM339" s="33">
        <v>0</v>
      </c>
      <c r="AN339" s="34">
        <v>3.045045045045045</v>
      </c>
      <c r="AO339" s="33">
        <v>0.81081081081081086</v>
      </c>
      <c r="AP339" s="33">
        <v>0.1981981981981982</v>
      </c>
      <c r="AQ339" s="33">
        <v>0.3783783783783784</v>
      </c>
      <c r="AR339" s="35">
        <v>0.12598425196850394</v>
      </c>
      <c r="AS339" s="251">
        <f t="shared" si="10"/>
        <v>9.90990990990991E-2</v>
      </c>
      <c r="AT339" s="252">
        <f t="shared" si="11"/>
        <v>4.5045045045045043E-2</v>
      </c>
      <c r="AU339" s="29">
        <v>206</v>
      </c>
      <c r="AV339" s="30">
        <v>218</v>
      </c>
      <c r="AW339" s="31">
        <v>197</v>
      </c>
      <c r="AX339" s="136">
        <v>5.8252427184466021E-2</v>
      </c>
      <c r="AY339" s="33">
        <v>-4.3689320388349516E-2</v>
      </c>
      <c r="AZ339" s="35">
        <v>-9.6330275229357804E-2</v>
      </c>
      <c r="BA339" s="29">
        <v>10</v>
      </c>
      <c r="BB339" s="31">
        <v>11</v>
      </c>
      <c r="BC339" s="29">
        <v>2</v>
      </c>
      <c r="BD339" s="31">
        <v>2</v>
      </c>
      <c r="BE339" s="29">
        <v>266</v>
      </c>
      <c r="BF339" s="30">
        <v>338</v>
      </c>
      <c r="BG339" s="33">
        <v>0.78698224852071008</v>
      </c>
      <c r="BH339" s="30">
        <v>145</v>
      </c>
      <c r="BI339" s="30">
        <v>197</v>
      </c>
      <c r="BJ339" s="35">
        <v>0.73604060913705582</v>
      </c>
    </row>
    <row r="340" spans="1:62" x14ac:dyDescent="0.25">
      <c r="A340" s="132"/>
      <c r="B340" s="132"/>
      <c r="C340" s="132" t="s">
        <v>87</v>
      </c>
      <c r="D340" s="132"/>
      <c r="E340" s="132"/>
      <c r="F340" s="18">
        <v>86</v>
      </c>
      <c r="G340" s="15">
        <v>71</v>
      </c>
      <c r="H340" s="16">
        <v>2</v>
      </c>
      <c r="I340" s="16">
        <v>70</v>
      </c>
      <c r="J340" s="17">
        <v>3</v>
      </c>
      <c r="K340" s="15">
        <v>0</v>
      </c>
      <c r="L340" s="16">
        <v>1</v>
      </c>
      <c r="M340" s="16">
        <v>2</v>
      </c>
      <c r="N340" s="16">
        <v>1</v>
      </c>
      <c r="O340" s="16">
        <v>4</v>
      </c>
      <c r="P340" s="16">
        <v>0</v>
      </c>
      <c r="Q340" s="16">
        <v>2</v>
      </c>
      <c r="R340" s="17">
        <v>3</v>
      </c>
      <c r="S340" s="18">
        <v>3</v>
      </c>
      <c r="T340" s="15">
        <v>3</v>
      </c>
      <c r="U340" s="16">
        <v>0</v>
      </c>
      <c r="V340" s="16">
        <v>1</v>
      </c>
      <c r="W340" s="16">
        <v>1</v>
      </c>
      <c r="X340" s="17">
        <v>1</v>
      </c>
      <c r="Y340" s="15">
        <v>76</v>
      </c>
      <c r="Z340" s="17">
        <v>24</v>
      </c>
      <c r="AA340" s="15">
        <v>80</v>
      </c>
      <c r="AB340" s="17">
        <v>25</v>
      </c>
      <c r="AC340" s="15">
        <v>75</v>
      </c>
      <c r="AD340" s="132">
        <v>22</v>
      </c>
      <c r="AE340" s="15">
        <v>61</v>
      </c>
      <c r="AF340" s="16">
        <v>50</v>
      </c>
      <c r="AG340" s="17">
        <v>13</v>
      </c>
      <c r="AH340" s="133">
        <v>5.2631578947368418E-2</v>
      </c>
      <c r="AI340" s="19">
        <v>-1.3157894736842105E-2</v>
      </c>
      <c r="AJ340" s="19">
        <v>-6.25E-2</v>
      </c>
      <c r="AK340" s="19">
        <v>4.1666666666666664E-2</v>
      </c>
      <c r="AL340" s="19">
        <v>-8.3333333333333329E-2</v>
      </c>
      <c r="AM340" s="19">
        <v>-0.12</v>
      </c>
      <c r="AN340" s="20">
        <v>1.056338028169014</v>
      </c>
      <c r="AO340" s="19">
        <v>0.30985915492957744</v>
      </c>
      <c r="AP340" s="19">
        <v>0.70422535211267601</v>
      </c>
      <c r="AQ340" s="19">
        <v>0.18309859154929578</v>
      </c>
      <c r="AR340" s="21">
        <v>4.0540540540540543E-2</v>
      </c>
      <c r="AS340" s="247">
        <f t="shared" si="10"/>
        <v>4.2253521126760563E-2</v>
      </c>
      <c r="AT340" s="248">
        <f t="shared" si="11"/>
        <v>0</v>
      </c>
      <c r="AU340" s="15">
        <v>59</v>
      </c>
      <c r="AV340" s="16">
        <v>55</v>
      </c>
      <c r="AW340" s="17">
        <v>55</v>
      </c>
      <c r="AX340" s="133">
        <v>-6.7796610169491525E-2</v>
      </c>
      <c r="AY340" s="19">
        <v>-6.7796610169491525E-2</v>
      </c>
      <c r="AZ340" s="21">
        <v>0</v>
      </c>
      <c r="BA340" s="15">
        <v>11</v>
      </c>
      <c r="BB340" s="17">
        <v>11</v>
      </c>
      <c r="BC340" s="15">
        <v>2</v>
      </c>
      <c r="BD340" s="17">
        <v>2</v>
      </c>
      <c r="BE340" s="15">
        <v>52</v>
      </c>
      <c r="BF340" s="16">
        <v>75</v>
      </c>
      <c r="BG340" s="19">
        <v>0.69333333333333336</v>
      </c>
      <c r="BH340" s="16">
        <v>37</v>
      </c>
      <c r="BI340" s="16">
        <v>55</v>
      </c>
      <c r="BJ340" s="21">
        <v>0.67272727272727273</v>
      </c>
    </row>
    <row r="341" spans="1:62" x14ac:dyDescent="0.25">
      <c r="E341" t="s">
        <v>68</v>
      </c>
      <c r="F341" s="32">
        <v>85</v>
      </c>
      <c r="G341" s="29">
        <v>70</v>
      </c>
      <c r="H341" s="30">
        <v>2</v>
      </c>
      <c r="I341" s="30">
        <v>69</v>
      </c>
      <c r="J341" s="31">
        <v>3</v>
      </c>
      <c r="K341" s="29">
        <v>0</v>
      </c>
      <c r="L341" s="30">
        <v>1</v>
      </c>
      <c r="M341" s="30">
        <v>2</v>
      </c>
      <c r="N341" s="30">
        <v>1</v>
      </c>
      <c r="O341" s="30">
        <v>4</v>
      </c>
      <c r="P341" s="30">
        <v>0</v>
      </c>
      <c r="Q341" s="30">
        <v>2</v>
      </c>
      <c r="R341" s="31">
        <v>3</v>
      </c>
      <c r="S341" s="32">
        <v>2</v>
      </c>
      <c r="T341" s="29">
        <v>3</v>
      </c>
      <c r="U341" s="30">
        <v>0</v>
      </c>
      <c r="V341" s="30">
        <v>1</v>
      </c>
      <c r="W341" s="30">
        <v>1</v>
      </c>
      <c r="X341" s="31">
        <v>1</v>
      </c>
      <c r="Y341" s="29">
        <v>76</v>
      </c>
      <c r="Z341" s="31">
        <v>24</v>
      </c>
      <c r="AA341" s="29">
        <v>80</v>
      </c>
      <c r="AB341" s="31">
        <v>25</v>
      </c>
      <c r="AC341" s="29">
        <v>75</v>
      </c>
      <c r="AD341">
        <v>22</v>
      </c>
      <c r="AE341" s="29">
        <v>60</v>
      </c>
      <c r="AF341" s="30">
        <v>49</v>
      </c>
      <c r="AG341" s="31">
        <v>13</v>
      </c>
      <c r="AH341" s="136">
        <v>5.2631578947368418E-2</v>
      </c>
      <c r="AI341" s="33">
        <v>-1.3157894736842105E-2</v>
      </c>
      <c r="AJ341" s="33">
        <v>-6.25E-2</v>
      </c>
      <c r="AK341" s="33">
        <v>4.1666666666666664E-2</v>
      </c>
      <c r="AL341" s="33">
        <v>-8.3333333333333329E-2</v>
      </c>
      <c r="AM341" s="33">
        <v>-0.12</v>
      </c>
      <c r="AN341" s="34">
        <v>1.0714285714285714</v>
      </c>
      <c r="AO341" s="33">
        <v>0.31428571428571428</v>
      </c>
      <c r="AP341" s="33">
        <v>0.7</v>
      </c>
      <c r="AQ341" s="33">
        <v>0.18571428571428572</v>
      </c>
      <c r="AR341" s="35">
        <v>4.1095890410958902E-2</v>
      </c>
      <c r="AS341" s="251">
        <f t="shared" si="10"/>
        <v>2.8571428571428571E-2</v>
      </c>
      <c r="AT341" s="252">
        <f t="shared" si="11"/>
        <v>-1.4285714285714285E-2</v>
      </c>
      <c r="AU341" s="29">
        <v>59</v>
      </c>
      <c r="AV341" s="30">
        <v>55</v>
      </c>
      <c r="AW341" s="31">
        <v>55</v>
      </c>
      <c r="AX341" s="136">
        <v>-6.7796610169491525E-2</v>
      </c>
      <c r="AY341" s="33">
        <v>-6.7796610169491525E-2</v>
      </c>
      <c r="AZ341" s="35">
        <v>0</v>
      </c>
      <c r="BA341" s="29">
        <v>11</v>
      </c>
      <c r="BB341" s="31">
        <v>11</v>
      </c>
      <c r="BC341" s="29">
        <v>2</v>
      </c>
      <c r="BD341" s="31">
        <v>2</v>
      </c>
      <c r="BE341" s="29">
        <v>52</v>
      </c>
      <c r="BF341" s="30">
        <v>75</v>
      </c>
      <c r="BG341" s="33">
        <v>0.69333333333333336</v>
      </c>
      <c r="BH341" s="30">
        <v>37</v>
      </c>
      <c r="BI341" s="30">
        <v>55</v>
      </c>
      <c r="BJ341" s="35">
        <v>0.67272727272727273</v>
      </c>
    </row>
    <row r="342" spans="1:62" x14ac:dyDescent="0.25">
      <c r="A342" s="132"/>
      <c r="B342" s="132"/>
      <c r="C342" s="132" t="s">
        <v>89</v>
      </c>
      <c r="D342" s="132"/>
      <c r="E342" s="132"/>
      <c r="F342" s="18">
        <v>131</v>
      </c>
      <c r="G342" s="15">
        <v>120</v>
      </c>
      <c r="H342" s="16">
        <v>0</v>
      </c>
      <c r="I342" s="16">
        <v>120</v>
      </c>
      <c r="J342" s="17">
        <v>0</v>
      </c>
      <c r="K342" s="15">
        <v>0</v>
      </c>
      <c r="L342" s="16">
        <v>1</v>
      </c>
      <c r="M342" s="16">
        <v>4</v>
      </c>
      <c r="N342" s="16">
        <v>1</v>
      </c>
      <c r="O342" s="16">
        <v>0</v>
      </c>
      <c r="P342" s="16">
        <v>0</v>
      </c>
      <c r="Q342" s="16">
        <v>0</v>
      </c>
      <c r="R342" s="17">
        <v>5</v>
      </c>
      <c r="S342" s="18">
        <v>9</v>
      </c>
      <c r="T342" s="15">
        <v>3</v>
      </c>
      <c r="U342" s="16">
        <v>0</v>
      </c>
      <c r="V342" s="16">
        <v>0</v>
      </c>
      <c r="W342" s="16">
        <v>3</v>
      </c>
      <c r="X342" s="17">
        <v>0</v>
      </c>
      <c r="Y342" s="15">
        <v>266</v>
      </c>
      <c r="Z342" s="17">
        <v>93</v>
      </c>
      <c r="AA342" s="15">
        <v>311</v>
      </c>
      <c r="AB342" s="17">
        <v>94</v>
      </c>
      <c r="AC342" s="15">
        <v>372</v>
      </c>
      <c r="AD342" s="132">
        <v>104</v>
      </c>
      <c r="AE342" s="15">
        <v>26</v>
      </c>
      <c r="AF342" s="16">
        <v>5</v>
      </c>
      <c r="AG342" s="17">
        <v>42</v>
      </c>
      <c r="AH342" s="133">
        <v>0.16917293233082706</v>
      </c>
      <c r="AI342" s="19">
        <v>0.39849624060150374</v>
      </c>
      <c r="AJ342" s="19">
        <v>0.19614147909967847</v>
      </c>
      <c r="AK342" s="19">
        <v>1.0752688172043012E-2</v>
      </c>
      <c r="AL342" s="19">
        <v>0.11827956989247312</v>
      </c>
      <c r="AM342" s="19">
        <v>0.10638297872340426</v>
      </c>
      <c r="AN342" s="20">
        <v>3.1</v>
      </c>
      <c r="AO342" s="19">
        <v>0.8666666666666667</v>
      </c>
      <c r="AP342" s="19">
        <v>4.1666666666666664E-2</v>
      </c>
      <c r="AQ342" s="19">
        <v>0.35</v>
      </c>
      <c r="AR342" s="21">
        <v>0.04</v>
      </c>
      <c r="AS342" s="247">
        <f t="shared" si="10"/>
        <v>7.4999999999999997E-2</v>
      </c>
      <c r="AT342" s="248">
        <f t="shared" si="11"/>
        <v>0.05</v>
      </c>
      <c r="AU342" s="15">
        <v>152</v>
      </c>
      <c r="AV342" s="16">
        <v>190</v>
      </c>
      <c r="AW342" s="17">
        <v>204</v>
      </c>
      <c r="AX342" s="133">
        <v>0.25</v>
      </c>
      <c r="AY342" s="19">
        <v>0.34210526315789475</v>
      </c>
      <c r="AZ342" s="21">
        <v>7.3684210526315783E-2</v>
      </c>
      <c r="BA342" s="15">
        <v>12</v>
      </c>
      <c r="BB342" s="17">
        <v>11.5</v>
      </c>
      <c r="BC342" s="15">
        <v>3</v>
      </c>
      <c r="BD342" s="17">
        <v>3</v>
      </c>
      <c r="BE342" s="15">
        <v>243</v>
      </c>
      <c r="BF342" s="16">
        <v>372</v>
      </c>
      <c r="BG342" s="19">
        <v>0.65322580645161288</v>
      </c>
      <c r="BH342" s="16">
        <v>132</v>
      </c>
      <c r="BI342" s="16">
        <v>204</v>
      </c>
      <c r="BJ342" s="21">
        <v>0.6470588235294118</v>
      </c>
    </row>
    <row r="343" spans="1:62" x14ac:dyDescent="0.25">
      <c r="E343" t="s">
        <v>68</v>
      </c>
      <c r="F343" s="32">
        <v>129</v>
      </c>
      <c r="G343" s="29">
        <v>119</v>
      </c>
      <c r="H343" s="30">
        <v>0</v>
      </c>
      <c r="I343" s="30">
        <v>119</v>
      </c>
      <c r="J343" s="31">
        <v>0</v>
      </c>
      <c r="K343" s="29">
        <v>0</v>
      </c>
      <c r="L343" s="30">
        <v>0</v>
      </c>
      <c r="M343" s="30">
        <v>4</v>
      </c>
      <c r="N343" s="30">
        <v>1</v>
      </c>
      <c r="O343" s="30">
        <v>0</v>
      </c>
      <c r="P343" s="30">
        <v>0</v>
      </c>
      <c r="Q343" s="30">
        <v>0</v>
      </c>
      <c r="R343" s="31">
        <v>5</v>
      </c>
      <c r="S343" s="32">
        <v>8</v>
      </c>
      <c r="T343" s="29">
        <v>3</v>
      </c>
      <c r="U343" s="30">
        <v>0</v>
      </c>
      <c r="V343" s="30">
        <v>0</v>
      </c>
      <c r="W343" s="30">
        <v>3</v>
      </c>
      <c r="X343" s="31">
        <v>0</v>
      </c>
      <c r="Y343" s="29">
        <v>266</v>
      </c>
      <c r="Z343" s="31">
        <v>93</v>
      </c>
      <c r="AA343" s="29">
        <v>310</v>
      </c>
      <c r="AB343" s="31">
        <v>93</v>
      </c>
      <c r="AC343" s="29">
        <v>372</v>
      </c>
      <c r="AD343">
        <v>104</v>
      </c>
      <c r="AE343" s="29">
        <v>25</v>
      </c>
      <c r="AF343" s="30">
        <v>5</v>
      </c>
      <c r="AG343" s="31">
        <v>42</v>
      </c>
      <c r="AH343" s="136">
        <v>0.16541353383458646</v>
      </c>
      <c r="AI343" s="33">
        <v>0.39849624060150374</v>
      </c>
      <c r="AJ343" s="33">
        <v>0.2</v>
      </c>
      <c r="AK343" s="33">
        <v>0</v>
      </c>
      <c r="AL343" s="33">
        <v>0.11827956989247312</v>
      </c>
      <c r="AM343" s="33">
        <v>0.11827956989247312</v>
      </c>
      <c r="AN343" s="34">
        <v>3.1260504201680672</v>
      </c>
      <c r="AO343" s="33">
        <v>0.87394957983193278</v>
      </c>
      <c r="AP343" s="33">
        <v>4.2016806722689079E-2</v>
      </c>
      <c r="AQ343" s="33">
        <v>0.35294117647058826</v>
      </c>
      <c r="AR343" s="35">
        <v>4.0322580645161289E-2</v>
      </c>
      <c r="AS343" s="251">
        <f t="shared" si="10"/>
        <v>6.7226890756302518E-2</v>
      </c>
      <c r="AT343" s="252">
        <f t="shared" si="11"/>
        <v>4.2016806722689079E-2</v>
      </c>
      <c r="AU343" s="29">
        <v>152</v>
      </c>
      <c r="AV343" s="30">
        <v>189</v>
      </c>
      <c r="AW343" s="31">
        <v>204</v>
      </c>
      <c r="AX343" s="136">
        <v>0.24342105263157895</v>
      </c>
      <c r="AY343" s="33">
        <v>0.34210526315789475</v>
      </c>
      <c r="AZ343" s="35">
        <v>7.9365079365079361E-2</v>
      </c>
      <c r="BA343" s="29">
        <v>12</v>
      </c>
      <c r="BB343" s="31">
        <v>11.5</v>
      </c>
      <c r="BC343" s="29">
        <v>3</v>
      </c>
      <c r="BD343" s="31">
        <v>3</v>
      </c>
      <c r="BE343" s="29">
        <v>243</v>
      </c>
      <c r="BF343" s="30">
        <v>372</v>
      </c>
      <c r="BG343" s="33">
        <v>0.65322580645161288</v>
      </c>
      <c r="BH343" s="30">
        <v>132</v>
      </c>
      <c r="BI343" s="30">
        <v>204</v>
      </c>
      <c r="BJ343" s="35">
        <v>0.6470588235294118</v>
      </c>
    </row>
    <row r="344" spans="1:62" x14ac:dyDescent="0.25">
      <c r="A344" s="132"/>
      <c r="B344" s="132"/>
      <c r="C344" s="132" t="s">
        <v>90</v>
      </c>
      <c r="D344" s="132"/>
      <c r="E344" s="132"/>
      <c r="F344" s="18">
        <v>129</v>
      </c>
      <c r="G344" s="15">
        <v>118</v>
      </c>
      <c r="H344" s="16">
        <v>0</v>
      </c>
      <c r="I344" s="16">
        <v>118</v>
      </c>
      <c r="J344" s="17">
        <v>0</v>
      </c>
      <c r="K344" s="15">
        <v>0</v>
      </c>
      <c r="L344" s="16">
        <v>1</v>
      </c>
      <c r="M344" s="16">
        <v>3</v>
      </c>
      <c r="N344" s="16">
        <v>0</v>
      </c>
      <c r="O344" s="16">
        <v>0</v>
      </c>
      <c r="P344" s="16">
        <v>0</v>
      </c>
      <c r="Q344" s="16">
        <v>2</v>
      </c>
      <c r="R344" s="17">
        <v>5</v>
      </c>
      <c r="S344" s="18">
        <v>2</v>
      </c>
      <c r="T344" s="15">
        <v>3</v>
      </c>
      <c r="U344" s="16">
        <v>0</v>
      </c>
      <c r="V344" s="16">
        <v>2</v>
      </c>
      <c r="W344" s="16">
        <v>1</v>
      </c>
      <c r="X344" s="17">
        <v>0</v>
      </c>
      <c r="Y344" s="15">
        <v>225</v>
      </c>
      <c r="Z344" s="17">
        <v>76</v>
      </c>
      <c r="AA344" s="15">
        <v>301</v>
      </c>
      <c r="AB344" s="17">
        <v>81</v>
      </c>
      <c r="AC344" s="15">
        <v>197</v>
      </c>
      <c r="AD344" s="132">
        <v>73</v>
      </c>
      <c r="AE344" s="15">
        <v>55</v>
      </c>
      <c r="AF344" s="16">
        <v>24</v>
      </c>
      <c r="AG344" s="17">
        <v>14</v>
      </c>
      <c r="AH344" s="133">
        <v>0.33777777777777779</v>
      </c>
      <c r="AI344" s="19">
        <v>-0.12444444444444444</v>
      </c>
      <c r="AJ344" s="19">
        <v>-0.34551495016611294</v>
      </c>
      <c r="AK344" s="19">
        <v>6.5789473684210523E-2</v>
      </c>
      <c r="AL344" s="19">
        <v>-3.9473684210526314E-2</v>
      </c>
      <c r="AM344" s="19">
        <v>-9.8765432098765427E-2</v>
      </c>
      <c r="AN344" s="20">
        <v>1.6694915254237288</v>
      </c>
      <c r="AO344" s="19">
        <v>0.61864406779661019</v>
      </c>
      <c r="AP344" s="19">
        <v>0.20338983050847459</v>
      </c>
      <c r="AQ344" s="19">
        <v>0.11864406779661017</v>
      </c>
      <c r="AR344" s="21">
        <v>4.065040650406504E-2</v>
      </c>
      <c r="AS344" s="247">
        <f t="shared" si="10"/>
        <v>1.6949152542372881E-2</v>
      </c>
      <c r="AT344" s="248">
        <f t="shared" si="11"/>
        <v>-8.4745762711864406E-3</v>
      </c>
      <c r="AU344" s="15">
        <v>162</v>
      </c>
      <c r="AV344" s="16">
        <v>189</v>
      </c>
      <c r="AW344" s="17">
        <v>138</v>
      </c>
      <c r="AX344" s="133">
        <v>0.16666666666666666</v>
      </c>
      <c r="AY344" s="19">
        <v>-0.14814814814814814</v>
      </c>
      <c r="AZ344" s="21">
        <v>-0.26984126984126983</v>
      </c>
      <c r="BA344" s="15">
        <v>12</v>
      </c>
      <c r="BB344" s="17">
        <v>12</v>
      </c>
      <c r="BC344" s="15">
        <v>3</v>
      </c>
      <c r="BD344" s="17">
        <v>3</v>
      </c>
      <c r="BE344" s="15">
        <v>136</v>
      </c>
      <c r="BF344" s="16">
        <v>197</v>
      </c>
      <c r="BG344" s="19">
        <v>0.69035532994923854</v>
      </c>
      <c r="BH344" s="16">
        <v>99</v>
      </c>
      <c r="BI344" s="16">
        <v>138</v>
      </c>
      <c r="BJ344" s="21">
        <v>0.71739130434782605</v>
      </c>
    </row>
    <row r="345" spans="1:62" x14ac:dyDescent="0.25">
      <c r="E345" t="s">
        <v>68</v>
      </c>
      <c r="F345" s="32">
        <v>128</v>
      </c>
      <c r="G345" s="29">
        <v>117</v>
      </c>
      <c r="H345" s="30">
        <v>0</v>
      </c>
      <c r="I345" s="30">
        <v>117</v>
      </c>
      <c r="J345" s="31">
        <v>0</v>
      </c>
      <c r="K345" s="29">
        <v>0</v>
      </c>
      <c r="L345" s="30">
        <v>1</v>
      </c>
      <c r="M345" s="30">
        <v>3</v>
      </c>
      <c r="N345" s="30">
        <v>0</v>
      </c>
      <c r="O345" s="30">
        <v>0</v>
      </c>
      <c r="P345" s="30">
        <v>0</v>
      </c>
      <c r="Q345" s="30">
        <v>2</v>
      </c>
      <c r="R345" s="31">
        <v>5</v>
      </c>
      <c r="S345" s="32">
        <v>2</v>
      </c>
      <c r="T345" s="29">
        <v>3</v>
      </c>
      <c r="U345" s="30">
        <v>0</v>
      </c>
      <c r="V345" s="30">
        <v>2</v>
      </c>
      <c r="W345" s="30">
        <v>1</v>
      </c>
      <c r="X345" s="31">
        <v>0</v>
      </c>
      <c r="Y345" s="29">
        <v>224</v>
      </c>
      <c r="Z345" s="31">
        <v>75</v>
      </c>
      <c r="AA345" s="29">
        <v>298</v>
      </c>
      <c r="AB345" s="31">
        <v>80</v>
      </c>
      <c r="AC345" s="29">
        <v>195</v>
      </c>
      <c r="AD345">
        <v>72</v>
      </c>
      <c r="AE345" s="29">
        <v>55</v>
      </c>
      <c r="AF345" s="30">
        <v>24</v>
      </c>
      <c r="AG345" s="31">
        <v>14</v>
      </c>
      <c r="AH345" s="136">
        <v>0.33035714285714285</v>
      </c>
      <c r="AI345" s="33">
        <v>-0.12946428571428573</v>
      </c>
      <c r="AJ345" s="33">
        <v>-0.34563758389261745</v>
      </c>
      <c r="AK345" s="33">
        <v>6.6666666666666666E-2</v>
      </c>
      <c r="AL345" s="33">
        <v>-0.04</v>
      </c>
      <c r="AM345" s="33">
        <v>-0.1</v>
      </c>
      <c r="AN345" s="34">
        <v>1.6666666666666667</v>
      </c>
      <c r="AO345" s="33">
        <v>0.61538461538461542</v>
      </c>
      <c r="AP345" s="33">
        <v>0.20512820512820512</v>
      </c>
      <c r="AQ345" s="33">
        <v>0.11965811965811966</v>
      </c>
      <c r="AR345" s="35">
        <v>4.0983606557377046E-2</v>
      </c>
      <c r="AS345" s="251">
        <f t="shared" si="10"/>
        <v>1.7094017094017096E-2</v>
      </c>
      <c r="AT345" s="252">
        <f t="shared" si="11"/>
        <v>-8.5470085470085479E-3</v>
      </c>
      <c r="AU345" s="29">
        <v>162</v>
      </c>
      <c r="AV345" s="30">
        <v>189</v>
      </c>
      <c r="AW345" s="31">
        <v>137</v>
      </c>
      <c r="AX345" s="136">
        <v>0.16666666666666666</v>
      </c>
      <c r="AY345" s="33">
        <v>-0.15432098765432098</v>
      </c>
      <c r="AZ345" s="35">
        <v>-0.27513227513227512</v>
      </c>
      <c r="BA345" s="29">
        <v>12</v>
      </c>
      <c r="BB345" s="31">
        <v>11.5</v>
      </c>
      <c r="BC345" s="29">
        <v>3</v>
      </c>
      <c r="BD345" s="31">
        <v>3</v>
      </c>
      <c r="BE345" s="29">
        <v>135</v>
      </c>
      <c r="BF345" s="30">
        <v>195</v>
      </c>
      <c r="BG345" s="33">
        <v>0.69230769230769229</v>
      </c>
      <c r="BH345" s="30">
        <v>99</v>
      </c>
      <c r="BI345" s="30">
        <v>137</v>
      </c>
      <c r="BJ345" s="35">
        <v>0.72262773722627738</v>
      </c>
    </row>
    <row r="346" spans="1:62" x14ac:dyDescent="0.25">
      <c r="A346" s="132"/>
      <c r="B346" s="132"/>
      <c r="C346" s="132" t="s">
        <v>91</v>
      </c>
      <c r="D346" s="132"/>
      <c r="E346" s="132"/>
      <c r="F346" s="18">
        <v>811</v>
      </c>
      <c r="G346" s="15">
        <v>668</v>
      </c>
      <c r="H346" s="16">
        <v>3</v>
      </c>
      <c r="I346" s="16">
        <v>665</v>
      </c>
      <c r="J346" s="17">
        <v>6</v>
      </c>
      <c r="K346" s="15">
        <v>0</v>
      </c>
      <c r="L346" s="16">
        <v>22</v>
      </c>
      <c r="M346" s="16">
        <v>22</v>
      </c>
      <c r="N346" s="16">
        <v>1</v>
      </c>
      <c r="O346" s="16">
        <v>1</v>
      </c>
      <c r="P346" s="16">
        <v>0</v>
      </c>
      <c r="Q346" s="16">
        <v>4</v>
      </c>
      <c r="R346" s="17">
        <v>89</v>
      </c>
      <c r="S346" s="18">
        <v>51</v>
      </c>
      <c r="T346" s="15">
        <v>20</v>
      </c>
      <c r="U346" s="16">
        <v>2</v>
      </c>
      <c r="V346" s="16">
        <v>1</v>
      </c>
      <c r="W346" s="16">
        <v>15</v>
      </c>
      <c r="X346" s="17">
        <v>2</v>
      </c>
      <c r="Y346" s="15">
        <v>2408</v>
      </c>
      <c r="Z346" s="17">
        <v>568</v>
      </c>
      <c r="AA346" s="15">
        <v>2392</v>
      </c>
      <c r="AB346" s="17">
        <v>548</v>
      </c>
      <c r="AC346" s="15">
        <v>2337</v>
      </c>
      <c r="AD346" s="132">
        <v>558</v>
      </c>
      <c r="AE346" s="15">
        <v>225</v>
      </c>
      <c r="AF346" s="16">
        <v>91</v>
      </c>
      <c r="AG346" s="17">
        <v>304</v>
      </c>
      <c r="AH346" s="133">
        <v>-6.6445182724252493E-3</v>
      </c>
      <c r="AI346" s="19">
        <v>-2.9485049833887042E-2</v>
      </c>
      <c r="AJ346" s="19">
        <v>-2.2993311036789296E-2</v>
      </c>
      <c r="AK346" s="19">
        <v>-3.5211267605633804E-2</v>
      </c>
      <c r="AL346" s="19">
        <v>-1.7605633802816902E-2</v>
      </c>
      <c r="AM346" s="19">
        <v>1.824817518248175E-2</v>
      </c>
      <c r="AN346" s="20">
        <v>3.4985029940119761</v>
      </c>
      <c r="AO346" s="19">
        <v>0.83532934131736525</v>
      </c>
      <c r="AP346" s="19">
        <v>0.13622754491017963</v>
      </c>
      <c r="AQ346" s="19">
        <v>0.45508982035928142</v>
      </c>
      <c r="AR346" s="21">
        <v>0.11756935270805813</v>
      </c>
      <c r="AS346" s="247">
        <f t="shared" si="10"/>
        <v>7.6347305389221562E-2</v>
      </c>
      <c r="AT346" s="248">
        <f t="shared" si="11"/>
        <v>4.6407185628742513E-2</v>
      </c>
      <c r="AU346" s="15">
        <v>1111</v>
      </c>
      <c r="AV346" s="16">
        <v>1094</v>
      </c>
      <c r="AW346" s="17">
        <v>1054</v>
      </c>
      <c r="AX346" s="133">
        <v>-1.5301530153015301E-2</v>
      </c>
      <c r="AY346" s="19">
        <v>-5.1305130513051307E-2</v>
      </c>
      <c r="AZ346" s="21">
        <v>-3.6563071297989032E-2</v>
      </c>
      <c r="BA346" s="15">
        <v>11</v>
      </c>
      <c r="BB346" s="17">
        <v>11</v>
      </c>
      <c r="BC346" s="15">
        <v>2</v>
      </c>
      <c r="BD346" s="17">
        <v>2</v>
      </c>
      <c r="BE346" s="15">
        <v>1654</v>
      </c>
      <c r="BF346" s="16">
        <v>2337</v>
      </c>
      <c r="BG346" s="19">
        <v>0.70774497218656396</v>
      </c>
      <c r="BH346" s="16">
        <v>753</v>
      </c>
      <c r="BI346" s="16">
        <v>1054</v>
      </c>
      <c r="BJ346" s="21">
        <v>0.71442125237191656</v>
      </c>
    </row>
    <row r="347" spans="1:62" x14ac:dyDescent="0.25">
      <c r="E347" t="s">
        <v>68</v>
      </c>
      <c r="F347" s="32">
        <v>800</v>
      </c>
      <c r="G347" s="29">
        <v>658</v>
      </c>
      <c r="H347" s="30">
        <v>3</v>
      </c>
      <c r="I347" s="30">
        <v>656</v>
      </c>
      <c r="J347" s="31">
        <v>5</v>
      </c>
      <c r="K347" s="29">
        <v>0</v>
      </c>
      <c r="L347" s="30">
        <v>21</v>
      </c>
      <c r="M347" s="30">
        <v>22</v>
      </c>
      <c r="N347" s="30">
        <v>1</v>
      </c>
      <c r="O347" s="30">
        <v>1</v>
      </c>
      <c r="P347" s="30">
        <v>0</v>
      </c>
      <c r="Q347" s="30">
        <v>4</v>
      </c>
      <c r="R347" s="31">
        <v>89</v>
      </c>
      <c r="S347" s="32">
        <v>48</v>
      </c>
      <c r="T347" s="29">
        <v>20</v>
      </c>
      <c r="U347" s="30">
        <v>2</v>
      </c>
      <c r="V347" s="30">
        <v>1</v>
      </c>
      <c r="W347" s="30">
        <v>15</v>
      </c>
      <c r="X347" s="31">
        <v>2</v>
      </c>
      <c r="Y347" s="29">
        <v>2408</v>
      </c>
      <c r="Z347" s="31">
        <v>568</v>
      </c>
      <c r="AA347" s="29">
        <v>2392</v>
      </c>
      <c r="AB347" s="31">
        <v>548</v>
      </c>
      <c r="AC347" s="29">
        <v>2331</v>
      </c>
      <c r="AD347">
        <v>557</v>
      </c>
      <c r="AE347" s="29">
        <v>216</v>
      </c>
      <c r="AF347" s="30">
        <v>82</v>
      </c>
      <c r="AG347" s="31">
        <v>304</v>
      </c>
      <c r="AH347" s="136">
        <v>-6.6445182724252493E-3</v>
      </c>
      <c r="AI347" s="33">
        <v>-3.1976744186046513E-2</v>
      </c>
      <c r="AJ347" s="33">
        <v>-2.5501672240802676E-2</v>
      </c>
      <c r="AK347" s="33">
        <v>-3.5211267605633804E-2</v>
      </c>
      <c r="AL347" s="33">
        <v>-1.936619718309859E-2</v>
      </c>
      <c r="AM347" s="33">
        <v>1.6423357664233577E-2</v>
      </c>
      <c r="AN347" s="34">
        <v>3.5425531914893615</v>
      </c>
      <c r="AO347" s="33">
        <v>0.84650455927051671</v>
      </c>
      <c r="AP347" s="33">
        <v>0.12462006079027356</v>
      </c>
      <c r="AQ347" s="33">
        <v>0.46200607902735563</v>
      </c>
      <c r="AR347" s="35">
        <v>0.11914323962516733</v>
      </c>
      <c r="AS347" s="251">
        <f t="shared" si="10"/>
        <v>7.29483282674772E-2</v>
      </c>
      <c r="AT347" s="252">
        <f t="shared" si="11"/>
        <v>4.2553191489361701E-2</v>
      </c>
      <c r="AU347" s="29">
        <v>1111</v>
      </c>
      <c r="AV347" s="30">
        <v>1094</v>
      </c>
      <c r="AW347" s="31">
        <v>1051</v>
      </c>
      <c r="AX347" s="136">
        <v>-1.5301530153015301E-2</v>
      </c>
      <c r="AY347" s="33">
        <v>-5.4005400540054004E-2</v>
      </c>
      <c r="AZ347" s="35">
        <v>-3.9305301645338207E-2</v>
      </c>
      <c r="BA347" s="29">
        <v>11</v>
      </c>
      <c r="BB347" s="31">
        <v>11</v>
      </c>
      <c r="BC347" s="29">
        <v>2</v>
      </c>
      <c r="BD347" s="31">
        <v>2</v>
      </c>
      <c r="BE347" s="29">
        <v>1651</v>
      </c>
      <c r="BF347" s="30">
        <v>2331</v>
      </c>
      <c r="BG347" s="33">
        <v>0.70827970827970832</v>
      </c>
      <c r="BH347" s="30">
        <v>751</v>
      </c>
      <c r="BI347" s="30">
        <v>1051</v>
      </c>
      <c r="BJ347" s="35">
        <v>0.71455756422454808</v>
      </c>
    </row>
    <row r="348" spans="1:62" x14ac:dyDescent="0.25">
      <c r="A348" s="132"/>
      <c r="B348" s="132"/>
      <c r="C348" s="132" t="s">
        <v>92</v>
      </c>
      <c r="D348" s="132"/>
      <c r="E348" s="132"/>
      <c r="F348" s="18">
        <v>1170</v>
      </c>
      <c r="G348" s="15">
        <v>955</v>
      </c>
      <c r="H348" s="16">
        <v>4</v>
      </c>
      <c r="I348" s="16">
        <v>953</v>
      </c>
      <c r="J348" s="17">
        <v>6</v>
      </c>
      <c r="K348" s="15">
        <v>0</v>
      </c>
      <c r="L348" s="16">
        <v>38</v>
      </c>
      <c r="M348" s="16">
        <v>38</v>
      </c>
      <c r="N348" s="16">
        <v>0</v>
      </c>
      <c r="O348" s="16">
        <v>5</v>
      </c>
      <c r="P348" s="16">
        <v>0</v>
      </c>
      <c r="Q348" s="16">
        <v>3</v>
      </c>
      <c r="R348" s="17">
        <v>126</v>
      </c>
      <c r="S348" s="18">
        <v>83</v>
      </c>
      <c r="T348" s="15">
        <v>119</v>
      </c>
      <c r="U348" s="16">
        <v>1</v>
      </c>
      <c r="V348" s="16">
        <v>3</v>
      </c>
      <c r="W348" s="16">
        <v>19</v>
      </c>
      <c r="X348" s="17">
        <v>96</v>
      </c>
      <c r="Y348" s="15">
        <v>3303</v>
      </c>
      <c r="Z348" s="17">
        <v>898</v>
      </c>
      <c r="AA348" s="15">
        <v>3299</v>
      </c>
      <c r="AB348" s="17">
        <v>887</v>
      </c>
      <c r="AC348" s="15">
        <v>3552</v>
      </c>
      <c r="AD348" s="132">
        <v>865</v>
      </c>
      <c r="AE348" s="15">
        <v>270</v>
      </c>
      <c r="AF348" s="16">
        <v>120</v>
      </c>
      <c r="AG348" s="17">
        <v>405</v>
      </c>
      <c r="AH348" s="133">
        <v>-1.2110202845897668E-3</v>
      </c>
      <c r="AI348" s="19">
        <v>7.5386012715712991E-2</v>
      </c>
      <c r="AJ348" s="19">
        <v>7.6689906032130953E-2</v>
      </c>
      <c r="AK348" s="19">
        <v>-1.2249443207126948E-2</v>
      </c>
      <c r="AL348" s="19">
        <v>-3.6748329621380846E-2</v>
      </c>
      <c r="AM348" s="19">
        <v>-2.480270574971815E-2</v>
      </c>
      <c r="AN348" s="20">
        <v>3.7193717277486913</v>
      </c>
      <c r="AO348" s="19">
        <v>0.90575916230366493</v>
      </c>
      <c r="AP348" s="19">
        <v>0.1256544502617801</v>
      </c>
      <c r="AQ348" s="19">
        <v>0.42408376963350786</v>
      </c>
      <c r="AR348" s="21">
        <v>0.11655874190564293</v>
      </c>
      <c r="AS348" s="247">
        <f t="shared" si="10"/>
        <v>8.6910994764397911E-2</v>
      </c>
      <c r="AT348" s="248">
        <f t="shared" si="11"/>
        <v>-3.7696335078534031E-2</v>
      </c>
      <c r="AU348" s="15">
        <v>1176</v>
      </c>
      <c r="AV348" s="16">
        <v>1268</v>
      </c>
      <c r="AW348" s="17">
        <v>1237</v>
      </c>
      <c r="AX348" s="133">
        <v>7.8231292517006806E-2</v>
      </c>
      <c r="AY348" s="19">
        <v>5.187074829931973E-2</v>
      </c>
      <c r="AZ348" s="21">
        <v>-2.4447949526813881E-2</v>
      </c>
      <c r="BA348" s="15">
        <v>10</v>
      </c>
      <c r="BB348" s="17">
        <v>11</v>
      </c>
      <c r="BC348" s="15">
        <v>2</v>
      </c>
      <c r="BD348" s="17">
        <v>2</v>
      </c>
      <c r="BE348" s="15">
        <v>2610</v>
      </c>
      <c r="BF348" s="16">
        <v>3552</v>
      </c>
      <c r="BG348" s="19">
        <v>0.73479729729729726</v>
      </c>
      <c r="BH348" s="16">
        <v>909</v>
      </c>
      <c r="BI348" s="16">
        <v>1237</v>
      </c>
      <c r="BJ348" s="21">
        <v>0.73484236054971708</v>
      </c>
    </row>
    <row r="349" spans="1:62" x14ac:dyDescent="0.25">
      <c r="E349" t="s">
        <v>68</v>
      </c>
      <c r="F349" s="32">
        <v>1162</v>
      </c>
      <c r="G349" s="29">
        <v>950</v>
      </c>
      <c r="H349" s="30">
        <v>4</v>
      </c>
      <c r="I349" s="30">
        <v>948</v>
      </c>
      <c r="J349" s="31">
        <v>6</v>
      </c>
      <c r="K349" s="29">
        <v>0</v>
      </c>
      <c r="L349" s="30">
        <v>36</v>
      </c>
      <c r="M349" s="30">
        <v>38</v>
      </c>
      <c r="N349" s="30">
        <v>0</v>
      </c>
      <c r="O349" s="30">
        <v>4</v>
      </c>
      <c r="P349" s="30">
        <v>0</v>
      </c>
      <c r="Q349" s="30">
        <v>3</v>
      </c>
      <c r="R349" s="31">
        <v>126</v>
      </c>
      <c r="S349" s="32">
        <v>78</v>
      </c>
      <c r="T349" s="29">
        <v>119</v>
      </c>
      <c r="U349" s="30">
        <v>1</v>
      </c>
      <c r="V349" s="30">
        <v>3</v>
      </c>
      <c r="W349" s="30">
        <v>19</v>
      </c>
      <c r="X349" s="31">
        <v>96</v>
      </c>
      <c r="Y349" s="29">
        <v>3301</v>
      </c>
      <c r="Z349" s="31">
        <v>897</v>
      </c>
      <c r="AA349" s="29">
        <v>3298</v>
      </c>
      <c r="AB349" s="31">
        <v>886</v>
      </c>
      <c r="AC349" s="29">
        <v>3533</v>
      </c>
      <c r="AD349">
        <v>862</v>
      </c>
      <c r="AE349" s="29">
        <v>267</v>
      </c>
      <c r="AF349" s="30">
        <v>117</v>
      </c>
      <c r="AG349" s="31">
        <v>402</v>
      </c>
      <c r="AH349" s="136">
        <v>-9.0881551045137842E-4</v>
      </c>
      <c r="AI349" s="33">
        <v>7.0281732808239933E-2</v>
      </c>
      <c r="AJ349" s="33">
        <v>7.1255306246209821E-2</v>
      </c>
      <c r="AK349" s="33">
        <v>-1.2263099219620958E-2</v>
      </c>
      <c r="AL349" s="33">
        <v>-3.901895206243032E-2</v>
      </c>
      <c r="AM349" s="33">
        <v>-2.7088036117381489E-2</v>
      </c>
      <c r="AN349" s="34">
        <v>3.7189473684210528</v>
      </c>
      <c r="AO349" s="33">
        <v>0.9073684210526316</v>
      </c>
      <c r="AP349" s="33">
        <v>0.12315789473684211</v>
      </c>
      <c r="AQ349" s="33">
        <v>0.42315789473684212</v>
      </c>
      <c r="AR349" s="35">
        <v>0.1171003717472119</v>
      </c>
      <c r="AS349" s="251">
        <f t="shared" si="10"/>
        <v>8.2105263157894737E-2</v>
      </c>
      <c r="AT349" s="252">
        <f t="shared" si="11"/>
        <v>-4.3157894736842103E-2</v>
      </c>
      <c r="AU349" s="29">
        <v>1175</v>
      </c>
      <c r="AV349" s="30">
        <v>1268</v>
      </c>
      <c r="AW349" s="31">
        <v>1234</v>
      </c>
      <c r="AX349" s="136">
        <v>7.9148936170212764E-2</v>
      </c>
      <c r="AY349" s="33">
        <v>5.0212765957446809E-2</v>
      </c>
      <c r="AZ349" s="35">
        <v>-2.6813880126182965E-2</v>
      </c>
      <c r="BA349" s="29">
        <v>10</v>
      </c>
      <c r="BB349" s="31">
        <v>11</v>
      </c>
      <c r="BC349" s="29">
        <v>2</v>
      </c>
      <c r="BD349" s="31">
        <v>2</v>
      </c>
      <c r="BE349" s="29">
        <v>2597</v>
      </c>
      <c r="BF349" s="30">
        <v>3533</v>
      </c>
      <c r="BG349" s="33">
        <v>0.73506934616473252</v>
      </c>
      <c r="BH349" s="30">
        <v>907</v>
      </c>
      <c r="BI349" s="30">
        <v>1234</v>
      </c>
      <c r="BJ349" s="35">
        <v>0.73500810372771475</v>
      </c>
    </row>
    <row r="350" spans="1:62" x14ac:dyDescent="0.25">
      <c r="A350" s="132"/>
      <c r="B350" s="132"/>
      <c r="C350" s="132" t="s">
        <v>93</v>
      </c>
      <c r="D350" s="132"/>
      <c r="E350" s="132"/>
      <c r="F350" s="18">
        <v>465</v>
      </c>
      <c r="G350" s="15">
        <v>411</v>
      </c>
      <c r="H350" s="16">
        <v>5</v>
      </c>
      <c r="I350" s="16">
        <v>404</v>
      </c>
      <c r="J350" s="17">
        <v>12</v>
      </c>
      <c r="K350" s="15">
        <v>0</v>
      </c>
      <c r="L350" s="16">
        <v>11</v>
      </c>
      <c r="M350" s="16">
        <v>4</v>
      </c>
      <c r="N350" s="16">
        <v>2</v>
      </c>
      <c r="O350" s="16">
        <v>5</v>
      </c>
      <c r="P350" s="16">
        <v>0</v>
      </c>
      <c r="Q350" s="16">
        <v>2</v>
      </c>
      <c r="R350" s="17">
        <v>25</v>
      </c>
      <c r="S350" s="18">
        <v>22</v>
      </c>
      <c r="T350" s="15">
        <v>6</v>
      </c>
      <c r="U350" s="16">
        <v>1</v>
      </c>
      <c r="V350" s="16">
        <v>2</v>
      </c>
      <c r="W350" s="16">
        <v>1</v>
      </c>
      <c r="X350" s="17">
        <v>2</v>
      </c>
      <c r="Y350" s="15">
        <v>637</v>
      </c>
      <c r="Z350" s="17">
        <v>227</v>
      </c>
      <c r="AA350" s="15">
        <v>774</v>
      </c>
      <c r="AB350" s="17">
        <v>246</v>
      </c>
      <c r="AC350" s="15">
        <v>679</v>
      </c>
      <c r="AD350" s="132">
        <v>247</v>
      </c>
      <c r="AE350" s="15">
        <v>202</v>
      </c>
      <c r="AF350" s="16">
        <v>100</v>
      </c>
      <c r="AG350" s="17">
        <v>72</v>
      </c>
      <c r="AH350" s="133">
        <v>0.21507064364207221</v>
      </c>
      <c r="AI350" s="19">
        <v>6.5934065934065936E-2</v>
      </c>
      <c r="AJ350" s="19">
        <v>-0.1227390180878553</v>
      </c>
      <c r="AK350" s="19">
        <v>8.3700440528634359E-2</v>
      </c>
      <c r="AL350" s="19">
        <v>8.8105726872246701E-2</v>
      </c>
      <c r="AM350" s="19">
        <v>4.0650406504065045E-3</v>
      </c>
      <c r="AN350" s="20">
        <v>1.6520681265206814</v>
      </c>
      <c r="AO350" s="19">
        <v>0.6009732360097324</v>
      </c>
      <c r="AP350" s="19">
        <v>0.24330900243309003</v>
      </c>
      <c r="AQ350" s="19">
        <v>0.17518248175182483</v>
      </c>
      <c r="AR350" s="21">
        <v>5.7339449541284407E-2</v>
      </c>
      <c r="AS350" s="247">
        <f t="shared" si="10"/>
        <v>5.3527980535279802E-2</v>
      </c>
      <c r="AT350" s="248">
        <f t="shared" si="11"/>
        <v>3.8929440389294405E-2</v>
      </c>
      <c r="AU350" s="15">
        <v>400</v>
      </c>
      <c r="AV350" s="16">
        <v>463</v>
      </c>
      <c r="AW350" s="17">
        <v>409</v>
      </c>
      <c r="AX350" s="133">
        <v>0.1575</v>
      </c>
      <c r="AY350" s="19">
        <v>2.2499999999999999E-2</v>
      </c>
      <c r="AZ350" s="21">
        <v>-0.11663066954643629</v>
      </c>
      <c r="BA350" s="15">
        <v>11.5</v>
      </c>
      <c r="BB350" s="17">
        <v>11</v>
      </c>
      <c r="BC350" s="15">
        <v>3</v>
      </c>
      <c r="BD350" s="17">
        <v>2</v>
      </c>
      <c r="BE350" s="15">
        <v>511</v>
      </c>
      <c r="BF350" s="16">
        <v>679</v>
      </c>
      <c r="BG350" s="19">
        <v>0.75257731958762886</v>
      </c>
      <c r="BH350" s="16">
        <v>295</v>
      </c>
      <c r="BI350" s="16">
        <v>409</v>
      </c>
      <c r="BJ350" s="21">
        <v>0.72127139364303183</v>
      </c>
    </row>
    <row r="351" spans="1:62" x14ac:dyDescent="0.25">
      <c r="E351" t="s">
        <v>181</v>
      </c>
      <c r="F351" s="32">
        <v>10</v>
      </c>
      <c r="G351" s="29">
        <v>9</v>
      </c>
      <c r="H351" s="30">
        <v>0</v>
      </c>
      <c r="I351" s="30">
        <v>9</v>
      </c>
      <c r="J351" s="31">
        <v>0</v>
      </c>
      <c r="K351" s="29">
        <v>0</v>
      </c>
      <c r="L351" s="30">
        <v>0</v>
      </c>
      <c r="M351" s="30">
        <v>0</v>
      </c>
      <c r="N351" s="30">
        <v>0</v>
      </c>
      <c r="O351" s="30">
        <v>1</v>
      </c>
      <c r="P351" s="30">
        <v>0</v>
      </c>
      <c r="Q351" s="30">
        <v>0</v>
      </c>
      <c r="R351" s="31">
        <v>0</v>
      </c>
      <c r="S351" s="32">
        <v>0</v>
      </c>
      <c r="T351" s="29"/>
      <c r="U351" s="30"/>
      <c r="V351" s="30"/>
      <c r="W351" s="30"/>
      <c r="X351" s="31"/>
      <c r="Y351" s="29">
        <v>0</v>
      </c>
      <c r="Z351" s="31">
        <v>0</v>
      </c>
      <c r="AA351" s="29">
        <v>0</v>
      </c>
      <c r="AB351" s="31">
        <v>0</v>
      </c>
      <c r="AC351" s="29">
        <v>0</v>
      </c>
      <c r="AD351">
        <v>0</v>
      </c>
      <c r="AE351" s="29">
        <v>10</v>
      </c>
      <c r="AF351" s="30">
        <v>10</v>
      </c>
      <c r="AG351" s="31">
        <v>0</v>
      </c>
      <c r="AH351" s="136"/>
      <c r="AI351" s="33"/>
      <c r="AJ351" s="33"/>
      <c r="AK351" s="33"/>
      <c r="AL351" s="33"/>
      <c r="AM351" s="33"/>
      <c r="AN351" s="34">
        <v>0</v>
      </c>
      <c r="AO351" s="33">
        <v>0</v>
      </c>
      <c r="AP351" s="33">
        <v>1.1111111111111112</v>
      </c>
      <c r="AQ351" s="33">
        <v>0</v>
      </c>
      <c r="AR351" s="35">
        <v>0</v>
      </c>
      <c r="AS351" s="251">
        <f t="shared" si="10"/>
        <v>0</v>
      </c>
      <c r="AT351" s="252">
        <f t="shared" si="11"/>
        <v>0</v>
      </c>
      <c r="AU351" s="29">
        <v>0</v>
      </c>
      <c r="AV351" s="30">
        <v>0</v>
      </c>
      <c r="AW351" s="31">
        <v>0</v>
      </c>
      <c r="AX351" s="136"/>
      <c r="AY351" s="33"/>
      <c r="AZ351" s="35"/>
      <c r="BA351" s="29"/>
      <c r="BB351" s="31"/>
      <c r="BC351" s="29"/>
      <c r="BD351" s="31"/>
      <c r="BE351" s="29">
        <v>0</v>
      </c>
      <c r="BF351" s="30">
        <v>0</v>
      </c>
      <c r="BG351" s="33"/>
      <c r="BH351" s="30">
        <v>0</v>
      </c>
      <c r="BI351" s="30">
        <v>0</v>
      </c>
      <c r="BJ351" s="35"/>
    </row>
    <row r="352" spans="1:62" x14ac:dyDescent="0.25">
      <c r="E352" t="s">
        <v>68</v>
      </c>
      <c r="F352" s="32">
        <v>453</v>
      </c>
      <c r="G352" s="29">
        <v>402</v>
      </c>
      <c r="H352" s="30">
        <v>5</v>
      </c>
      <c r="I352" s="30">
        <v>395</v>
      </c>
      <c r="J352" s="31">
        <v>12</v>
      </c>
      <c r="K352" s="29">
        <v>0</v>
      </c>
      <c r="L352" s="30">
        <v>9</v>
      </c>
      <c r="M352" s="30">
        <v>4</v>
      </c>
      <c r="N352" s="30">
        <v>2</v>
      </c>
      <c r="O352" s="30">
        <v>4</v>
      </c>
      <c r="P352" s="30">
        <v>0</v>
      </c>
      <c r="Q352" s="30">
        <v>2</v>
      </c>
      <c r="R352" s="31">
        <v>25</v>
      </c>
      <c r="S352" s="32">
        <v>20</v>
      </c>
      <c r="T352" s="29">
        <v>6</v>
      </c>
      <c r="U352" s="30">
        <v>1</v>
      </c>
      <c r="V352" s="30">
        <v>2</v>
      </c>
      <c r="W352" s="30">
        <v>1</v>
      </c>
      <c r="X352" s="31">
        <v>2</v>
      </c>
      <c r="Y352" s="29">
        <v>637</v>
      </c>
      <c r="Z352" s="31">
        <v>227</v>
      </c>
      <c r="AA352" s="29">
        <v>774</v>
      </c>
      <c r="AB352" s="31">
        <v>246</v>
      </c>
      <c r="AC352" s="29">
        <v>679</v>
      </c>
      <c r="AD352">
        <v>247</v>
      </c>
      <c r="AE352" s="29">
        <v>192</v>
      </c>
      <c r="AF352" s="30">
        <v>90</v>
      </c>
      <c r="AG352" s="31">
        <v>72</v>
      </c>
      <c r="AH352" s="136">
        <v>0.21507064364207221</v>
      </c>
      <c r="AI352" s="33">
        <v>6.5934065934065936E-2</v>
      </c>
      <c r="AJ352" s="33">
        <v>-0.1227390180878553</v>
      </c>
      <c r="AK352" s="33">
        <v>8.3700440528634359E-2</v>
      </c>
      <c r="AL352" s="33">
        <v>8.8105726872246701E-2</v>
      </c>
      <c r="AM352" s="33">
        <v>4.0650406504065045E-3</v>
      </c>
      <c r="AN352" s="34">
        <v>1.6890547263681592</v>
      </c>
      <c r="AO352" s="33">
        <v>0.61442786069651745</v>
      </c>
      <c r="AP352" s="33">
        <v>0.22388059701492538</v>
      </c>
      <c r="AQ352" s="33">
        <v>0.17910447761194029</v>
      </c>
      <c r="AR352" s="35">
        <v>5.8548009367681501E-2</v>
      </c>
      <c r="AS352" s="251">
        <f t="shared" si="10"/>
        <v>4.975124378109453E-2</v>
      </c>
      <c r="AT352" s="252">
        <f t="shared" si="11"/>
        <v>3.482587064676617E-2</v>
      </c>
      <c r="AU352" s="29">
        <v>400</v>
      </c>
      <c r="AV352" s="30">
        <v>463</v>
      </c>
      <c r="AW352" s="31">
        <v>409</v>
      </c>
      <c r="AX352" s="136">
        <v>0.1575</v>
      </c>
      <c r="AY352" s="33">
        <v>2.2499999999999999E-2</v>
      </c>
      <c r="AZ352" s="35">
        <v>-0.11663066954643629</v>
      </c>
      <c r="BA352" s="29">
        <v>11.5</v>
      </c>
      <c r="BB352" s="31">
        <v>11</v>
      </c>
      <c r="BC352" s="29">
        <v>3</v>
      </c>
      <c r="BD352" s="31">
        <v>2</v>
      </c>
      <c r="BE352" s="29">
        <v>511</v>
      </c>
      <c r="BF352" s="30">
        <v>679</v>
      </c>
      <c r="BG352" s="33">
        <v>0.75257731958762886</v>
      </c>
      <c r="BH352" s="30">
        <v>295</v>
      </c>
      <c r="BI352" s="30">
        <v>409</v>
      </c>
      <c r="BJ352" s="35">
        <v>0.72127139364303183</v>
      </c>
    </row>
    <row r="353" spans="1:62" x14ac:dyDescent="0.25">
      <c r="A353" s="130"/>
      <c r="B353" s="130" t="s">
        <v>200</v>
      </c>
      <c r="C353" s="130"/>
      <c r="D353" s="130"/>
      <c r="E353" s="130"/>
      <c r="F353" s="11">
        <v>710</v>
      </c>
      <c r="G353" s="8">
        <v>649</v>
      </c>
      <c r="H353" s="9">
        <v>0</v>
      </c>
      <c r="I353" s="9">
        <v>623</v>
      </c>
      <c r="J353" s="10">
        <v>26</v>
      </c>
      <c r="K353" s="8">
        <v>0</v>
      </c>
      <c r="L353" s="9">
        <v>26</v>
      </c>
      <c r="M353" s="9">
        <v>6</v>
      </c>
      <c r="N353" s="9">
        <v>4</v>
      </c>
      <c r="O353" s="9">
        <v>5</v>
      </c>
      <c r="P353" s="9">
        <v>0</v>
      </c>
      <c r="Q353" s="9">
        <v>5</v>
      </c>
      <c r="R353" s="10">
        <v>15</v>
      </c>
      <c r="S353" s="11">
        <v>40</v>
      </c>
      <c r="T353" s="8">
        <v>91</v>
      </c>
      <c r="U353" s="9">
        <v>1</v>
      </c>
      <c r="V353" s="9">
        <v>4</v>
      </c>
      <c r="W353" s="9">
        <v>0</v>
      </c>
      <c r="X353" s="10">
        <v>86</v>
      </c>
      <c r="Y353" s="8">
        <v>1075</v>
      </c>
      <c r="Z353" s="10">
        <v>472</v>
      </c>
      <c r="AA353" s="8">
        <v>1093</v>
      </c>
      <c r="AB353" s="10">
        <v>457</v>
      </c>
      <c r="AC353" s="8">
        <v>816</v>
      </c>
      <c r="AD353" s="130">
        <v>384</v>
      </c>
      <c r="AE353" s="8">
        <v>306</v>
      </c>
      <c r="AF353" s="9">
        <v>57</v>
      </c>
      <c r="AG353" s="10">
        <v>85</v>
      </c>
      <c r="AH353" s="131">
        <v>1.6744186046511629E-2</v>
      </c>
      <c r="AI353" s="12">
        <v>-0.24093023255813953</v>
      </c>
      <c r="AJ353" s="12">
        <v>-0.25343092406221407</v>
      </c>
      <c r="AK353" s="12">
        <v>-3.1779661016949151E-2</v>
      </c>
      <c r="AL353" s="12">
        <v>-0.1864406779661017</v>
      </c>
      <c r="AM353" s="12">
        <v>-0.15973741794310722</v>
      </c>
      <c r="AN353" s="13">
        <v>1.2573189522342065</v>
      </c>
      <c r="AO353" s="12">
        <v>0.59167950693374427</v>
      </c>
      <c r="AP353" s="12">
        <v>8.7827426810477657E-2</v>
      </c>
      <c r="AQ353" s="12">
        <v>0.13097072419106318</v>
      </c>
      <c r="AR353" s="14">
        <v>2.2590361445783132E-2</v>
      </c>
      <c r="AS353" s="245">
        <f t="shared" si="10"/>
        <v>6.1633281972265024E-2</v>
      </c>
      <c r="AT353" s="246">
        <f t="shared" si="11"/>
        <v>-7.8582434514637908E-2</v>
      </c>
      <c r="AU353" s="8">
        <v>281</v>
      </c>
      <c r="AV353" s="9">
        <v>266</v>
      </c>
      <c r="AW353" s="10">
        <v>226</v>
      </c>
      <c r="AX353" s="131">
        <v>-5.3380782918149468E-2</v>
      </c>
      <c r="AY353" s="12">
        <v>-0.19572953736654805</v>
      </c>
      <c r="AZ353" s="14">
        <v>-0.15037593984962405</v>
      </c>
      <c r="BA353" s="8">
        <v>35</v>
      </c>
      <c r="BB353" s="10">
        <v>17</v>
      </c>
      <c r="BC353" s="8">
        <v>4</v>
      </c>
      <c r="BD353" s="10">
        <v>3</v>
      </c>
      <c r="BE353" s="8">
        <v>597</v>
      </c>
      <c r="BF353" s="9">
        <v>816</v>
      </c>
      <c r="BG353" s="12">
        <v>0.73161764705882348</v>
      </c>
      <c r="BH353" s="9">
        <v>164</v>
      </c>
      <c r="BI353" s="9">
        <v>226</v>
      </c>
      <c r="BJ353" s="14">
        <v>0.72566371681415931</v>
      </c>
    </row>
    <row r="354" spans="1:62" x14ac:dyDescent="0.25">
      <c r="E354" t="s">
        <v>82</v>
      </c>
      <c r="F354" s="32">
        <v>677</v>
      </c>
      <c r="G354" s="29">
        <v>616</v>
      </c>
      <c r="H354" s="30">
        <v>0</v>
      </c>
      <c r="I354" s="30">
        <v>590</v>
      </c>
      <c r="J354" s="31">
        <v>26</v>
      </c>
      <c r="K354" s="29">
        <v>0</v>
      </c>
      <c r="L354" s="30">
        <v>26</v>
      </c>
      <c r="M354" s="30">
        <v>6</v>
      </c>
      <c r="N354" s="30">
        <v>4</v>
      </c>
      <c r="O354" s="30">
        <v>5</v>
      </c>
      <c r="P354" s="30">
        <v>0</v>
      </c>
      <c r="Q354" s="30">
        <v>5</v>
      </c>
      <c r="R354" s="31">
        <v>15</v>
      </c>
      <c r="S354" s="32">
        <v>40</v>
      </c>
      <c r="T354" s="29">
        <v>91</v>
      </c>
      <c r="U354" s="30">
        <v>1</v>
      </c>
      <c r="V354" s="30">
        <v>4</v>
      </c>
      <c r="W354" s="30">
        <v>0</v>
      </c>
      <c r="X354" s="31">
        <v>86</v>
      </c>
      <c r="Y354" s="29">
        <v>1048</v>
      </c>
      <c r="Z354" s="31">
        <v>462</v>
      </c>
      <c r="AA354" s="29">
        <v>1037</v>
      </c>
      <c r="AB354" s="31">
        <v>435</v>
      </c>
      <c r="AC354" s="29">
        <v>754</v>
      </c>
      <c r="AD354">
        <v>360</v>
      </c>
      <c r="AE354" s="29">
        <v>297</v>
      </c>
      <c r="AF354" s="30">
        <v>56</v>
      </c>
      <c r="AG354" s="31">
        <v>78</v>
      </c>
      <c r="AH354" s="136">
        <v>-1.049618320610687E-2</v>
      </c>
      <c r="AI354" s="33">
        <v>-0.28053435114503816</v>
      </c>
      <c r="AJ354" s="33">
        <v>-0.2729026036644166</v>
      </c>
      <c r="AK354" s="33">
        <v>-5.844155844155844E-2</v>
      </c>
      <c r="AL354" s="33">
        <v>-0.22077922077922077</v>
      </c>
      <c r="AM354" s="33">
        <v>-0.17241379310344829</v>
      </c>
      <c r="AN354" s="34">
        <v>1.224025974025974</v>
      </c>
      <c r="AO354" s="33">
        <v>0.58441558441558439</v>
      </c>
      <c r="AP354" s="33">
        <v>9.0909090909090912E-2</v>
      </c>
      <c r="AQ354" s="33">
        <v>0.12662337662337661</v>
      </c>
      <c r="AR354" s="35">
        <v>2.3771790808240888E-2</v>
      </c>
      <c r="AS354" s="251">
        <f t="shared" si="10"/>
        <v>6.4935064935064929E-2</v>
      </c>
      <c r="AT354" s="252">
        <f t="shared" si="11"/>
        <v>-8.2792207792207792E-2</v>
      </c>
      <c r="AU354" s="29">
        <v>272</v>
      </c>
      <c r="AV354" s="30">
        <v>248</v>
      </c>
      <c r="AW354" s="31">
        <v>199</v>
      </c>
      <c r="AX354" s="136">
        <v>-8.8235294117647065E-2</v>
      </c>
      <c r="AY354" s="33">
        <v>-0.26838235294117646</v>
      </c>
      <c r="AZ354" s="35">
        <v>-0.19758064516129031</v>
      </c>
      <c r="BA354" s="29">
        <v>35</v>
      </c>
      <c r="BB354" s="31">
        <v>14</v>
      </c>
      <c r="BC354" s="29">
        <v>4</v>
      </c>
      <c r="BD354" s="31">
        <v>3</v>
      </c>
      <c r="BE354" s="29">
        <v>552</v>
      </c>
      <c r="BF354" s="30">
        <v>754</v>
      </c>
      <c r="BG354" s="33">
        <v>0.73209549071618041</v>
      </c>
      <c r="BH354" s="30">
        <v>143</v>
      </c>
      <c r="BI354" s="30">
        <v>199</v>
      </c>
      <c r="BJ354" s="35">
        <v>0.71859296482412061</v>
      </c>
    </row>
    <row r="355" spans="1:62" x14ac:dyDescent="0.25">
      <c r="E355" t="s">
        <v>68</v>
      </c>
      <c r="F355" s="32">
        <v>18</v>
      </c>
      <c r="G355" s="29">
        <v>18</v>
      </c>
      <c r="H355" s="30">
        <v>0</v>
      </c>
      <c r="I355" s="30">
        <v>18</v>
      </c>
      <c r="J355" s="31">
        <v>0</v>
      </c>
      <c r="K355" s="29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1">
        <v>0</v>
      </c>
      <c r="S355" s="32">
        <v>0</v>
      </c>
      <c r="T355" s="29"/>
      <c r="U355" s="30"/>
      <c r="V355" s="30"/>
      <c r="W355" s="30"/>
      <c r="X355" s="31"/>
      <c r="Y355" s="29">
        <v>26</v>
      </c>
      <c r="Z355" s="31">
        <v>9</v>
      </c>
      <c r="AA355" s="29">
        <v>37</v>
      </c>
      <c r="AB355" s="31">
        <v>14</v>
      </c>
      <c r="AC355" s="29">
        <v>40</v>
      </c>
      <c r="AD355">
        <v>13</v>
      </c>
      <c r="AE355" s="29">
        <v>5</v>
      </c>
      <c r="AF355" s="30">
        <v>1</v>
      </c>
      <c r="AG355" s="31">
        <v>3</v>
      </c>
      <c r="AH355" s="136">
        <v>0.42307692307692307</v>
      </c>
      <c r="AI355" s="33">
        <v>0.53846153846153844</v>
      </c>
      <c r="AJ355" s="33">
        <v>8.1081081081081086E-2</v>
      </c>
      <c r="AK355" s="33">
        <v>0.55555555555555558</v>
      </c>
      <c r="AL355" s="33">
        <v>0.44444444444444442</v>
      </c>
      <c r="AM355" s="33">
        <v>-7.1428571428571425E-2</v>
      </c>
      <c r="AN355" s="34">
        <v>2.2222222222222223</v>
      </c>
      <c r="AO355" s="33">
        <v>0.72222222222222221</v>
      </c>
      <c r="AP355" s="33">
        <v>5.5555555555555552E-2</v>
      </c>
      <c r="AQ355" s="33">
        <v>0.16666666666666666</v>
      </c>
      <c r="AR355" s="35">
        <v>0</v>
      </c>
      <c r="AS355" s="251">
        <f t="shared" si="10"/>
        <v>0</v>
      </c>
      <c r="AT355" s="252">
        <f t="shared" si="11"/>
        <v>0</v>
      </c>
      <c r="AU355" s="29">
        <v>23</v>
      </c>
      <c r="AV355" s="30">
        <v>31</v>
      </c>
      <c r="AW355" s="31">
        <v>37</v>
      </c>
      <c r="AX355" s="136">
        <v>0.34782608695652173</v>
      </c>
      <c r="AY355" s="33">
        <v>0.60869565217391308</v>
      </c>
      <c r="AZ355" s="35">
        <v>0.19354838709677419</v>
      </c>
      <c r="BA355" s="29">
        <v>17.5</v>
      </c>
      <c r="BB355" s="31">
        <v>29</v>
      </c>
      <c r="BC355" s="29">
        <v>3</v>
      </c>
      <c r="BD355" s="31">
        <v>3</v>
      </c>
      <c r="BE355" s="29">
        <v>30</v>
      </c>
      <c r="BF355" s="30">
        <v>40</v>
      </c>
      <c r="BG355" s="33">
        <v>0.75</v>
      </c>
      <c r="BH355" s="30">
        <v>28</v>
      </c>
      <c r="BI355" s="30">
        <v>37</v>
      </c>
      <c r="BJ355" s="35">
        <v>0.7567567567567568</v>
      </c>
    </row>
    <row r="356" spans="1:62" x14ac:dyDescent="0.25">
      <c r="A356" s="130"/>
      <c r="B356" s="130" t="s">
        <v>94</v>
      </c>
      <c r="C356" s="130"/>
      <c r="D356" s="130"/>
      <c r="E356" s="130"/>
      <c r="F356" s="11">
        <v>257</v>
      </c>
      <c r="G356" s="8">
        <v>240</v>
      </c>
      <c r="H356" s="9">
        <v>0</v>
      </c>
      <c r="I356" s="9">
        <v>239</v>
      </c>
      <c r="J356" s="10">
        <v>1</v>
      </c>
      <c r="K356" s="8">
        <v>0</v>
      </c>
      <c r="L356" s="9">
        <v>1</v>
      </c>
      <c r="M356" s="9">
        <v>0</v>
      </c>
      <c r="N356" s="9">
        <v>0</v>
      </c>
      <c r="O356" s="9">
        <v>3</v>
      </c>
      <c r="P356" s="9">
        <v>0</v>
      </c>
      <c r="Q356" s="9">
        <v>2</v>
      </c>
      <c r="R356" s="10">
        <v>11</v>
      </c>
      <c r="S356" s="11">
        <v>5</v>
      </c>
      <c r="T356" s="8">
        <v>63</v>
      </c>
      <c r="U356" s="9">
        <v>0</v>
      </c>
      <c r="V356" s="9">
        <v>1</v>
      </c>
      <c r="W356" s="9">
        <v>0</v>
      </c>
      <c r="X356" s="10">
        <v>62</v>
      </c>
      <c r="Y356" s="8">
        <v>227</v>
      </c>
      <c r="Z356" s="10">
        <v>118</v>
      </c>
      <c r="AA356" s="8">
        <v>201</v>
      </c>
      <c r="AB356" s="10">
        <v>114</v>
      </c>
      <c r="AC356" s="8">
        <v>217</v>
      </c>
      <c r="AD356" s="130">
        <v>115</v>
      </c>
      <c r="AE356" s="8">
        <v>141</v>
      </c>
      <c r="AF356" s="9">
        <v>66</v>
      </c>
      <c r="AG356" s="10">
        <v>26</v>
      </c>
      <c r="AH356" s="131">
        <v>-0.11453744493392071</v>
      </c>
      <c r="AI356" s="12">
        <v>-4.405286343612335E-2</v>
      </c>
      <c r="AJ356" s="12">
        <v>7.9601990049751242E-2</v>
      </c>
      <c r="AK356" s="12">
        <v>-3.3898305084745763E-2</v>
      </c>
      <c r="AL356" s="12">
        <v>-2.5423728813559324E-2</v>
      </c>
      <c r="AM356" s="12">
        <v>8.771929824561403E-3</v>
      </c>
      <c r="AN356" s="13">
        <v>0.90416666666666667</v>
      </c>
      <c r="AO356" s="12">
        <v>0.47916666666666669</v>
      </c>
      <c r="AP356" s="12">
        <v>0.27500000000000002</v>
      </c>
      <c r="AQ356" s="12">
        <v>0.10833333333333334</v>
      </c>
      <c r="AR356" s="14">
        <v>4.3824701195219126E-2</v>
      </c>
      <c r="AS356" s="245">
        <f t="shared" si="10"/>
        <v>2.0833333333333332E-2</v>
      </c>
      <c r="AT356" s="246">
        <f t="shared" si="11"/>
        <v>-0.24166666666666667</v>
      </c>
      <c r="AU356" s="8">
        <v>150</v>
      </c>
      <c r="AV356" s="9">
        <v>150</v>
      </c>
      <c r="AW356" s="10">
        <v>141</v>
      </c>
      <c r="AX356" s="131">
        <v>0</v>
      </c>
      <c r="AY356" s="12">
        <v>-0.06</v>
      </c>
      <c r="AZ356" s="14">
        <v>-0.06</v>
      </c>
      <c r="BA356" s="8">
        <v>12</v>
      </c>
      <c r="BB356" s="10">
        <v>11</v>
      </c>
      <c r="BC356" s="8">
        <v>3</v>
      </c>
      <c r="BD356" s="10">
        <v>2</v>
      </c>
      <c r="BE356" s="8">
        <v>178</v>
      </c>
      <c r="BF356" s="9">
        <v>217</v>
      </c>
      <c r="BG356" s="12">
        <v>0.82027649769585254</v>
      </c>
      <c r="BH356" s="9">
        <v>113</v>
      </c>
      <c r="BI356" s="9">
        <v>141</v>
      </c>
      <c r="BJ356" s="14">
        <v>0.8014184397163121</v>
      </c>
    </row>
    <row r="357" spans="1:62" x14ac:dyDescent="0.25">
      <c r="E357" t="s">
        <v>68</v>
      </c>
      <c r="F357" s="32">
        <v>257</v>
      </c>
      <c r="G357" s="29">
        <v>240</v>
      </c>
      <c r="H357" s="30">
        <v>0</v>
      </c>
      <c r="I357" s="30">
        <v>239</v>
      </c>
      <c r="J357" s="31">
        <v>1</v>
      </c>
      <c r="K357" s="29">
        <v>0</v>
      </c>
      <c r="L357" s="30">
        <v>1</v>
      </c>
      <c r="M357" s="30">
        <v>0</v>
      </c>
      <c r="N357" s="30">
        <v>0</v>
      </c>
      <c r="O357" s="30">
        <v>3</v>
      </c>
      <c r="P357" s="30">
        <v>0</v>
      </c>
      <c r="Q357" s="30">
        <v>2</v>
      </c>
      <c r="R357" s="31">
        <v>11</v>
      </c>
      <c r="S357" s="32">
        <v>5</v>
      </c>
      <c r="T357" s="29">
        <v>63</v>
      </c>
      <c r="U357" s="30">
        <v>0</v>
      </c>
      <c r="V357" s="30">
        <v>1</v>
      </c>
      <c r="W357" s="30">
        <v>0</v>
      </c>
      <c r="X357" s="31">
        <v>62</v>
      </c>
      <c r="Y357" s="29">
        <v>227</v>
      </c>
      <c r="Z357" s="31">
        <v>118</v>
      </c>
      <c r="AA357" s="29">
        <v>201</v>
      </c>
      <c r="AB357" s="31">
        <v>114</v>
      </c>
      <c r="AC357" s="29">
        <v>217</v>
      </c>
      <c r="AD357">
        <v>115</v>
      </c>
      <c r="AE357" s="29">
        <v>141</v>
      </c>
      <c r="AF357" s="30">
        <v>66</v>
      </c>
      <c r="AG357" s="31">
        <v>26</v>
      </c>
      <c r="AH357" s="136">
        <v>-0.11453744493392071</v>
      </c>
      <c r="AI357" s="33">
        <v>-4.405286343612335E-2</v>
      </c>
      <c r="AJ357" s="33">
        <v>7.9601990049751242E-2</v>
      </c>
      <c r="AK357" s="33">
        <v>-3.3898305084745763E-2</v>
      </c>
      <c r="AL357" s="33">
        <v>-2.5423728813559324E-2</v>
      </c>
      <c r="AM357" s="33">
        <v>8.771929824561403E-3</v>
      </c>
      <c r="AN357" s="34">
        <v>0.90416666666666667</v>
      </c>
      <c r="AO357" s="33">
        <v>0.47916666666666669</v>
      </c>
      <c r="AP357" s="33">
        <v>0.27500000000000002</v>
      </c>
      <c r="AQ357" s="33">
        <v>0.10833333333333334</v>
      </c>
      <c r="AR357" s="35">
        <v>4.3824701195219126E-2</v>
      </c>
      <c r="AS357" s="251">
        <f t="shared" si="10"/>
        <v>2.0833333333333332E-2</v>
      </c>
      <c r="AT357" s="252">
        <f t="shared" si="11"/>
        <v>-0.24166666666666667</v>
      </c>
      <c r="AU357" s="29">
        <v>150</v>
      </c>
      <c r="AV357" s="30">
        <v>150</v>
      </c>
      <c r="AW357" s="31">
        <v>141</v>
      </c>
      <c r="AX357" s="136">
        <v>0</v>
      </c>
      <c r="AY357" s="33">
        <v>-0.06</v>
      </c>
      <c r="AZ357" s="35">
        <v>-0.06</v>
      </c>
      <c r="BA357" s="29">
        <v>12</v>
      </c>
      <c r="BB357" s="31">
        <v>11</v>
      </c>
      <c r="BC357" s="29">
        <v>3</v>
      </c>
      <c r="BD357" s="31">
        <v>2</v>
      </c>
      <c r="BE357" s="29">
        <v>178</v>
      </c>
      <c r="BF357" s="30">
        <v>217</v>
      </c>
      <c r="BG357" s="33">
        <v>0.82027649769585254</v>
      </c>
      <c r="BH357" s="30">
        <v>113</v>
      </c>
      <c r="BI357" s="30">
        <v>141</v>
      </c>
      <c r="BJ357" s="35">
        <v>0.8014184397163121</v>
      </c>
    </row>
    <row r="358" spans="1:62" x14ac:dyDescent="0.25">
      <c r="A358" s="130"/>
      <c r="B358" s="130" t="s">
        <v>144</v>
      </c>
      <c r="C358" s="130"/>
      <c r="D358" s="130"/>
      <c r="E358" s="130"/>
      <c r="F358" s="11">
        <v>1930</v>
      </c>
      <c r="G358" s="8">
        <v>1640</v>
      </c>
      <c r="H358" s="9">
        <v>32</v>
      </c>
      <c r="I358" s="9">
        <v>1670</v>
      </c>
      <c r="J358" s="10">
        <v>2</v>
      </c>
      <c r="K358" s="8">
        <v>0</v>
      </c>
      <c r="L358" s="9">
        <v>1</v>
      </c>
      <c r="M358" s="9">
        <v>33</v>
      </c>
      <c r="N358" s="9">
        <v>1</v>
      </c>
      <c r="O358" s="9">
        <v>30</v>
      </c>
      <c r="P358" s="9">
        <v>1</v>
      </c>
      <c r="Q358" s="9">
        <v>6</v>
      </c>
      <c r="R358" s="10">
        <v>124</v>
      </c>
      <c r="S358" s="11">
        <v>612</v>
      </c>
      <c r="T358" s="8">
        <v>504</v>
      </c>
      <c r="U358" s="9">
        <v>5</v>
      </c>
      <c r="V358" s="9">
        <v>6</v>
      </c>
      <c r="W358" s="9">
        <v>25</v>
      </c>
      <c r="X358" s="10">
        <v>468</v>
      </c>
      <c r="Y358" s="8">
        <v>6030</v>
      </c>
      <c r="Z358" s="10">
        <v>1558</v>
      </c>
      <c r="AA358" s="8">
        <v>4992</v>
      </c>
      <c r="AB358" s="10">
        <v>1417</v>
      </c>
      <c r="AC358" s="8">
        <v>4578</v>
      </c>
      <c r="AD358" s="130">
        <v>1342</v>
      </c>
      <c r="AE358" s="8">
        <v>751</v>
      </c>
      <c r="AF358" s="9">
        <v>527</v>
      </c>
      <c r="AG358" s="10">
        <v>551</v>
      </c>
      <c r="AH358" s="131">
        <v>-0.17213930348258707</v>
      </c>
      <c r="AI358" s="12">
        <v>-0.24079601990049751</v>
      </c>
      <c r="AJ358" s="12">
        <v>-8.2932692307692304E-2</v>
      </c>
      <c r="AK358" s="12">
        <v>-9.0500641848523744E-2</v>
      </c>
      <c r="AL358" s="12">
        <v>-0.1386392811296534</v>
      </c>
      <c r="AM358" s="12">
        <v>-5.2928722653493299E-2</v>
      </c>
      <c r="AN358" s="13">
        <v>2.7914634146341464</v>
      </c>
      <c r="AO358" s="12">
        <v>0.81829268292682922</v>
      </c>
      <c r="AP358" s="12">
        <v>0.32134146341463415</v>
      </c>
      <c r="AQ358" s="12">
        <v>0.33597560975609758</v>
      </c>
      <c r="AR358" s="14">
        <v>7.029478458049887E-2</v>
      </c>
      <c r="AS358" s="245">
        <f t="shared" si="10"/>
        <v>0.37317073170731707</v>
      </c>
      <c r="AT358" s="246">
        <f t="shared" si="11"/>
        <v>6.5853658536585369E-2</v>
      </c>
      <c r="AU358" s="8">
        <v>767</v>
      </c>
      <c r="AV358" s="9">
        <v>769</v>
      </c>
      <c r="AW358" s="10">
        <v>695</v>
      </c>
      <c r="AX358" s="131">
        <v>2.6075619295958278E-3</v>
      </c>
      <c r="AY358" s="12">
        <v>-9.3872229465449805E-2</v>
      </c>
      <c r="AZ358" s="14">
        <v>-9.6228868660598182E-2</v>
      </c>
      <c r="BA358" s="8">
        <v>12</v>
      </c>
      <c r="BB358" s="10">
        <v>12</v>
      </c>
      <c r="BC358" s="8">
        <v>4</v>
      </c>
      <c r="BD358" s="10">
        <v>3</v>
      </c>
      <c r="BE358" s="8">
        <v>3133</v>
      </c>
      <c r="BF358" s="9">
        <v>4578</v>
      </c>
      <c r="BG358" s="12">
        <v>0.68435998252512009</v>
      </c>
      <c r="BH358" s="9">
        <v>468</v>
      </c>
      <c r="BI358" s="9">
        <v>695</v>
      </c>
      <c r="BJ358" s="14">
        <v>0.67338129496402876</v>
      </c>
    </row>
    <row r="359" spans="1:62" x14ac:dyDescent="0.25">
      <c r="E359" t="s">
        <v>148</v>
      </c>
      <c r="F359" s="32">
        <v>1921</v>
      </c>
      <c r="G359" s="29">
        <v>1631</v>
      </c>
      <c r="H359" s="30">
        <v>32</v>
      </c>
      <c r="I359" s="30">
        <v>1661</v>
      </c>
      <c r="J359" s="31">
        <v>2</v>
      </c>
      <c r="K359" s="29">
        <v>0</v>
      </c>
      <c r="L359" s="30">
        <v>1</v>
      </c>
      <c r="M359" s="30">
        <v>33</v>
      </c>
      <c r="N359" s="30">
        <v>1</v>
      </c>
      <c r="O359" s="30">
        <v>30</v>
      </c>
      <c r="P359" s="30">
        <v>1</v>
      </c>
      <c r="Q359" s="30">
        <v>6</v>
      </c>
      <c r="R359" s="31">
        <v>124</v>
      </c>
      <c r="S359" s="32">
        <v>612</v>
      </c>
      <c r="T359" s="29">
        <v>504</v>
      </c>
      <c r="U359" s="30">
        <v>5</v>
      </c>
      <c r="V359" s="30">
        <v>6</v>
      </c>
      <c r="W359" s="30">
        <v>25</v>
      </c>
      <c r="X359" s="31">
        <v>468</v>
      </c>
      <c r="Y359" s="29">
        <v>6028</v>
      </c>
      <c r="Z359" s="31">
        <v>1556</v>
      </c>
      <c r="AA359" s="29">
        <v>4990</v>
      </c>
      <c r="AB359" s="31">
        <v>1416</v>
      </c>
      <c r="AC359" s="29">
        <v>4575</v>
      </c>
      <c r="AD359">
        <v>1339</v>
      </c>
      <c r="AE359" s="29">
        <v>745</v>
      </c>
      <c r="AF359" s="30">
        <v>522</v>
      </c>
      <c r="AG359" s="31">
        <v>551</v>
      </c>
      <c r="AH359" s="136">
        <v>-0.17219641672196417</v>
      </c>
      <c r="AI359" s="33">
        <v>-0.24104180491041804</v>
      </c>
      <c r="AJ359" s="33">
        <v>-8.3166332665330661E-2</v>
      </c>
      <c r="AK359" s="33">
        <v>-8.9974293059125965E-2</v>
      </c>
      <c r="AL359" s="33">
        <v>-0.13946015424164523</v>
      </c>
      <c r="AM359" s="33">
        <v>-5.4378531073446326E-2</v>
      </c>
      <c r="AN359" s="34">
        <v>2.8050275904353157</v>
      </c>
      <c r="AO359" s="33">
        <v>0.82096873083997546</v>
      </c>
      <c r="AP359" s="33">
        <v>0.32004904966278358</v>
      </c>
      <c r="AQ359" s="33">
        <v>0.33782955242182711</v>
      </c>
      <c r="AR359" s="35">
        <v>7.0655270655270649E-2</v>
      </c>
      <c r="AS359" s="251">
        <f t="shared" si="10"/>
        <v>0.37522992029429797</v>
      </c>
      <c r="AT359" s="252">
        <f t="shared" si="11"/>
        <v>6.6217044757817284E-2</v>
      </c>
      <c r="AU359" s="29">
        <v>766</v>
      </c>
      <c r="AV359" s="30">
        <v>767</v>
      </c>
      <c r="AW359" s="31">
        <v>694</v>
      </c>
      <c r="AX359" s="136">
        <v>1.3054830287206266E-3</v>
      </c>
      <c r="AY359" s="33">
        <v>-9.3994778067885115E-2</v>
      </c>
      <c r="AZ359" s="35">
        <v>-9.5176010430247718E-2</v>
      </c>
      <c r="BA359" s="29">
        <v>12</v>
      </c>
      <c r="BB359" s="31">
        <v>12</v>
      </c>
      <c r="BC359" s="29">
        <v>4</v>
      </c>
      <c r="BD359" s="31">
        <v>3</v>
      </c>
      <c r="BE359" s="29">
        <v>3130</v>
      </c>
      <c r="BF359" s="30">
        <v>4575</v>
      </c>
      <c r="BG359" s="33">
        <v>0.68415300546448088</v>
      </c>
      <c r="BH359" s="30">
        <v>466</v>
      </c>
      <c r="BI359" s="30">
        <v>694</v>
      </c>
      <c r="BJ359" s="35">
        <v>0.67146974063400577</v>
      </c>
    </row>
    <row r="360" spans="1:62" x14ac:dyDescent="0.25">
      <c r="A360" s="130"/>
      <c r="B360" s="130" t="s">
        <v>95</v>
      </c>
      <c r="C360" s="130"/>
      <c r="D360" s="130"/>
      <c r="E360" s="130"/>
      <c r="F360" s="11">
        <v>7040</v>
      </c>
      <c r="G360" s="8">
        <v>6301</v>
      </c>
      <c r="H360" s="9">
        <v>0</v>
      </c>
      <c r="I360" s="9">
        <v>6273</v>
      </c>
      <c r="J360" s="10">
        <v>28</v>
      </c>
      <c r="K360" s="8">
        <v>0</v>
      </c>
      <c r="L360" s="9">
        <v>63</v>
      </c>
      <c r="M360" s="9">
        <v>146</v>
      </c>
      <c r="N360" s="9">
        <v>2</v>
      </c>
      <c r="O360" s="9">
        <v>2</v>
      </c>
      <c r="P360" s="9">
        <v>0</v>
      </c>
      <c r="Q360" s="9">
        <v>35</v>
      </c>
      <c r="R360" s="10">
        <v>486</v>
      </c>
      <c r="S360" s="11">
        <v>507</v>
      </c>
      <c r="T360" s="8">
        <v>287</v>
      </c>
      <c r="U360" s="9">
        <v>15</v>
      </c>
      <c r="V360" s="9">
        <v>23</v>
      </c>
      <c r="W360" s="9">
        <v>94</v>
      </c>
      <c r="X360" s="10">
        <v>155</v>
      </c>
      <c r="Y360" s="8">
        <v>23074</v>
      </c>
      <c r="Z360" s="10">
        <v>5424</v>
      </c>
      <c r="AA360" s="8">
        <v>25819</v>
      </c>
      <c r="AB360" s="10">
        <v>5298</v>
      </c>
      <c r="AC360" s="8">
        <v>27436</v>
      </c>
      <c r="AD360" s="130">
        <v>5479</v>
      </c>
      <c r="AE360" s="8">
        <v>1501</v>
      </c>
      <c r="AF360" s="9">
        <v>459</v>
      </c>
      <c r="AG360" s="10">
        <v>2557</v>
      </c>
      <c r="AH360" s="131">
        <v>0.11896506890872843</v>
      </c>
      <c r="AI360" s="12">
        <v>0.18904394556643841</v>
      </c>
      <c r="AJ360" s="12">
        <v>6.262829699058832E-2</v>
      </c>
      <c r="AK360" s="12">
        <v>-2.3230088495575223E-2</v>
      </c>
      <c r="AL360" s="12">
        <v>1.0140117994100296E-2</v>
      </c>
      <c r="AM360" s="12">
        <v>3.4163835409588526E-2</v>
      </c>
      <c r="AN360" s="13">
        <v>4.3542294873829555</v>
      </c>
      <c r="AO360" s="12">
        <v>0.86954451674337407</v>
      </c>
      <c r="AP360" s="12">
        <v>7.284558006665609E-2</v>
      </c>
      <c r="AQ360" s="12">
        <v>0.40580860180923661</v>
      </c>
      <c r="AR360" s="14">
        <v>7.1607484897598356E-2</v>
      </c>
      <c r="AS360" s="245">
        <f t="shared" si="10"/>
        <v>8.0463418504999204E-2</v>
      </c>
      <c r="AT360" s="246">
        <f t="shared" si="11"/>
        <v>3.4915092842405966E-2</v>
      </c>
      <c r="AU360" s="8">
        <v>3442</v>
      </c>
      <c r="AV360" s="9">
        <v>3689</v>
      </c>
      <c r="AW360" s="10">
        <v>3749</v>
      </c>
      <c r="AX360" s="131">
        <v>7.1760604299825684E-2</v>
      </c>
      <c r="AY360" s="12">
        <v>8.919233004067402E-2</v>
      </c>
      <c r="AZ360" s="14">
        <v>1.6264570344266739E-2</v>
      </c>
      <c r="BA360" s="8">
        <v>11</v>
      </c>
      <c r="BB360" s="10">
        <v>12</v>
      </c>
      <c r="BC360" s="8">
        <v>3</v>
      </c>
      <c r="BD360" s="10">
        <v>2</v>
      </c>
      <c r="BE360" s="8">
        <v>19048</v>
      </c>
      <c r="BF360" s="9">
        <v>27436</v>
      </c>
      <c r="BG360" s="12">
        <v>0.69427030179326432</v>
      </c>
      <c r="BH360" s="9">
        <v>2784</v>
      </c>
      <c r="BI360" s="9">
        <v>3749</v>
      </c>
      <c r="BJ360" s="14">
        <v>0.74259802614030412</v>
      </c>
    </row>
    <row r="361" spans="1:62" x14ac:dyDescent="0.25">
      <c r="A361" s="132"/>
      <c r="B361" s="132"/>
      <c r="C361" s="132" t="s">
        <v>96</v>
      </c>
      <c r="D361" s="132"/>
      <c r="E361" s="132"/>
      <c r="F361" s="18">
        <v>2785</v>
      </c>
      <c r="G361" s="15">
        <v>2463</v>
      </c>
      <c r="H361" s="16">
        <v>0</v>
      </c>
      <c r="I361" s="16">
        <v>2451</v>
      </c>
      <c r="J361" s="17">
        <v>12</v>
      </c>
      <c r="K361" s="15">
        <v>0</v>
      </c>
      <c r="L361" s="16">
        <v>24</v>
      </c>
      <c r="M361" s="16">
        <v>50</v>
      </c>
      <c r="N361" s="16">
        <v>1</v>
      </c>
      <c r="O361" s="16">
        <v>0</v>
      </c>
      <c r="P361" s="16">
        <v>0</v>
      </c>
      <c r="Q361" s="16">
        <v>10</v>
      </c>
      <c r="R361" s="17">
        <v>233</v>
      </c>
      <c r="S361" s="18">
        <v>195</v>
      </c>
      <c r="T361" s="15">
        <v>102</v>
      </c>
      <c r="U361" s="16">
        <v>11</v>
      </c>
      <c r="V361" s="16">
        <v>10</v>
      </c>
      <c r="W361" s="16">
        <v>34</v>
      </c>
      <c r="X361" s="17">
        <v>47</v>
      </c>
      <c r="Y361" s="15">
        <v>12383</v>
      </c>
      <c r="Z361" s="17">
        <v>2267</v>
      </c>
      <c r="AA361" s="15">
        <v>14854</v>
      </c>
      <c r="AB361" s="17">
        <v>2390</v>
      </c>
      <c r="AC361" s="15">
        <v>16140</v>
      </c>
      <c r="AD361" s="132">
        <v>2448</v>
      </c>
      <c r="AE361" s="15">
        <v>314</v>
      </c>
      <c r="AF361" s="16">
        <v>81</v>
      </c>
      <c r="AG361" s="17">
        <v>1384</v>
      </c>
      <c r="AH361" s="133">
        <v>0.19954776710005653</v>
      </c>
      <c r="AI361" s="19">
        <v>0.30339982233707502</v>
      </c>
      <c r="AJ361" s="19">
        <v>8.6576006462905614E-2</v>
      </c>
      <c r="AK361" s="19">
        <v>5.4256726951918834E-2</v>
      </c>
      <c r="AL361" s="19">
        <v>7.9841199823555364E-2</v>
      </c>
      <c r="AM361" s="19">
        <v>2.4267782426778243E-2</v>
      </c>
      <c r="AN361" s="20">
        <v>6.5529841656516448</v>
      </c>
      <c r="AO361" s="19">
        <v>0.99390986601705233</v>
      </c>
      <c r="AP361" s="19">
        <v>3.2886723507917173E-2</v>
      </c>
      <c r="AQ361" s="19">
        <v>0.56191636215996754</v>
      </c>
      <c r="AR361" s="21">
        <v>8.642433234421365E-2</v>
      </c>
      <c r="AS361" s="247">
        <f t="shared" si="10"/>
        <v>7.9171741778319121E-2</v>
      </c>
      <c r="AT361" s="248">
        <f t="shared" si="11"/>
        <v>3.7758830694275276E-2</v>
      </c>
      <c r="AU361" s="15">
        <v>1983</v>
      </c>
      <c r="AV361" s="16">
        <v>2229</v>
      </c>
      <c r="AW361" s="17">
        <v>2292</v>
      </c>
      <c r="AX361" s="133">
        <v>0.12405446293494705</v>
      </c>
      <c r="AY361" s="19">
        <v>0.15582450832072617</v>
      </c>
      <c r="AZ361" s="21">
        <v>2.826379542395693E-2</v>
      </c>
      <c r="BA361" s="15">
        <v>9</v>
      </c>
      <c r="BB361" s="17">
        <v>10</v>
      </c>
      <c r="BC361" s="15">
        <v>2</v>
      </c>
      <c r="BD361" s="17">
        <v>2</v>
      </c>
      <c r="BE361" s="15">
        <v>11633</v>
      </c>
      <c r="BF361" s="16">
        <v>16140</v>
      </c>
      <c r="BG361" s="19">
        <v>0.72075588599752172</v>
      </c>
      <c r="BH361" s="16">
        <v>1734</v>
      </c>
      <c r="BI361" s="16">
        <v>2292</v>
      </c>
      <c r="BJ361" s="21">
        <v>0.75654450261780104</v>
      </c>
    </row>
    <row r="362" spans="1:62" x14ac:dyDescent="0.25">
      <c r="E362" t="s">
        <v>68</v>
      </c>
      <c r="F362" s="32">
        <v>2731</v>
      </c>
      <c r="G362" s="29">
        <v>2410</v>
      </c>
      <c r="H362" s="30">
        <v>0</v>
      </c>
      <c r="I362" s="30">
        <v>2398</v>
      </c>
      <c r="J362" s="31">
        <v>12</v>
      </c>
      <c r="K362" s="29">
        <v>0</v>
      </c>
      <c r="L362" s="30">
        <v>24</v>
      </c>
      <c r="M362" s="30">
        <v>50</v>
      </c>
      <c r="N362" s="30">
        <v>1</v>
      </c>
      <c r="O362" s="30">
        <v>0</v>
      </c>
      <c r="P362" s="30">
        <v>0</v>
      </c>
      <c r="Q362" s="30">
        <v>10</v>
      </c>
      <c r="R362" s="31">
        <v>232</v>
      </c>
      <c r="S362" s="32">
        <v>141</v>
      </c>
      <c r="T362" s="29">
        <v>102</v>
      </c>
      <c r="U362" s="30">
        <v>11</v>
      </c>
      <c r="V362" s="30">
        <v>10</v>
      </c>
      <c r="W362" s="30">
        <v>34</v>
      </c>
      <c r="X362" s="31">
        <v>47</v>
      </c>
      <c r="Y362" s="29">
        <v>12383</v>
      </c>
      <c r="Z362" s="31">
        <v>2267</v>
      </c>
      <c r="AA362" s="29">
        <v>14854</v>
      </c>
      <c r="AB362" s="31">
        <v>2390</v>
      </c>
      <c r="AC362" s="29">
        <v>15939</v>
      </c>
      <c r="AD362">
        <v>2394</v>
      </c>
      <c r="AE362" s="29">
        <v>314</v>
      </c>
      <c r="AF362" s="30">
        <v>81</v>
      </c>
      <c r="AG362" s="31">
        <v>1346</v>
      </c>
      <c r="AH362" s="136">
        <v>0.19954776710005653</v>
      </c>
      <c r="AI362" s="33">
        <v>0.28716789146410399</v>
      </c>
      <c r="AJ362" s="33">
        <v>7.3044297832233748E-2</v>
      </c>
      <c r="AK362" s="33">
        <v>5.4256726951918834E-2</v>
      </c>
      <c r="AL362" s="33">
        <v>5.6021173356859286E-2</v>
      </c>
      <c r="AM362" s="33">
        <v>1.6736401673640166E-3</v>
      </c>
      <c r="AN362" s="34">
        <v>6.6136929460580909</v>
      </c>
      <c r="AO362" s="33">
        <v>0.99336099585062243</v>
      </c>
      <c r="AP362" s="33">
        <v>3.3609958506224065E-2</v>
      </c>
      <c r="AQ362" s="33">
        <v>0.55850622406639006</v>
      </c>
      <c r="AR362" s="35">
        <v>8.7812263436790314E-2</v>
      </c>
      <c r="AS362" s="251">
        <f t="shared" si="10"/>
        <v>5.8506224066390042E-2</v>
      </c>
      <c r="AT362" s="252">
        <f t="shared" si="11"/>
        <v>1.6182572614107885E-2</v>
      </c>
      <c r="AU362" s="29">
        <v>1983</v>
      </c>
      <c r="AV362" s="30">
        <v>2229</v>
      </c>
      <c r="AW362" s="31">
        <v>2282</v>
      </c>
      <c r="AX362" s="136">
        <v>0.12405446293494705</v>
      </c>
      <c r="AY362" s="33">
        <v>0.15078164397377711</v>
      </c>
      <c r="AZ362" s="35">
        <v>2.3777478689995513E-2</v>
      </c>
      <c r="BA362" s="29">
        <v>9</v>
      </c>
      <c r="BB362" s="31">
        <v>10</v>
      </c>
      <c r="BC362" s="29">
        <v>2</v>
      </c>
      <c r="BD362" s="31">
        <v>2</v>
      </c>
      <c r="BE362" s="29">
        <v>11479</v>
      </c>
      <c r="BF362" s="30">
        <v>15939</v>
      </c>
      <c r="BG362" s="33">
        <v>0.72018319844406797</v>
      </c>
      <c r="BH362" s="30">
        <v>1726</v>
      </c>
      <c r="BI362" s="30">
        <v>2282</v>
      </c>
      <c r="BJ362" s="35">
        <v>0.75635407537248023</v>
      </c>
    </row>
    <row r="363" spans="1:62" x14ac:dyDescent="0.25">
      <c r="E363" t="s">
        <v>97</v>
      </c>
      <c r="F363" s="32">
        <v>54</v>
      </c>
      <c r="G363" s="29">
        <v>53</v>
      </c>
      <c r="H363" s="30">
        <v>0</v>
      </c>
      <c r="I363" s="30">
        <v>53</v>
      </c>
      <c r="J363" s="31">
        <v>0</v>
      </c>
      <c r="K363" s="29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1">
        <v>1</v>
      </c>
      <c r="S363" s="32">
        <v>54</v>
      </c>
      <c r="T363" s="29"/>
      <c r="U363" s="30"/>
      <c r="V363" s="30"/>
      <c r="W363" s="30"/>
      <c r="X363" s="31"/>
      <c r="Y363" s="29">
        <v>0</v>
      </c>
      <c r="Z363" s="31">
        <v>0</v>
      </c>
      <c r="AA363" s="29">
        <v>0</v>
      </c>
      <c r="AB363" s="31">
        <v>0</v>
      </c>
      <c r="AC363" s="29">
        <v>201</v>
      </c>
      <c r="AD363">
        <v>54</v>
      </c>
      <c r="AE363" s="29">
        <v>0</v>
      </c>
      <c r="AF363" s="30">
        <v>0</v>
      </c>
      <c r="AG363" s="31">
        <v>38</v>
      </c>
      <c r="AH363" s="136"/>
      <c r="AI363" s="33"/>
      <c r="AJ363" s="33"/>
      <c r="AK363" s="33"/>
      <c r="AL363" s="33"/>
      <c r="AM363" s="33"/>
      <c r="AN363" s="34">
        <v>3.7924528301886791</v>
      </c>
      <c r="AO363" s="33">
        <v>1.0188679245283019</v>
      </c>
      <c r="AP363" s="33">
        <v>0</v>
      </c>
      <c r="AQ363" s="33">
        <v>0.71698113207547165</v>
      </c>
      <c r="AR363" s="35">
        <v>1.8518518518518517E-2</v>
      </c>
      <c r="AS363" s="251">
        <f t="shared" si="10"/>
        <v>1.0188679245283019</v>
      </c>
      <c r="AT363" s="252">
        <f t="shared" si="11"/>
        <v>1.0188679245283019</v>
      </c>
      <c r="AU363" s="29">
        <v>0</v>
      </c>
      <c r="AV363" s="30">
        <v>0</v>
      </c>
      <c r="AW363" s="31">
        <v>170</v>
      </c>
      <c r="AX363" s="136"/>
      <c r="AY363" s="33"/>
      <c r="AZ363" s="35"/>
      <c r="BA363" s="29">
        <v>9</v>
      </c>
      <c r="BB363" s="31">
        <v>9</v>
      </c>
      <c r="BC363" s="29">
        <v>2</v>
      </c>
      <c r="BD363" s="31">
        <v>2</v>
      </c>
      <c r="BE363" s="29">
        <v>154</v>
      </c>
      <c r="BF363" s="30">
        <v>201</v>
      </c>
      <c r="BG363" s="33">
        <v>0.76616915422885568</v>
      </c>
      <c r="BH363" s="30">
        <v>131</v>
      </c>
      <c r="BI363" s="30">
        <v>170</v>
      </c>
      <c r="BJ363" s="35">
        <v>0.77058823529411768</v>
      </c>
    </row>
    <row r="364" spans="1:62" x14ac:dyDescent="0.25">
      <c r="A364" s="132"/>
      <c r="B364" s="132"/>
      <c r="C364" s="132" t="s">
        <v>230</v>
      </c>
      <c r="D364" s="132"/>
      <c r="E364" s="132"/>
      <c r="F364" s="18">
        <v>91</v>
      </c>
      <c r="G364" s="15">
        <v>80</v>
      </c>
      <c r="H364" s="16">
        <v>0</v>
      </c>
      <c r="I364" s="16">
        <v>80</v>
      </c>
      <c r="J364" s="17">
        <v>0</v>
      </c>
      <c r="K364" s="15">
        <v>0</v>
      </c>
      <c r="L364" s="16">
        <v>0</v>
      </c>
      <c r="M364" s="16">
        <v>3</v>
      </c>
      <c r="N364" s="16">
        <v>0</v>
      </c>
      <c r="O364" s="16">
        <v>2</v>
      </c>
      <c r="P364" s="16">
        <v>0</v>
      </c>
      <c r="Q364" s="16">
        <v>1</v>
      </c>
      <c r="R364" s="17">
        <v>5</v>
      </c>
      <c r="S364" s="18">
        <v>0</v>
      </c>
      <c r="T364" s="15">
        <v>2</v>
      </c>
      <c r="U364" s="16">
        <v>0</v>
      </c>
      <c r="V364" s="16">
        <v>1</v>
      </c>
      <c r="W364" s="16">
        <v>1</v>
      </c>
      <c r="X364" s="17">
        <v>0</v>
      </c>
      <c r="Y364" s="15">
        <v>330</v>
      </c>
      <c r="Z364" s="17">
        <v>76</v>
      </c>
      <c r="AA364" s="15">
        <v>309</v>
      </c>
      <c r="AB364" s="17">
        <v>79</v>
      </c>
      <c r="AC364" s="15">
        <v>223</v>
      </c>
      <c r="AD364" s="132">
        <v>73</v>
      </c>
      <c r="AE364" s="15">
        <v>18</v>
      </c>
      <c r="AF364" s="16">
        <v>3</v>
      </c>
      <c r="AG364" s="17">
        <v>18</v>
      </c>
      <c r="AH364" s="133">
        <v>-6.363636363636363E-2</v>
      </c>
      <c r="AI364" s="19">
        <v>-0.32424242424242422</v>
      </c>
      <c r="AJ364" s="19">
        <v>-0.27831715210355989</v>
      </c>
      <c r="AK364" s="19">
        <v>3.9473684210526314E-2</v>
      </c>
      <c r="AL364" s="19">
        <v>-3.9473684210526314E-2</v>
      </c>
      <c r="AM364" s="19">
        <v>-7.5949367088607597E-2</v>
      </c>
      <c r="AN364" s="20">
        <v>2.7875000000000001</v>
      </c>
      <c r="AO364" s="19">
        <v>0.91249999999999998</v>
      </c>
      <c r="AP364" s="19">
        <v>3.7499999999999999E-2</v>
      </c>
      <c r="AQ364" s="19">
        <v>0.22500000000000001</v>
      </c>
      <c r="AR364" s="21">
        <v>5.8823529411764705E-2</v>
      </c>
      <c r="AS364" s="247">
        <f t="shared" si="10"/>
        <v>0</v>
      </c>
      <c r="AT364" s="248">
        <f t="shared" si="11"/>
        <v>-2.5000000000000001E-2</v>
      </c>
      <c r="AU364" s="15">
        <v>105</v>
      </c>
      <c r="AV364" s="16">
        <v>107</v>
      </c>
      <c r="AW364" s="17">
        <v>113</v>
      </c>
      <c r="AX364" s="133">
        <v>1.9047619047619049E-2</v>
      </c>
      <c r="AY364" s="19">
        <v>7.6190476190476197E-2</v>
      </c>
      <c r="AZ364" s="21">
        <v>5.6074766355140186E-2</v>
      </c>
      <c r="BA364" s="15">
        <v>13</v>
      </c>
      <c r="BB364" s="17">
        <v>13</v>
      </c>
      <c r="BC364" s="15">
        <v>3</v>
      </c>
      <c r="BD364" s="17">
        <v>2</v>
      </c>
      <c r="BE364" s="15">
        <v>125</v>
      </c>
      <c r="BF364" s="16">
        <v>223</v>
      </c>
      <c r="BG364" s="19">
        <v>0.5605381165919282</v>
      </c>
      <c r="BH364" s="16">
        <v>63</v>
      </c>
      <c r="BI364" s="16">
        <v>113</v>
      </c>
      <c r="BJ364" s="21">
        <v>0.55752212389380529</v>
      </c>
    </row>
    <row r="365" spans="1:62" x14ac:dyDescent="0.25">
      <c r="E365" t="s">
        <v>82</v>
      </c>
      <c r="F365" s="32">
        <v>13</v>
      </c>
      <c r="G365" s="29">
        <v>12</v>
      </c>
      <c r="H365" s="30">
        <v>0</v>
      </c>
      <c r="I365" s="30">
        <v>12</v>
      </c>
      <c r="J365" s="31">
        <v>0</v>
      </c>
      <c r="K365" s="29">
        <v>0</v>
      </c>
      <c r="L365" s="30">
        <v>0</v>
      </c>
      <c r="M365" s="30">
        <v>0</v>
      </c>
      <c r="N365" s="30">
        <v>0</v>
      </c>
      <c r="O365" s="30">
        <v>1</v>
      </c>
      <c r="P365" s="30">
        <v>0</v>
      </c>
      <c r="Q365" s="30">
        <v>0</v>
      </c>
      <c r="R365" s="31">
        <v>0</v>
      </c>
      <c r="S365" s="32">
        <v>0</v>
      </c>
      <c r="T365" s="29"/>
      <c r="U365" s="30"/>
      <c r="V365" s="30"/>
      <c r="W365" s="30"/>
      <c r="X365" s="31"/>
      <c r="Y365" s="29">
        <v>35</v>
      </c>
      <c r="Z365" s="31">
        <v>8</v>
      </c>
      <c r="AA365" s="29">
        <v>62</v>
      </c>
      <c r="AB365" s="31">
        <v>13</v>
      </c>
      <c r="AC365" s="29">
        <v>44</v>
      </c>
      <c r="AD365">
        <v>6</v>
      </c>
      <c r="AE365" s="29">
        <v>0</v>
      </c>
      <c r="AF365" s="30">
        <v>0</v>
      </c>
      <c r="AG365" s="31">
        <v>0</v>
      </c>
      <c r="AH365" s="136">
        <v>0.77142857142857146</v>
      </c>
      <c r="AI365" s="33">
        <v>0.25714285714285712</v>
      </c>
      <c r="AJ365" s="33">
        <v>-0.29032258064516131</v>
      </c>
      <c r="AK365" s="33">
        <v>0.625</v>
      </c>
      <c r="AL365" s="33">
        <v>-0.25</v>
      </c>
      <c r="AM365" s="33">
        <v>-0.53846153846153844</v>
      </c>
      <c r="AN365" s="34">
        <v>3.6666666666666665</v>
      </c>
      <c r="AO365" s="33">
        <v>0.5</v>
      </c>
      <c r="AP365" s="33">
        <v>0</v>
      </c>
      <c r="AQ365" s="33">
        <v>0</v>
      </c>
      <c r="AR365" s="35">
        <v>0</v>
      </c>
      <c r="AS365" s="251">
        <f t="shared" si="10"/>
        <v>0</v>
      </c>
      <c r="AT365" s="252">
        <f t="shared" si="11"/>
        <v>0</v>
      </c>
      <c r="AU365" s="29">
        <v>22</v>
      </c>
      <c r="AV365" s="30">
        <v>43</v>
      </c>
      <c r="AW365" s="31">
        <v>33</v>
      </c>
      <c r="AX365" s="136">
        <v>0.95454545454545459</v>
      </c>
      <c r="AY365" s="33">
        <v>0.5</v>
      </c>
      <c r="AZ365" s="35">
        <v>-0.23255813953488372</v>
      </c>
      <c r="BA365" s="29">
        <v>31</v>
      </c>
      <c r="BB365" s="31">
        <v>30</v>
      </c>
      <c r="BC365" s="29">
        <v>2.5</v>
      </c>
      <c r="BD365" s="31">
        <v>2</v>
      </c>
      <c r="BE365" s="29">
        <v>27</v>
      </c>
      <c r="BF365" s="30">
        <v>44</v>
      </c>
      <c r="BG365" s="33">
        <v>0.61363636363636365</v>
      </c>
      <c r="BH365" s="30">
        <v>20</v>
      </c>
      <c r="BI365" s="30">
        <v>33</v>
      </c>
      <c r="BJ365" s="35">
        <v>0.60606060606060608</v>
      </c>
    </row>
    <row r="366" spans="1:62" x14ac:dyDescent="0.25">
      <c r="E366" t="s">
        <v>174</v>
      </c>
      <c r="F366" s="32">
        <v>72</v>
      </c>
      <c r="G366" s="29">
        <v>62</v>
      </c>
      <c r="H366" s="30">
        <v>0</v>
      </c>
      <c r="I366" s="30">
        <v>62</v>
      </c>
      <c r="J366" s="31">
        <v>0</v>
      </c>
      <c r="K366" s="29">
        <v>0</v>
      </c>
      <c r="L366" s="30">
        <v>0</v>
      </c>
      <c r="M366" s="30">
        <v>3</v>
      </c>
      <c r="N366" s="30">
        <v>0</v>
      </c>
      <c r="O366" s="30">
        <v>1</v>
      </c>
      <c r="P366" s="30">
        <v>0</v>
      </c>
      <c r="Q366" s="30">
        <v>1</v>
      </c>
      <c r="R366" s="31">
        <v>5</v>
      </c>
      <c r="S366" s="32">
        <v>0</v>
      </c>
      <c r="T366" s="29">
        <v>2</v>
      </c>
      <c r="U366" s="30">
        <v>0</v>
      </c>
      <c r="V366" s="30">
        <v>1</v>
      </c>
      <c r="W366" s="30">
        <v>1</v>
      </c>
      <c r="X366" s="31">
        <v>0</v>
      </c>
      <c r="Y366" s="29">
        <v>259</v>
      </c>
      <c r="Z366" s="31">
        <v>62</v>
      </c>
      <c r="AA366" s="29">
        <v>217</v>
      </c>
      <c r="AB366" s="31">
        <v>61</v>
      </c>
      <c r="AC366" s="29">
        <v>160</v>
      </c>
      <c r="AD366">
        <v>54</v>
      </c>
      <c r="AE366" s="29">
        <v>18</v>
      </c>
      <c r="AF366" s="30">
        <v>3</v>
      </c>
      <c r="AG366" s="31">
        <v>17</v>
      </c>
      <c r="AH366" s="136">
        <v>-0.16216216216216217</v>
      </c>
      <c r="AI366" s="33">
        <v>-0.38223938223938225</v>
      </c>
      <c r="AJ366" s="33">
        <v>-0.26267281105990781</v>
      </c>
      <c r="AK366" s="33">
        <v>-1.6129032258064516E-2</v>
      </c>
      <c r="AL366" s="33">
        <v>-0.12903225806451613</v>
      </c>
      <c r="AM366" s="33">
        <v>-0.11475409836065574</v>
      </c>
      <c r="AN366" s="34">
        <v>2.5806451612903225</v>
      </c>
      <c r="AO366" s="33">
        <v>0.87096774193548387</v>
      </c>
      <c r="AP366" s="33">
        <v>4.8387096774193547E-2</v>
      </c>
      <c r="AQ366" s="33">
        <v>0.27419354838709675</v>
      </c>
      <c r="AR366" s="35">
        <v>7.4626865671641784E-2</v>
      </c>
      <c r="AS366" s="251">
        <f t="shared" si="10"/>
        <v>0</v>
      </c>
      <c r="AT366" s="252">
        <f t="shared" si="11"/>
        <v>-3.2258064516129031E-2</v>
      </c>
      <c r="AU366" s="29">
        <v>90</v>
      </c>
      <c r="AV366" s="30">
        <v>87</v>
      </c>
      <c r="AW366" s="31">
        <v>97</v>
      </c>
      <c r="AX366" s="136">
        <v>-3.3333333333333333E-2</v>
      </c>
      <c r="AY366" s="33">
        <v>7.7777777777777779E-2</v>
      </c>
      <c r="AZ366" s="35">
        <v>0.11494252873563218</v>
      </c>
      <c r="BA366" s="29">
        <v>12</v>
      </c>
      <c r="BB366" s="31">
        <v>12</v>
      </c>
      <c r="BC366" s="29">
        <v>3</v>
      </c>
      <c r="BD366" s="31">
        <v>2</v>
      </c>
      <c r="BE366" s="29">
        <v>90</v>
      </c>
      <c r="BF366" s="30">
        <v>160</v>
      </c>
      <c r="BG366" s="33">
        <v>0.5625</v>
      </c>
      <c r="BH366" s="30">
        <v>51</v>
      </c>
      <c r="BI366" s="30">
        <v>97</v>
      </c>
      <c r="BJ366" s="35">
        <v>0.52577319587628868</v>
      </c>
    </row>
    <row r="367" spans="1:62" x14ac:dyDescent="0.25">
      <c r="A367" s="132"/>
      <c r="B367" s="132"/>
      <c r="C367" s="132" t="s">
        <v>98</v>
      </c>
      <c r="D367" s="132"/>
      <c r="E367" s="132"/>
      <c r="F367" s="18">
        <v>305</v>
      </c>
      <c r="G367" s="15">
        <v>268</v>
      </c>
      <c r="H367" s="16">
        <v>0</v>
      </c>
      <c r="I367" s="16">
        <v>268</v>
      </c>
      <c r="J367" s="17">
        <v>0</v>
      </c>
      <c r="K367" s="15">
        <v>0</v>
      </c>
      <c r="L367" s="16">
        <v>7</v>
      </c>
      <c r="M367" s="16">
        <v>9</v>
      </c>
      <c r="N367" s="16">
        <v>0</v>
      </c>
      <c r="O367" s="16">
        <v>0</v>
      </c>
      <c r="P367" s="16">
        <v>0</v>
      </c>
      <c r="Q367" s="16">
        <v>4</v>
      </c>
      <c r="R367" s="17">
        <v>17</v>
      </c>
      <c r="S367" s="18">
        <v>25</v>
      </c>
      <c r="T367" s="15">
        <v>8</v>
      </c>
      <c r="U367" s="16">
        <v>1</v>
      </c>
      <c r="V367" s="16">
        <v>1</v>
      </c>
      <c r="W367" s="16">
        <v>6</v>
      </c>
      <c r="X367" s="17">
        <v>0</v>
      </c>
      <c r="Y367" s="15">
        <v>589</v>
      </c>
      <c r="Z367" s="17">
        <v>219</v>
      </c>
      <c r="AA367" s="15">
        <v>761</v>
      </c>
      <c r="AB367" s="17">
        <v>225</v>
      </c>
      <c r="AC367" s="15">
        <v>592</v>
      </c>
      <c r="AD367" s="132">
        <v>212</v>
      </c>
      <c r="AE367" s="15">
        <v>86</v>
      </c>
      <c r="AF367" s="16">
        <v>20</v>
      </c>
      <c r="AG367" s="17">
        <v>64</v>
      </c>
      <c r="AH367" s="133">
        <v>0.29202037351443122</v>
      </c>
      <c r="AI367" s="19">
        <v>5.0933786078098476E-3</v>
      </c>
      <c r="AJ367" s="19">
        <v>-0.22207621550591328</v>
      </c>
      <c r="AK367" s="19">
        <v>2.7397260273972601E-2</v>
      </c>
      <c r="AL367" s="19">
        <v>-3.1963470319634701E-2</v>
      </c>
      <c r="AM367" s="19">
        <v>-5.7777777777777775E-2</v>
      </c>
      <c r="AN367" s="20">
        <v>2.2089552238805972</v>
      </c>
      <c r="AO367" s="19">
        <v>0.79104477611940294</v>
      </c>
      <c r="AP367" s="19">
        <v>7.4626865671641784E-2</v>
      </c>
      <c r="AQ367" s="19">
        <v>0.23880597014925373</v>
      </c>
      <c r="AR367" s="21">
        <v>5.9649122807017542E-2</v>
      </c>
      <c r="AS367" s="247">
        <f t="shared" si="10"/>
        <v>9.3283582089552244E-2</v>
      </c>
      <c r="AT367" s="248">
        <f t="shared" si="11"/>
        <v>6.3432835820895525E-2</v>
      </c>
      <c r="AU367" s="15">
        <v>275</v>
      </c>
      <c r="AV367" s="16">
        <v>345</v>
      </c>
      <c r="AW367" s="17">
        <v>304</v>
      </c>
      <c r="AX367" s="133">
        <v>0.25454545454545452</v>
      </c>
      <c r="AY367" s="19">
        <v>0.10545454545454545</v>
      </c>
      <c r="AZ367" s="21">
        <v>-0.11884057971014493</v>
      </c>
      <c r="BA367" s="15">
        <v>12</v>
      </c>
      <c r="BB367" s="17">
        <v>12</v>
      </c>
      <c r="BC367" s="15">
        <v>3</v>
      </c>
      <c r="BD367" s="17">
        <v>3</v>
      </c>
      <c r="BE367" s="15">
        <v>387</v>
      </c>
      <c r="BF367" s="16">
        <v>592</v>
      </c>
      <c r="BG367" s="19">
        <v>0.65371621621621623</v>
      </c>
      <c r="BH367" s="16">
        <v>209</v>
      </c>
      <c r="BI367" s="16">
        <v>304</v>
      </c>
      <c r="BJ367" s="21">
        <v>0.6875</v>
      </c>
    </row>
    <row r="368" spans="1:62" x14ac:dyDescent="0.25">
      <c r="E368" t="s">
        <v>68</v>
      </c>
      <c r="F368" s="32">
        <v>303</v>
      </c>
      <c r="G368" s="29">
        <v>266</v>
      </c>
      <c r="H368" s="30">
        <v>0</v>
      </c>
      <c r="I368" s="30">
        <v>266</v>
      </c>
      <c r="J368" s="31">
        <v>0</v>
      </c>
      <c r="K368" s="29">
        <v>0</v>
      </c>
      <c r="L368" s="30">
        <v>7</v>
      </c>
      <c r="M368" s="30">
        <v>9</v>
      </c>
      <c r="N368" s="30">
        <v>0</v>
      </c>
      <c r="O368" s="30">
        <v>0</v>
      </c>
      <c r="P368" s="30">
        <v>0</v>
      </c>
      <c r="Q368" s="30">
        <v>4</v>
      </c>
      <c r="R368" s="31">
        <v>17</v>
      </c>
      <c r="S368" s="32">
        <v>24</v>
      </c>
      <c r="T368" s="29">
        <v>8</v>
      </c>
      <c r="U368" s="30">
        <v>1</v>
      </c>
      <c r="V368" s="30">
        <v>1</v>
      </c>
      <c r="W368" s="30">
        <v>6</v>
      </c>
      <c r="X368" s="31">
        <v>0</v>
      </c>
      <c r="Y368" s="29">
        <v>587</v>
      </c>
      <c r="Z368" s="31">
        <v>218</v>
      </c>
      <c r="AA368" s="29">
        <v>759</v>
      </c>
      <c r="AB368" s="31">
        <v>224</v>
      </c>
      <c r="AC368" s="29">
        <v>590</v>
      </c>
      <c r="AD368">
        <v>211</v>
      </c>
      <c r="AE368" s="29">
        <v>85</v>
      </c>
      <c r="AF368" s="30">
        <v>20</v>
      </c>
      <c r="AG368" s="31">
        <v>63</v>
      </c>
      <c r="AH368" s="136">
        <v>0.293015332197615</v>
      </c>
      <c r="AI368" s="33">
        <v>5.1107325383304937E-3</v>
      </c>
      <c r="AJ368" s="33">
        <v>-0.22266139657444006</v>
      </c>
      <c r="AK368" s="33">
        <v>2.7522935779816515E-2</v>
      </c>
      <c r="AL368" s="33">
        <v>-3.2110091743119268E-2</v>
      </c>
      <c r="AM368" s="33">
        <v>-5.8035714285714288E-2</v>
      </c>
      <c r="AN368" s="34">
        <v>2.2180451127819549</v>
      </c>
      <c r="AO368" s="33">
        <v>0.79323308270676696</v>
      </c>
      <c r="AP368" s="33">
        <v>7.5187969924812026E-2</v>
      </c>
      <c r="AQ368" s="33">
        <v>0.23684210526315788</v>
      </c>
      <c r="AR368" s="35">
        <v>6.0070671378091869E-2</v>
      </c>
      <c r="AS368" s="251">
        <f t="shared" si="10"/>
        <v>9.0225563909774431E-2</v>
      </c>
      <c r="AT368" s="252">
        <f t="shared" si="11"/>
        <v>6.0150375939849621E-2</v>
      </c>
      <c r="AU368" s="29">
        <v>274</v>
      </c>
      <c r="AV368" s="30">
        <v>344</v>
      </c>
      <c r="AW368" s="31">
        <v>303</v>
      </c>
      <c r="AX368" s="136">
        <v>0.25547445255474455</v>
      </c>
      <c r="AY368" s="33">
        <v>0.10583941605839416</v>
      </c>
      <c r="AZ368" s="35">
        <v>-0.11918604651162791</v>
      </c>
      <c r="BA368" s="29">
        <v>12</v>
      </c>
      <c r="BB368" s="31">
        <v>12</v>
      </c>
      <c r="BC368" s="29">
        <v>3</v>
      </c>
      <c r="BD368" s="31">
        <v>3</v>
      </c>
      <c r="BE368" s="29">
        <v>385</v>
      </c>
      <c r="BF368" s="30">
        <v>590</v>
      </c>
      <c r="BG368" s="33">
        <v>0.65254237288135597</v>
      </c>
      <c r="BH368" s="30">
        <v>208</v>
      </c>
      <c r="BI368" s="30">
        <v>303</v>
      </c>
      <c r="BJ368" s="35">
        <v>0.68646864686468645</v>
      </c>
    </row>
    <row r="369" spans="1:62" x14ac:dyDescent="0.25">
      <c r="A369" s="132"/>
      <c r="B369" s="132"/>
      <c r="C369" s="132" t="s">
        <v>99</v>
      </c>
      <c r="D369" s="132"/>
      <c r="E369" s="132"/>
      <c r="F369" s="18">
        <v>3809</v>
      </c>
      <c r="G369" s="15">
        <v>3446</v>
      </c>
      <c r="H369" s="16">
        <v>0</v>
      </c>
      <c r="I369" s="16">
        <v>3430</v>
      </c>
      <c r="J369" s="17">
        <v>16</v>
      </c>
      <c r="K369" s="15">
        <v>0</v>
      </c>
      <c r="L369" s="16">
        <v>32</v>
      </c>
      <c r="M369" s="16">
        <v>82</v>
      </c>
      <c r="N369" s="16">
        <v>1</v>
      </c>
      <c r="O369" s="16">
        <v>0</v>
      </c>
      <c r="P369" s="16">
        <v>0</v>
      </c>
      <c r="Q369" s="16">
        <v>20</v>
      </c>
      <c r="R369" s="17">
        <v>227</v>
      </c>
      <c r="S369" s="18">
        <v>285</v>
      </c>
      <c r="T369" s="15">
        <v>173</v>
      </c>
      <c r="U369" s="16">
        <v>3</v>
      </c>
      <c r="V369" s="16">
        <v>11</v>
      </c>
      <c r="W369" s="16">
        <v>52</v>
      </c>
      <c r="X369" s="17">
        <v>107</v>
      </c>
      <c r="Y369" s="15">
        <v>9714</v>
      </c>
      <c r="Z369" s="17">
        <v>2836</v>
      </c>
      <c r="AA369" s="15">
        <v>9824</v>
      </c>
      <c r="AB369" s="17">
        <v>2578</v>
      </c>
      <c r="AC369" s="15">
        <v>10396</v>
      </c>
      <c r="AD369" s="132">
        <v>2716</v>
      </c>
      <c r="AE369" s="15">
        <v>1062</v>
      </c>
      <c r="AF369" s="16">
        <v>343</v>
      </c>
      <c r="AG369" s="17">
        <v>1087</v>
      </c>
      <c r="AH369" s="133">
        <v>1.1323862466543133E-2</v>
      </c>
      <c r="AI369" s="19">
        <v>7.0207947292567435E-2</v>
      </c>
      <c r="AJ369" s="19">
        <v>5.8224755700325731E-2</v>
      </c>
      <c r="AK369" s="19">
        <v>-9.097320169252468E-2</v>
      </c>
      <c r="AL369" s="19">
        <v>-4.2313117066290547E-2</v>
      </c>
      <c r="AM369" s="19">
        <v>5.3529868114817691E-2</v>
      </c>
      <c r="AN369" s="20">
        <v>3.0168311085316311</v>
      </c>
      <c r="AO369" s="19">
        <v>0.78816018572257696</v>
      </c>
      <c r="AP369" s="19">
        <v>9.953569355774812E-2</v>
      </c>
      <c r="AQ369" s="19">
        <v>0.31543818920487521</v>
      </c>
      <c r="AR369" s="21">
        <v>6.1802341410291312E-2</v>
      </c>
      <c r="AS369" s="247">
        <f t="shared" si="10"/>
        <v>8.2704585026117231E-2</v>
      </c>
      <c r="AT369" s="248">
        <f t="shared" si="11"/>
        <v>3.2501450957632037E-2</v>
      </c>
      <c r="AU369" s="15">
        <v>2228</v>
      </c>
      <c r="AV369" s="16">
        <v>2222</v>
      </c>
      <c r="AW369" s="17">
        <v>2299</v>
      </c>
      <c r="AX369" s="133">
        <v>-2.6929982046678637E-3</v>
      </c>
      <c r="AY369" s="19">
        <v>3.1867145421903054E-2</v>
      </c>
      <c r="AZ369" s="21">
        <v>3.4653465346534656E-2</v>
      </c>
      <c r="BA369" s="15">
        <v>12</v>
      </c>
      <c r="BB369" s="17">
        <v>12</v>
      </c>
      <c r="BC369" s="15">
        <v>3</v>
      </c>
      <c r="BD369" s="17">
        <v>2</v>
      </c>
      <c r="BE369" s="15">
        <v>6842</v>
      </c>
      <c r="BF369" s="16">
        <v>10396</v>
      </c>
      <c r="BG369" s="19">
        <v>0.6581377452866487</v>
      </c>
      <c r="BH369" s="16">
        <v>1624</v>
      </c>
      <c r="BI369" s="16">
        <v>2299</v>
      </c>
      <c r="BJ369" s="21">
        <v>0.70639408438451501</v>
      </c>
    </row>
    <row r="370" spans="1:62" x14ac:dyDescent="0.25">
      <c r="E370" t="s">
        <v>68</v>
      </c>
      <c r="F370" s="32">
        <v>3776</v>
      </c>
      <c r="G370" s="29">
        <v>3413</v>
      </c>
      <c r="H370" s="30">
        <v>0</v>
      </c>
      <c r="I370" s="30">
        <v>3397</v>
      </c>
      <c r="J370" s="31">
        <v>16</v>
      </c>
      <c r="K370" s="29">
        <v>0</v>
      </c>
      <c r="L370" s="30">
        <v>32</v>
      </c>
      <c r="M370" s="30">
        <v>82</v>
      </c>
      <c r="N370" s="30">
        <v>1</v>
      </c>
      <c r="O370" s="30">
        <v>0</v>
      </c>
      <c r="P370" s="30">
        <v>0</v>
      </c>
      <c r="Q370" s="30">
        <v>20</v>
      </c>
      <c r="R370" s="31">
        <v>227</v>
      </c>
      <c r="S370" s="32">
        <v>252</v>
      </c>
      <c r="T370" s="29">
        <v>173</v>
      </c>
      <c r="U370" s="30">
        <v>3</v>
      </c>
      <c r="V370" s="30">
        <v>11</v>
      </c>
      <c r="W370" s="30">
        <v>52</v>
      </c>
      <c r="X370" s="31">
        <v>107</v>
      </c>
      <c r="Y370" s="29">
        <v>9714</v>
      </c>
      <c r="Z370" s="31">
        <v>2836</v>
      </c>
      <c r="AA370" s="29">
        <v>9824</v>
      </c>
      <c r="AB370" s="31">
        <v>2578</v>
      </c>
      <c r="AC370" s="29">
        <v>10316</v>
      </c>
      <c r="AD370">
        <v>2682</v>
      </c>
      <c r="AE370" s="29">
        <v>1062</v>
      </c>
      <c r="AF370" s="30">
        <v>343</v>
      </c>
      <c r="AG370" s="31">
        <v>1071</v>
      </c>
      <c r="AH370" s="136">
        <v>1.1323862466543133E-2</v>
      </c>
      <c r="AI370" s="33">
        <v>6.1972410953263328E-2</v>
      </c>
      <c r="AJ370" s="33">
        <v>5.0081433224755702E-2</v>
      </c>
      <c r="AK370" s="33">
        <v>-9.097320169252468E-2</v>
      </c>
      <c r="AL370" s="33">
        <v>-5.4301833568406205E-2</v>
      </c>
      <c r="AM370" s="33">
        <v>4.0341349883630723E-2</v>
      </c>
      <c r="AN370" s="34">
        <v>3.0225607969528276</v>
      </c>
      <c r="AO370" s="33">
        <v>0.78581892762965133</v>
      </c>
      <c r="AP370" s="33">
        <v>0.10049809551714034</v>
      </c>
      <c r="AQ370" s="33">
        <v>0.31380017579841779</v>
      </c>
      <c r="AR370" s="35">
        <v>6.2362637362637363E-2</v>
      </c>
      <c r="AS370" s="251">
        <f t="shared" si="10"/>
        <v>7.3835335481980666E-2</v>
      </c>
      <c r="AT370" s="252">
        <f t="shared" si="11"/>
        <v>2.314679167887489E-2</v>
      </c>
      <c r="AU370" s="29">
        <v>2228</v>
      </c>
      <c r="AV370" s="30">
        <v>2220</v>
      </c>
      <c r="AW370" s="31">
        <v>2294</v>
      </c>
      <c r="AX370" s="136">
        <v>-3.5906642728904849E-3</v>
      </c>
      <c r="AY370" s="33">
        <v>2.9622980251346499E-2</v>
      </c>
      <c r="AZ370" s="35">
        <v>3.3333333333333333E-2</v>
      </c>
      <c r="BA370" s="29">
        <v>12</v>
      </c>
      <c r="BB370" s="31">
        <v>12</v>
      </c>
      <c r="BC370" s="29">
        <v>3</v>
      </c>
      <c r="BD370" s="31">
        <v>2</v>
      </c>
      <c r="BE370" s="29">
        <v>6800</v>
      </c>
      <c r="BF370" s="30">
        <v>10316</v>
      </c>
      <c r="BG370" s="33">
        <v>0.65917022101589762</v>
      </c>
      <c r="BH370" s="30">
        <v>1619</v>
      </c>
      <c r="BI370" s="30">
        <v>2294</v>
      </c>
      <c r="BJ370" s="35">
        <v>0.70575414123801217</v>
      </c>
    </row>
    <row r="371" spans="1:62" x14ac:dyDescent="0.25">
      <c r="E371" t="s">
        <v>97</v>
      </c>
      <c r="F371" s="32">
        <v>33</v>
      </c>
      <c r="G371" s="29">
        <v>33</v>
      </c>
      <c r="H371" s="30">
        <v>0</v>
      </c>
      <c r="I371" s="30">
        <v>33</v>
      </c>
      <c r="J371" s="31">
        <v>0</v>
      </c>
      <c r="K371" s="29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1">
        <v>0</v>
      </c>
      <c r="S371" s="32">
        <v>33</v>
      </c>
      <c r="T371" s="29"/>
      <c r="U371" s="30"/>
      <c r="V371" s="30"/>
      <c r="W371" s="30"/>
      <c r="X371" s="31"/>
      <c r="Y371" s="29">
        <v>0</v>
      </c>
      <c r="Z371" s="31">
        <v>0</v>
      </c>
      <c r="AA371" s="29">
        <v>0</v>
      </c>
      <c r="AB371" s="31">
        <v>0</v>
      </c>
      <c r="AC371" s="29">
        <v>80</v>
      </c>
      <c r="AD371">
        <v>34</v>
      </c>
      <c r="AE371" s="29">
        <v>0</v>
      </c>
      <c r="AF371" s="30">
        <v>0</v>
      </c>
      <c r="AG371" s="31">
        <v>16</v>
      </c>
      <c r="AH371" s="136"/>
      <c r="AI371" s="33"/>
      <c r="AJ371" s="33"/>
      <c r="AK371" s="33"/>
      <c r="AL371" s="33"/>
      <c r="AM371" s="33"/>
      <c r="AN371" s="34">
        <v>2.4242424242424243</v>
      </c>
      <c r="AO371" s="33">
        <v>1.0303030303030303</v>
      </c>
      <c r="AP371" s="33">
        <v>0</v>
      </c>
      <c r="AQ371" s="33">
        <v>0.48484848484848486</v>
      </c>
      <c r="AR371" s="35">
        <v>0</v>
      </c>
      <c r="AS371" s="251">
        <f t="shared" si="10"/>
        <v>1</v>
      </c>
      <c r="AT371" s="252">
        <f t="shared" si="11"/>
        <v>1</v>
      </c>
      <c r="AU371" s="29">
        <v>0</v>
      </c>
      <c r="AV371" s="30">
        <v>0</v>
      </c>
      <c r="AW371" s="31">
        <v>66</v>
      </c>
      <c r="AX371" s="136"/>
      <c r="AY371" s="33"/>
      <c r="AZ371" s="35"/>
      <c r="BA371" s="29">
        <v>12</v>
      </c>
      <c r="BB371" s="31">
        <v>12</v>
      </c>
      <c r="BC371" s="29">
        <v>3</v>
      </c>
      <c r="BD371" s="31">
        <v>3</v>
      </c>
      <c r="BE371" s="29">
        <v>42</v>
      </c>
      <c r="BF371" s="30">
        <v>80</v>
      </c>
      <c r="BG371" s="33">
        <v>0.52500000000000002</v>
      </c>
      <c r="BH371" s="30">
        <v>37</v>
      </c>
      <c r="BI371" s="30">
        <v>66</v>
      </c>
      <c r="BJ371" s="35">
        <v>0.56060606060606055</v>
      </c>
    </row>
    <row r="372" spans="1:62" x14ac:dyDescent="0.25">
      <c r="A372" s="132"/>
      <c r="B372" s="132"/>
      <c r="C372" s="132" t="s">
        <v>100</v>
      </c>
      <c r="D372" s="132"/>
      <c r="E372" s="132"/>
      <c r="F372" s="18">
        <v>50</v>
      </c>
      <c r="G372" s="15">
        <v>44</v>
      </c>
      <c r="H372" s="16">
        <v>0</v>
      </c>
      <c r="I372" s="16">
        <v>44</v>
      </c>
      <c r="J372" s="17">
        <v>0</v>
      </c>
      <c r="K372" s="15">
        <v>0</v>
      </c>
      <c r="L372" s="16">
        <v>0</v>
      </c>
      <c r="M372" s="16">
        <v>2</v>
      </c>
      <c r="N372" s="16">
        <v>0</v>
      </c>
      <c r="O372" s="16">
        <v>0</v>
      </c>
      <c r="P372" s="16">
        <v>0</v>
      </c>
      <c r="Q372" s="16">
        <v>0</v>
      </c>
      <c r="R372" s="17">
        <v>4</v>
      </c>
      <c r="S372" s="18">
        <v>2</v>
      </c>
      <c r="T372" s="15">
        <v>2</v>
      </c>
      <c r="U372" s="16">
        <v>0</v>
      </c>
      <c r="V372" s="16">
        <v>0</v>
      </c>
      <c r="W372" s="16">
        <v>1</v>
      </c>
      <c r="X372" s="17">
        <v>1</v>
      </c>
      <c r="Y372" s="15">
        <v>58</v>
      </c>
      <c r="Z372" s="17">
        <v>26</v>
      </c>
      <c r="AA372" s="15">
        <v>71</v>
      </c>
      <c r="AB372" s="17">
        <v>26</v>
      </c>
      <c r="AC372" s="15">
        <v>85</v>
      </c>
      <c r="AD372" s="132">
        <v>30</v>
      </c>
      <c r="AE372" s="15">
        <v>21</v>
      </c>
      <c r="AF372" s="16">
        <v>12</v>
      </c>
      <c r="AG372" s="17">
        <v>4</v>
      </c>
      <c r="AH372" s="133">
        <v>0.22413793103448276</v>
      </c>
      <c r="AI372" s="19">
        <v>0.46551724137931033</v>
      </c>
      <c r="AJ372" s="19">
        <v>0.19718309859154928</v>
      </c>
      <c r="AK372" s="19">
        <v>0</v>
      </c>
      <c r="AL372" s="19">
        <v>0.15384615384615385</v>
      </c>
      <c r="AM372" s="19">
        <v>0.15384615384615385</v>
      </c>
      <c r="AN372" s="20">
        <v>1.9318181818181819</v>
      </c>
      <c r="AO372" s="19">
        <v>0.68181818181818177</v>
      </c>
      <c r="AP372" s="19">
        <v>0.27272727272727271</v>
      </c>
      <c r="AQ372" s="19">
        <v>9.0909090909090912E-2</v>
      </c>
      <c r="AR372" s="21">
        <v>8.3333333333333329E-2</v>
      </c>
      <c r="AS372" s="247">
        <f t="shared" si="10"/>
        <v>4.5454545454545456E-2</v>
      </c>
      <c r="AT372" s="248">
        <f t="shared" si="11"/>
        <v>0</v>
      </c>
      <c r="AU372" s="15">
        <v>47</v>
      </c>
      <c r="AV372" s="16">
        <v>55</v>
      </c>
      <c r="AW372" s="17">
        <v>52</v>
      </c>
      <c r="AX372" s="133">
        <v>0.1702127659574468</v>
      </c>
      <c r="AY372" s="19">
        <v>0.10638297872340426</v>
      </c>
      <c r="AZ372" s="21">
        <v>-5.4545454545454543E-2</v>
      </c>
      <c r="BA372" s="15">
        <v>11</v>
      </c>
      <c r="BB372" s="17">
        <v>11</v>
      </c>
      <c r="BC372" s="15">
        <v>5</v>
      </c>
      <c r="BD372" s="17">
        <v>4</v>
      </c>
      <c r="BE372" s="15">
        <v>61</v>
      </c>
      <c r="BF372" s="16">
        <v>85</v>
      </c>
      <c r="BG372" s="19">
        <v>0.71764705882352942</v>
      </c>
      <c r="BH372" s="16">
        <v>43</v>
      </c>
      <c r="BI372" s="16">
        <v>52</v>
      </c>
      <c r="BJ372" s="21">
        <v>0.82692307692307687</v>
      </c>
    </row>
    <row r="373" spans="1:62" x14ac:dyDescent="0.25">
      <c r="E373" t="s">
        <v>68</v>
      </c>
      <c r="F373" s="32">
        <v>50</v>
      </c>
      <c r="G373" s="29">
        <v>44</v>
      </c>
      <c r="H373" s="30">
        <v>0</v>
      </c>
      <c r="I373" s="30">
        <v>44</v>
      </c>
      <c r="J373" s="31">
        <v>0</v>
      </c>
      <c r="K373" s="29">
        <v>0</v>
      </c>
      <c r="L373" s="30">
        <v>0</v>
      </c>
      <c r="M373" s="30">
        <v>2</v>
      </c>
      <c r="N373" s="30">
        <v>0</v>
      </c>
      <c r="O373" s="30">
        <v>0</v>
      </c>
      <c r="P373" s="30">
        <v>0</v>
      </c>
      <c r="Q373" s="30">
        <v>0</v>
      </c>
      <c r="R373" s="31">
        <v>4</v>
      </c>
      <c r="S373" s="32">
        <v>2</v>
      </c>
      <c r="T373" s="29">
        <v>2</v>
      </c>
      <c r="U373" s="30">
        <v>0</v>
      </c>
      <c r="V373" s="30">
        <v>0</v>
      </c>
      <c r="W373" s="30">
        <v>1</v>
      </c>
      <c r="X373" s="31">
        <v>1</v>
      </c>
      <c r="Y373" s="29">
        <v>58</v>
      </c>
      <c r="Z373" s="31">
        <v>26</v>
      </c>
      <c r="AA373" s="29">
        <v>71</v>
      </c>
      <c r="AB373" s="31">
        <v>26</v>
      </c>
      <c r="AC373" s="29">
        <v>85</v>
      </c>
      <c r="AD373">
        <v>30</v>
      </c>
      <c r="AE373" s="29">
        <v>21</v>
      </c>
      <c r="AF373" s="30">
        <v>12</v>
      </c>
      <c r="AG373" s="31">
        <v>4</v>
      </c>
      <c r="AH373" s="136">
        <v>0.22413793103448276</v>
      </c>
      <c r="AI373" s="33">
        <v>0.46551724137931033</v>
      </c>
      <c r="AJ373" s="33">
        <v>0.19718309859154928</v>
      </c>
      <c r="AK373" s="33">
        <v>0</v>
      </c>
      <c r="AL373" s="33">
        <v>0.15384615384615385</v>
      </c>
      <c r="AM373" s="33">
        <v>0.15384615384615385</v>
      </c>
      <c r="AN373" s="34">
        <v>1.9318181818181819</v>
      </c>
      <c r="AO373" s="33">
        <v>0.68181818181818177</v>
      </c>
      <c r="AP373" s="33">
        <v>0.27272727272727271</v>
      </c>
      <c r="AQ373" s="33">
        <v>9.0909090909090912E-2</v>
      </c>
      <c r="AR373" s="35">
        <v>8.3333333333333329E-2</v>
      </c>
      <c r="AS373" s="251">
        <f t="shared" si="10"/>
        <v>4.5454545454545456E-2</v>
      </c>
      <c r="AT373" s="252">
        <f t="shared" si="11"/>
        <v>0</v>
      </c>
      <c r="AU373" s="29">
        <v>47</v>
      </c>
      <c r="AV373" s="30">
        <v>55</v>
      </c>
      <c r="AW373" s="31">
        <v>52</v>
      </c>
      <c r="AX373" s="136">
        <v>0.1702127659574468</v>
      </c>
      <c r="AY373" s="33">
        <v>0.10638297872340426</v>
      </c>
      <c r="AZ373" s="35">
        <v>-5.4545454545454543E-2</v>
      </c>
      <c r="BA373" s="29">
        <v>11</v>
      </c>
      <c r="BB373" s="31">
        <v>11</v>
      </c>
      <c r="BC373" s="29">
        <v>5</v>
      </c>
      <c r="BD373" s="31">
        <v>4</v>
      </c>
      <c r="BE373" s="29">
        <v>61</v>
      </c>
      <c r="BF373" s="30">
        <v>85</v>
      </c>
      <c r="BG373" s="33">
        <v>0.71764705882352942</v>
      </c>
      <c r="BH373" s="30">
        <v>43</v>
      </c>
      <c r="BI373" s="30">
        <v>52</v>
      </c>
      <c r="BJ373" s="35">
        <v>0.82692307692307687</v>
      </c>
    </row>
    <row r="374" spans="1:62" x14ac:dyDescent="0.25">
      <c r="A374" s="130"/>
      <c r="B374" s="130" t="s">
        <v>101</v>
      </c>
      <c r="C374" s="130"/>
      <c r="D374" s="130"/>
      <c r="E374" s="130"/>
      <c r="F374" s="11">
        <v>206</v>
      </c>
      <c r="G374" s="8">
        <v>198</v>
      </c>
      <c r="H374" s="9">
        <v>0</v>
      </c>
      <c r="I374" s="9">
        <v>198</v>
      </c>
      <c r="J374" s="10">
        <v>0</v>
      </c>
      <c r="K374" s="8">
        <v>0</v>
      </c>
      <c r="L374" s="9">
        <v>1</v>
      </c>
      <c r="M374" s="9">
        <v>1</v>
      </c>
      <c r="N374" s="9">
        <v>0</v>
      </c>
      <c r="O374" s="9">
        <v>0</v>
      </c>
      <c r="P374" s="9">
        <v>0</v>
      </c>
      <c r="Q374" s="9">
        <v>1</v>
      </c>
      <c r="R374" s="10">
        <v>5</v>
      </c>
      <c r="S374" s="11">
        <v>6</v>
      </c>
      <c r="T374" s="8">
        <v>2</v>
      </c>
      <c r="U374" s="9">
        <v>0</v>
      </c>
      <c r="V374" s="9">
        <v>1</v>
      </c>
      <c r="W374" s="9">
        <v>1</v>
      </c>
      <c r="X374" s="10">
        <v>0</v>
      </c>
      <c r="Y374" s="8">
        <v>177</v>
      </c>
      <c r="Z374" s="10">
        <v>98</v>
      </c>
      <c r="AA374" s="8">
        <v>173</v>
      </c>
      <c r="AB374" s="10">
        <v>93</v>
      </c>
      <c r="AC374" s="8">
        <v>118</v>
      </c>
      <c r="AD374" s="130">
        <v>78</v>
      </c>
      <c r="AE374" s="8">
        <v>127</v>
      </c>
      <c r="AF374" s="9">
        <v>47</v>
      </c>
      <c r="AG374" s="10">
        <v>9</v>
      </c>
      <c r="AH374" s="131">
        <v>-2.2598870056497175E-2</v>
      </c>
      <c r="AI374" s="12">
        <v>-0.33333333333333331</v>
      </c>
      <c r="AJ374" s="12">
        <v>-0.31791907514450868</v>
      </c>
      <c r="AK374" s="12">
        <v>-5.1020408163265307E-2</v>
      </c>
      <c r="AL374" s="12">
        <v>-0.20408163265306123</v>
      </c>
      <c r="AM374" s="12">
        <v>-0.16129032258064516</v>
      </c>
      <c r="AN374" s="13">
        <v>0.59595959595959591</v>
      </c>
      <c r="AO374" s="12">
        <v>0.39393939393939392</v>
      </c>
      <c r="AP374" s="12">
        <v>0.23737373737373738</v>
      </c>
      <c r="AQ374" s="12">
        <v>4.5454545454545456E-2</v>
      </c>
      <c r="AR374" s="14">
        <v>2.4630541871921183E-2</v>
      </c>
      <c r="AS374" s="245">
        <f t="shared" si="10"/>
        <v>3.0303030303030304E-2</v>
      </c>
      <c r="AT374" s="246">
        <f t="shared" si="11"/>
        <v>2.0202020202020204E-2</v>
      </c>
      <c r="AU374" s="8">
        <v>87</v>
      </c>
      <c r="AV374" s="9">
        <v>74</v>
      </c>
      <c r="AW374" s="10">
        <v>59</v>
      </c>
      <c r="AX374" s="131">
        <v>-0.14942528735632185</v>
      </c>
      <c r="AY374" s="12">
        <v>-0.32183908045977011</v>
      </c>
      <c r="AZ374" s="14">
        <v>-0.20270270270270271</v>
      </c>
      <c r="BA374" s="8">
        <v>29</v>
      </c>
      <c r="BB374" s="10">
        <v>14</v>
      </c>
      <c r="BC374" s="8">
        <v>4</v>
      </c>
      <c r="BD374" s="10">
        <v>4</v>
      </c>
      <c r="BE374" s="8">
        <v>80</v>
      </c>
      <c r="BF374" s="9">
        <v>118</v>
      </c>
      <c r="BG374" s="12">
        <v>0.67796610169491522</v>
      </c>
      <c r="BH374" s="9">
        <v>43</v>
      </c>
      <c r="BI374" s="9">
        <v>59</v>
      </c>
      <c r="BJ374" s="14">
        <v>0.72881355932203384</v>
      </c>
    </row>
    <row r="375" spans="1:62" x14ac:dyDescent="0.25">
      <c r="E375" t="s">
        <v>68</v>
      </c>
      <c r="F375" s="32">
        <v>203</v>
      </c>
      <c r="G375" s="29">
        <v>195</v>
      </c>
      <c r="H375" s="30">
        <v>0</v>
      </c>
      <c r="I375" s="30">
        <v>195</v>
      </c>
      <c r="J375" s="31">
        <v>0</v>
      </c>
      <c r="K375" s="29">
        <v>0</v>
      </c>
      <c r="L375" s="30">
        <v>1</v>
      </c>
      <c r="M375" s="30">
        <v>1</v>
      </c>
      <c r="N375" s="30">
        <v>0</v>
      </c>
      <c r="O375" s="30">
        <v>0</v>
      </c>
      <c r="P375" s="30">
        <v>0</v>
      </c>
      <c r="Q375" s="30">
        <v>1</v>
      </c>
      <c r="R375" s="31">
        <v>5</v>
      </c>
      <c r="S375" s="32">
        <v>3</v>
      </c>
      <c r="T375" s="29">
        <v>2</v>
      </c>
      <c r="U375" s="30">
        <v>0</v>
      </c>
      <c r="V375" s="30">
        <v>1</v>
      </c>
      <c r="W375" s="30">
        <v>1</v>
      </c>
      <c r="X375" s="31">
        <v>0</v>
      </c>
      <c r="Y375" s="29">
        <v>177</v>
      </c>
      <c r="Z375" s="31">
        <v>98</v>
      </c>
      <c r="AA375" s="29">
        <v>173</v>
      </c>
      <c r="AB375" s="31">
        <v>93</v>
      </c>
      <c r="AC375" s="29">
        <v>114</v>
      </c>
      <c r="AD375">
        <v>78</v>
      </c>
      <c r="AE375" s="29">
        <v>127</v>
      </c>
      <c r="AF375" s="30">
        <v>47</v>
      </c>
      <c r="AG375" s="31">
        <v>8</v>
      </c>
      <c r="AH375" s="136">
        <v>-2.2598870056497175E-2</v>
      </c>
      <c r="AI375" s="33">
        <v>-0.3559322033898305</v>
      </c>
      <c r="AJ375" s="33">
        <v>-0.34104046242774566</v>
      </c>
      <c r="AK375" s="33">
        <v>-5.1020408163265307E-2</v>
      </c>
      <c r="AL375" s="33">
        <v>-0.20408163265306123</v>
      </c>
      <c r="AM375" s="33">
        <v>-0.16129032258064516</v>
      </c>
      <c r="AN375" s="34">
        <v>0.58461538461538465</v>
      </c>
      <c r="AO375" s="33">
        <v>0.4</v>
      </c>
      <c r="AP375" s="33">
        <v>0.24102564102564103</v>
      </c>
      <c r="AQ375" s="33">
        <v>4.1025641025641026E-2</v>
      </c>
      <c r="AR375" s="35">
        <v>2.5000000000000001E-2</v>
      </c>
      <c r="AS375" s="251">
        <f t="shared" si="10"/>
        <v>1.5384615384615385E-2</v>
      </c>
      <c r="AT375" s="252">
        <f t="shared" si="11"/>
        <v>5.1282051282051282E-3</v>
      </c>
      <c r="AU375" s="29">
        <v>87</v>
      </c>
      <c r="AV375" s="30">
        <v>74</v>
      </c>
      <c r="AW375" s="31">
        <v>58</v>
      </c>
      <c r="AX375" s="136">
        <v>-0.14942528735632185</v>
      </c>
      <c r="AY375" s="33">
        <v>-0.33333333333333331</v>
      </c>
      <c r="AZ375" s="35">
        <v>-0.21621621621621623</v>
      </c>
      <c r="BA375" s="29">
        <v>29</v>
      </c>
      <c r="BB375" s="31">
        <v>14.5</v>
      </c>
      <c r="BC375" s="29">
        <v>4</v>
      </c>
      <c r="BD375" s="31">
        <v>4</v>
      </c>
      <c r="BE375" s="29">
        <v>77</v>
      </c>
      <c r="BF375" s="30">
        <v>114</v>
      </c>
      <c r="BG375" s="33">
        <v>0.67543859649122806</v>
      </c>
      <c r="BH375" s="30">
        <v>42</v>
      </c>
      <c r="BI375" s="30">
        <v>58</v>
      </c>
      <c r="BJ375" s="35">
        <v>0.72413793103448276</v>
      </c>
    </row>
    <row r="376" spans="1:62" x14ac:dyDescent="0.25">
      <c r="A376" s="128" t="s">
        <v>231</v>
      </c>
      <c r="B376" s="128"/>
      <c r="C376" s="128"/>
      <c r="D376" s="128"/>
      <c r="E376" s="128"/>
      <c r="F376" s="137">
        <v>55493</v>
      </c>
      <c r="G376" s="138">
        <v>156</v>
      </c>
      <c r="H376" s="139">
        <v>55189</v>
      </c>
      <c r="I376" s="139">
        <v>14531</v>
      </c>
      <c r="J376" s="140">
        <v>40814</v>
      </c>
      <c r="K376" s="138">
        <v>0</v>
      </c>
      <c r="L376" s="139">
        <v>147</v>
      </c>
      <c r="M376" s="139">
        <v>0</v>
      </c>
      <c r="N376" s="139">
        <v>0</v>
      </c>
      <c r="O376" s="139">
        <v>0</v>
      </c>
      <c r="P376" s="139">
        <v>1</v>
      </c>
      <c r="Q376" s="139">
        <v>0</v>
      </c>
      <c r="R376" s="140">
        <v>0</v>
      </c>
      <c r="S376" s="137">
        <v>864</v>
      </c>
      <c r="T376" s="138"/>
      <c r="U376" s="139"/>
      <c r="V376" s="139"/>
      <c r="W376" s="139"/>
      <c r="X376" s="140"/>
      <c r="Y376" s="138">
        <v>554</v>
      </c>
      <c r="Z376" s="140">
        <v>410</v>
      </c>
      <c r="AA376" s="138">
        <v>25</v>
      </c>
      <c r="AB376" s="140">
        <v>17</v>
      </c>
      <c r="AC376" s="138">
        <v>18</v>
      </c>
      <c r="AD376" s="128">
        <v>7</v>
      </c>
      <c r="AE376" s="138">
        <v>144</v>
      </c>
      <c r="AF376" s="139">
        <v>126</v>
      </c>
      <c r="AG376" s="140">
        <v>1</v>
      </c>
      <c r="AH376" s="141">
        <v>-0.95487364620938631</v>
      </c>
      <c r="AI376" s="142">
        <v>-0.96750902527075811</v>
      </c>
      <c r="AJ376" s="142">
        <v>-0.28000000000000003</v>
      </c>
      <c r="AK376" s="142">
        <v>-0.95853658536585362</v>
      </c>
      <c r="AL376" s="142">
        <v>-0.98292682926829267</v>
      </c>
      <c r="AM376" s="142">
        <v>-0.58823529411764708</v>
      </c>
      <c r="AN376" s="143">
        <v>0.11538461538461539</v>
      </c>
      <c r="AO376" s="142">
        <v>4.4871794871794872E-2</v>
      </c>
      <c r="AP376" s="142">
        <v>0.80769230769230771</v>
      </c>
      <c r="AQ376" s="142">
        <v>6.41025641025641E-3</v>
      </c>
      <c r="AR376" s="144">
        <v>0</v>
      </c>
      <c r="AS376" s="253">
        <f t="shared" si="10"/>
        <v>5.5384615384615383</v>
      </c>
      <c r="AT376" s="254">
        <f t="shared" si="11"/>
        <v>5.5384615384615383</v>
      </c>
      <c r="AU376" s="138">
        <v>0</v>
      </c>
      <c r="AV376" s="139">
        <v>0</v>
      </c>
      <c r="AW376" s="140">
        <v>0</v>
      </c>
      <c r="AX376" s="141"/>
      <c r="AY376" s="142"/>
      <c r="AZ376" s="144"/>
      <c r="BA376" s="138"/>
      <c r="BB376" s="140"/>
      <c r="BC376" s="138"/>
      <c r="BD376" s="140"/>
      <c r="BE376" s="138">
        <v>0</v>
      </c>
      <c r="BF376" s="139">
        <v>0</v>
      </c>
      <c r="BG376" s="142"/>
      <c r="BH376" s="139">
        <v>0</v>
      </c>
      <c r="BI376" s="139">
        <v>0</v>
      </c>
      <c r="BJ376" s="144"/>
    </row>
    <row r="377" spans="1:62" x14ac:dyDescent="0.25">
      <c r="A377" s="130"/>
      <c r="B377" s="130" t="s">
        <v>232</v>
      </c>
      <c r="C377" s="130"/>
      <c r="D377" s="130"/>
      <c r="E377" s="130"/>
      <c r="F377" s="11">
        <v>905</v>
      </c>
      <c r="G377" s="8">
        <v>15</v>
      </c>
      <c r="H377" s="9">
        <v>889</v>
      </c>
      <c r="I377" s="9">
        <v>14</v>
      </c>
      <c r="J377" s="10">
        <v>890</v>
      </c>
      <c r="K377" s="8">
        <v>0</v>
      </c>
      <c r="L377" s="9">
        <v>1</v>
      </c>
      <c r="M377" s="9">
        <v>0</v>
      </c>
      <c r="N377" s="9">
        <v>0</v>
      </c>
      <c r="O377" s="9">
        <v>0</v>
      </c>
      <c r="P377" s="9">
        <v>0</v>
      </c>
      <c r="Q377" s="9">
        <v>0</v>
      </c>
      <c r="R377" s="10">
        <v>0</v>
      </c>
      <c r="S377" s="11">
        <v>0</v>
      </c>
      <c r="T377" s="8"/>
      <c r="U377" s="9"/>
      <c r="V377" s="9"/>
      <c r="W377" s="9"/>
      <c r="X377" s="10"/>
      <c r="Y377" s="8">
        <v>8</v>
      </c>
      <c r="Z377" s="10">
        <v>4</v>
      </c>
      <c r="AA377" s="8">
        <v>13</v>
      </c>
      <c r="AB377" s="10">
        <v>10</v>
      </c>
      <c r="AC377" s="8">
        <v>10</v>
      </c>
      <c r="AD377" s="130">
        <v>7</v>
      </c>
      <c r="AE377" s="8">
        <v>8</v>
      </c>
      <c r="AF377" s="9">
        <v>4</v>
      </c>
      <c r="AG377" s="10">
        <v>0</v>
      </c>
      <c r="AH377" s="131">
        <v>0.625</v>
      </c>
      <c r="AI377" s="12">
        <v>0.25</v>
      </c>
      <c r="AJ377" s="12">
        <v>-0.23076923076923078</v>
      </c>
      <c r="AK377" s="12">
        <v>1.5</v>
      </c>
      <c r="AL377" s="12">
        <v>0.75</v>
      </c>
      <c r="AM377" s="12">
        <v>-0.3</v>
      </c>
      <c r="AN377" s="13">
        <v>0.66666666666666663</v>
      </c>
      <c r="AO377" s="12">
        <v>0.46666666666666667</v>
      </c>
      <c r="AP377" s="12">
        <v>0.26666666666666666</v>
      </c>
      <c r="AQ377" s="12">
        <v>0</v>
      </c>
      <c r="AR377" s="14">
        <v>0</v>
      </c>
      <c r="AS377" s="245">
        <f t="shared" ref="AS377:AS406" si="12">S377/G377</f>
        <v>0</v>
      </c>
      <c r="AT377" s="246">
        <f t="shared" ref="AT377:AT406" si="13">(S377-T377)/G377</f>
        <v>0</v>
      </c>
      <c r="AU377" s="8">
        <v>9</v>
      </c>
      <c r="AV377" s="9">
        <v>9</v>
      </c>
      <c r="AW377" s="10">
        <v>6</v>
      </c>
      <c r="AX377" s="131">
        <v>0</v>
      </c>
      <c r="AY377" s="12">
        <v>-0.33333333333333331</v>
      </c>
      <c r="AZ377" s="14">
        <v>-0.33333333333333331</v>
      </c>
      <c r="BA377" s="8">
        <v>43</v>
      </c>
      <c r="BB377" s="10">
        <v>56</v>
      </c>
      <c r="BC377" s="8">
        <v>2</v>
      </c>
      <c r="BD377" s="10">
        <v>8</v>
      </c>
      <c r="BE377" s="8">
        <v>3</v>
      </c>
      <c r="BF377" s="9">
        <v>10</v>
      </c>
      <c r="BG377" s="12">
        <v>0.3</v>
      </c>
      <c r="BH377" s="9">
        <v>2</v>
      </c>
      <c r="BI377" s="9">
        <v>6</v>
      </c>
      <c r="BJ377" s="14">
        <v>0.33333333333333331</v>
      </c>
    </row>
    <row r="378" spans="1:62" x14ac:dyDescent="0.25">
      <c r="A378" s="132"/>
      <c r="B378" s="132"/>
      <c r="C378" s="132" t="s">
        <v>233</v>
      </c>
      <c r="D378" s="132"/>
      <c r="E378" s="132"/>
      <c r="F378" s="18">
        <v>905</v>
      </c>
      <c r="G378" s="15">
        <v>15</v>
      </c>
      <c r="H378" s="16">
        <v>889</v>
      </c>
      <c r="I378" s="16">
        <v>14</v>
      </c>
      <c r="J378" s="17">
        <v>890</v>
      </c>
      <c r="K378" s="15">
        <v>0</v>
      </c>
      <c r="L378" s="16">
        <v>1</v>
      </c>
      <c r="M378" s="16">
        <v>0</v>
      </c>
      <c r="N378" s="16">
        <v>0</v>
      </c>
      <c r="O378" s="16">
        <v>0</v>
      </c>
      <c r="P378" s="16">
        <v>0</v>
      </c>
      <c r="Q378" s="16">
        <v>0</v>
      </c>
      <c r="R378" s="17">
        <v>0</v>
      </c>
      <c r="S378" s="18">
        <v>0</v>
      </c>
      <c r="T378" s="15"/>
      <c r="U378" s="16"/>
      <c r="V378" s="16"/>
      <c r="W378" s="16"/>
      <c r="X378" s="17"/>
      <c r="Y378" s="15">
        <v>8</v>
      </c>
      <c r="Z378" s="17">
        <v>4</v>
      </c>
      <c r="AA378" s="15">
        <v>13</v>
      </c>
      <c r="AB378" s="17">
        <v>10</v>
      </c>
      <c r="AC378" s="15">
        <v>10</v>
      </c>
      <c r="AD378" s="132">
        <v>7</v>
      </c>
      <c r="AE378" s="15">
        <v>8</v>
      </c>
      <c r="AF378" s="16">
        <v>4</v>
      </c>
      <c r="AG378" s="17">
        <v>0</v>
      </c>
      <c r="AH378" s="133">
        <v>0.625</v>
      </c>
      <c r="AI378" s="19">
        <v>0.25</v>
      </c>
      <c r="AJ378" s="19">
        <v>-0.23076923076923078</v>
      </c>
      <c r="AK378" s="19">
        <v>1.5</v>
      </c>
      <c r="AL378" s="19">
        <v>0.75</v>
      </c>
      <c r="AM378" s="19">
        <v>-0.3</v>
      </c>
      <c r="AN378" s="20">
        <v>0.66666666666666663</v>
      </c>
      <c r="AO378" s="19">
        <v>0.46666666666666667</v>
      </c>
      <c r="AP378" s="19">
        <v>0.26666666666666666</v>
      </c>
      <c r="AQ378" s="19">
        <v>0</v>
      </c>
      <c r="AR378" s="21">
        <v>0</v>
      </c>
      <c r="AS378" s="247">
        <f t="shared" si="12"/>
        <v>0</v>
      </c>
      <c r="AT378" s="248">
        <f t="shared" si="13"/>
        <v>0</v>
      </c>
      <c r="AU378" s="15">
        <v>8</v>
      </c>
      <c r="AV378" s="16">
        <v>6</v>
      </c>
      <c r="AW378" s="17">
        <v>6</v>
      </c>
      <c r="AX378" s="133">
        <v>-0.25</v>
      </c>
      <c r="AY378" s="19">
        <v>-0.25</v>
      </c>
      <c r="AZ378" s="21">
        <v>0</v>
      </c>
      <c r="BA378" s="15">
        <v>43</v>
      </c>
      <c r="BB378" s="17">
        <v>56</v>
      </c>
      <c r="BC378" s="15">
        <v>2</v>
      </c>
      <c r="BD378" s="17">
        <v>8</v>
      </c>
      <c r="BE378" s="15">
        <v>3</v>
      </c>
      <c r="BF378" s="16">
        <v>10</v>
      </c>
      <c r="BG378" s="19">
        <v>0.3</v>
      </c>
      <c r="BH378" s="16">
        <v>2</v>
      </c>
      <c r="BI378" s="16">
        <v>6</v>
      </c>
      <c r="BJ378" s="21">
        <v>0.33333333333333331</v>
      </c>
    </row>
    <row r="379" spans="1:62" x14ac:dyDescent="0.25">
      <c r="E379" t="s">
        <v>97</v>
      </c>
      <c r="F379" s="32">
        <v>25</v>
      </c>
      <c r="G379" s="29">
        <v>14</v>
      </c>
      <c r="H379" s="30">
        <v>10</v>
      </c>
      <c r="I379" s="30">
        <v>14</v>
      </c>
      <c r="J379" s="31">
        <v>10</v>
      </c>
      <c r="K379" s="29">
        <v>0</v>
      </c>
      <c r="L379" s="30">
        <v>1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1">
        <v>0</v>
      </c>
      <c r="S379" s="32">
        <v>0</v>
      </c>
      <c r="T379" s="29"/>
      <c r="U379" s="30"/>
      <c r="V379" s="30"/>
      <c r="W379" s="30"/>
      <c r="X379" s="31"/>
      <c r="Y379" s="29">
        <v>8</v>
      </c>
      <c r="Z379" s="31">
        <v>4</v>
      </c>
      <c r="AA379" s="29">
        <v>13</v>
      </c>
      <c r="AB379" s="31">
        <v>10</v>
      </c>
      <c r="AC379" s="29">
        <v>10</v>
      </c>
      <c r="AD379">
        <v>7</v>
      </c>
      <c r="AE379" s="29">
        <v>7</v>
      </c>
      <c r="AF379" s="30">
        <v>3</v>
      </c>
      <c r="AG379" s="31">
        <v>0</v>
      </c>
      <c r="AH379" s="136">
        <v>0.625</v>
      </c>
      <c r="AI379" s="33">
        <v>0.25</v>
      </c>
      <c r="AJ379" s="33">
        <v>-0.23076923076923078</v>
      </c>
      <c r="AK379" s="33">
        <v>1.5</v>
      </c>
      <c r="AL379" s="33">
        <v>0.75</v>
      </c>
      <c r="AM379" s="33">
        <v>-0.3</v>
      </c>
      <c r="AN379" s="34">
        <v>0.7142857142857143</v>
      </c>
      <c r="AO379" s="33">
        <v>0.5</v>
      </c>
      <c r="AP379" s="33">
        <v>0.21428571428571427</v>
      </c>
      <c r="AQ379" s="33">
        <v>0</v>
      </c>
      <c r="AR379" s="35">
        <v>0</v>
      </c>
      <c r="AS379" s="251">
        <f t="shared" si="12"/>
        <v>0</v>
      </c>
      <c r="AT379" s="252">
        <f t="shared" si="13"/>
        <v>0</v>
      </c>
      <c r="AU379" s="29">
        <v>8</v>
      </c>
      <c r="AV379" s="30">
        <v>6</v>
      </c>
      <c r="AW379" s="31">
        <v>6</v>
      </c>
      <c r="AX379" s="136">
        <v>-0.25</v>
      </c>
      <c r="AY379" s="33">
        <v>-0.25</v>
      </c>
      <c r="AZ379" s="35">
        <v>0</v>
      </c>
      <c r="BA379" s="29">
        <v>43</v>
      </c>
      <c r="BB379" s="31">
        <v>56</v>
      </c>
      <c r="BC379" s="29">
        <v>2</v>
      </c>
      <c r="BD379" s="31">
        <v>8</v>
      </c>
      <c r="BE379" s="29">
        <v>3</v>
      </c>
      <c r="BF379" s="30">
        <v>10</v>
      </c>
      <c r="BG379" s="33">
        <v>0.3</v>
      </c>
      <c r="BH379" s="30">
        <v>2</v>
      </c>
      <c r="BI379" s="30">
        <v>6</v>
      </c>
      <c r="BJ379" s="35">
        <v>0.33333333333333331</v>
      </c>
    </row>
    <row r="380" spans="1:62" x14ac:dyDescent="0.25">
      <c r="E380" t="s">
        <v>234</v>
      </c>
      <c r="F380" s="32">
        <v>880</v>
      </c>
      <c r="G380" s="29">
        <v>1</v>
      </c>
      <c r="H380" s="30">
        <v>879</v>
      </c>
      <c r="I380" s="30">
        <v>0</v>
      </c>
      <c r="J380" s="31">
        <v>880</v>
      </c>
      <c r="K380" s="29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1">
        <v>0</v>
      </c>
      <c r="S380" s="32">
        <v>0</v>
      </c>
      <c r="T380" s="29"/>
      <c r="U380" s="30"/>
      <c r="V380" s="30"/>
      <c r="W380" s="30"/>
      <c r="X380" s="31"/>
      <c r="Y380" s="29">
        <v>0</v>
      </c>
      <c r="Z380" s="31">
        <v>0</v>
      </c>
      <c r="AA380" s="29">
        <v>0</v>
      </c>
      <c r="AB380" s="31">
        <v>0</v>
      </c>
      <c r="AC380" s="29">
        <v>0</v>
      </c>
      <c r="AD380">
        <v>0</v>
      </c>
      <c r="AE380" s="29">
        <v>1</v>
      </c>
      <c r="AF380" s="30">
        <v>1</v>
      </c>
      <c r="AG380" s="31">
        <v>0</v>
      </c>
      <c r="AH380" s="136"/>
      <c r="AI380" s="33"/>
      <c r="AJ380" s="33"/>
      <c r="AK380" s="33"/>
      <c r="AL380" s="33"/>
      <c r="AM380" s="33"/>
      <c r="AN380" s="34">
        <v>0</v>
      </c>
      <c r="AO380" s="33">
        <v>0</v>
      </c>
      <c r="AP380" s="33">
        <v>1</v>
      </c>
      <c r="AQ380" s="33">
        <v>0</v>
      </c>
      <c r="AR380" s="35">
        <v>0</v>
      </c>
      <c r="AS380" s="251">
        <f t="shared" si="12"/>
        <v>0</v>
      </c>
      <c r="AT380" s="252">
        <f t="shared" si="13"/>
        <v>0</v>
      </c>
      <c r="AU380" s="29">
        <v>0</v>
      </c>
      <c r="AV380" s="30">
        <v>0</v>
      </c>
      <c r="AW380" s="31">
        <v>0</v>
      </c>
      <c r="AX380" s="136"/>
      <c r="AY380" s="33"/>
      <c r="AZ380" s="35"/>
      <c r="BA380" s="29"/>
      <c r="BB380" s="31"/>
      <c r="BC380" s="29"/>
      <c r="BD380" s="31"/>
      <c r="BE380" s="29">
        <v>0</v>
      </c>
      <c r="BF380" s="30">
        <v>0</v>
      </c>
      <c r="BG380" s="33"/>
      <c r="BH380" s="30">
        <v>0</v>
      </c>
      <c r="BI380" s="30">
        <v>0</v>
      </c>
      <c r="BJ380" s="35"/>
    </row>
    <row r="381" spans="1:62" x14ac:dyDescent="0.25">
      <c r="A381" s="130"/>
      <c r="B381" s="130" t="s">
        <v>235</v>
      </c>
      <c r="C381" s="130"/>
      <c r="D381" s="130"/>
      <c r="E381" s="130"/>
      <c r="F381" s="11">
        <v>33686</v>
      </c>
      <c r="G381" s="8">
        <v>31</v>
      </c>
      <c r="H381" s="9">
        <v>33544</v>
      </c>
      <c r="I381" s="9">
        <v>14306</v>
      </c>
      <c r="J381" s="10">
        <v>19269</v>
      </c>
      <c r="K381" s="8">
        <v>0</v>
      </c>
      <c r="L381" s="9">
        <v>110</v>
      </c>
      <c r="M381" s="9">
        <v>0</v>
      </c>
      <c r="N381" s="9">
        <v>0</v>
      </c>
      <c r="O381" s="9">
        <v>0</v>
      </c>
      <c r="P381" s="9">
        <v>1</v>
      </c>
      <c r="Q381" s="9">
        <v>0</v>
      </c>
      <c r="R381" s="10">
        <v>0</v>
      </c>
      <c r="S381" s="11">
        <v>726</v>
      </c>
      <c r="T381" s="8"/>
      <c r="U381" s="9"/>
      <c r="V381" s="9"/>
      <c r="W381" s="9"/>
      <c r="X381" s="10"/>
      <c r="Y381" s="8">
        <v>330</v>
      </c>
      <c r="Z381" s="10">
        <v>234</v>
      </c>
      <c r="AA381" s="8">
        <v>0</v>
      </c>
      <c r="AB381" s="10">
        <v>0</v>
      </c>
      <c r="AC381" s="8">
        <v>0</v>
      </c>
      <c r="AD381" s="130">
        <v>0</v>
      </c>
      <c r="AE381" s="8">
        <v>32</v>
      </c>
      <c r="AF381" s="9">
        <v>31</v>
      </c>
      <c r="AG381" s="10">
        <v>0</v>
      </c>
      <c r="AH381" s="131">
        <v>-1</v>
      </c>
      <c r="AI381" s="12">
        <v>-1</v>
      </c>
      <c r="AJ381" s="12"/>
      <c r="AK381" s="12">
        <v>-1</v>
      </c>
      <c r="AL381" s="12">
        <v>-1</v>
      </c>
      <c r="AM381" s="12"/>
      <c r="AN381" s="13">
        <v>0</v>
      </c>
      <c r="AO381" s="12">
        <v>0</v>
      </c>
      <c r="AP381" s="12">
        <v>1</v>
      </c>
      <c r="AQ381" s="12">
        <v>0</v>
      </c>
      <c r="AR381" s="14">
        <v>0</v>
      </c>
      <c r="AS381" s="245">
        <f t="shared" si="12"/>
        <v>23.419354838709676</v>
      </c>
      <c r="AT381" s="246">
        <f t="shared" si="13"/>
        <v>23.419354838709676</v>
      </c>
      <c r="AU381" s="8">
        <v>219</v>
      </c>
      <c r="AV381" s="9">
        <v>0</v>
      </c>
      <c r="AW381" s="10">
        <v>0</v>
      </c>
      <c r="AX381" s="131">
        <v>-1</v>
      </c>
      <c r="AY381" s="12">
        <v>-1</v>
      </c>
      <c r="AZ381" s="14"/>
      <c r="BA381" s="8"/>
      <c r="BB381" s="10"/>
      <c r="BC381" s="8"/>
      <c r="BD381" s="10"/>
      <c r="BE381" s="8">
        <v>0</v>
      </c>
      <c r="BF381" s="9">
        <v>0</v>
      </c>
      <c r="BG381" s="12"/>
      <c r="BH381" s="9">
        <v>0</v>
      </c>
      <c r="BI381" s="9">
        <v>0</v>
      </c>
      <c r="BJ381" s="14"/>
    </row>
    <row r="382" spans="1:62" x14ac:dyDescent="0.25">
      <c r="A382" s="132"/>
      <c r="B382" s="132"/>
      <c r="C382" s="132" t="s">
        <v>236</v>
      </c>
      <c r="D382" s="132"/>
      <c r="E382" s="132"/>
      <c r="F382" s="18">
        <v>3111</v>
      </c>
      <c r="G382" s="15">
        <v>0</v>
      </c>
      <c r="H382" s="16">
        <v>3111</v>
      </c>
      <c r="I382" s="16">
        <v>3111</v>
      </c>
      <c r="J382" s="17">
        <v>0</v>
      </c>
      <c r="K382" s="15">
        <v>0</v>
      </c>
      <c r="L382" s="16">
        <v>0</v>
      </c>
      <c r="M382" s="16">
        <v>0</v>
      </c>
      <c r="N382" s="16">
        <v>0</v>
      </c>
      <c r="O382" s="16">
        <v>0</v>
      </c>
      <c r="P382" s="16">
        <v>0</v>
      </c>
      <c r="Q382" s="16">
        <v>0</v>
      </c>
      <c r="R382" s="17">
        <v>0</v>
      </c>
      <c r="S382" s="18">
        <v>0</v>
      </c>
      <c r="T382" s="15"/>
      <c r="U382" s="16"/>
      <c r="V382" s="16"/>
      <c r="W382" s="16"/>
      <c r="X382" s="17"/>
      <c r="Y382" s="15">
        <v>0</v>
      </c>
      <c r="Z382" s="17">
        <v>0</v>
      </c>
      <c r="AA382" s="15">
        <v>0</v>
      </c>
      <c r="AB382" s="17">
        <v>0</v>
      </c>
      <c r="AC382" s="15">
        <v>0</v>
      </c>
      <c r="AD382" s="132">
        <v>0</v>
      </c>
      <c r="AE382" s="15">
        <v>0</v>
      </c>
      <c r="AF382" s="16">
        <v>0</v>
      </c>
      <c r="AG382" s="17">
        <v>0</v>
      </c>
      <c r="AH382" s="133"/>
      <c r="AI382" s="19"/>
      <c r="AJ382" s="19"/>
      <c r="AK382" s="19"/>
      <c r="AL382" s="19"/>
      <c r="AM382" s="19"/>
      <c r="AN382" s="20"/>
      <c r="AO382" s="19"/>
      <c r="AP382" s="19"/>
      <c r="AQ382" s="19"/>
      <c r="AR382" s="21"/>
      <c r="AS382" s="247" t="e">
        <f t="shared" si="12"/>
        <v>#DIV/0!</v>
      </c>
      <c r="AT382" s="248" t="e">
        <f t="shared" si="13"/>
        <v>#DIV/0!</v>
      </c>
      <c r="AU382" s="15">
        <v>0</v>
      </c>
      <c r="AV382" s="16">
        <v>0</v>
      </c>
      <c r="AW382" s="17">
        <v>0</v>
      </c>
      <c r="AX382" s="133"/>
      <c r="AY382" s="19"/>
      <c r="AZ382" s="21"/>
      <c r="BA382" s="15"/>
      <c r="BB382" s="17"/>
      <c r="BC382" s="15"/>
      <c r="BD382" s="17"/>
      <c r="BE382" s="15">
        <v>0</v>
      </c>
      <c r="BF382" s="16">
        <v>0</v>
      </c>
      <c r="BG382" s="19"/>
      <c r="BH382" s="16">
        <v>0</v>
      </c>
      <c r="BI382" s="16">
        <v>0</v>
      </c>
      <c r="BJ382" s="21"/>
    </row>
    <row r="383" spans="1:62" x14ac:dyDescent="0.25">
      <c r="E383" t="s">
        <v>68</v>
      </c>
      <c r="F383" s="32">
        <v>3106</v>
      </c>
      <c r="G383" s="29">
        <v>0</v>
      </c>
      <c r="H383" s="30">
        <v>3106</v>
      </c>
      <c r="I383" s="30">
        <v>3106</v>
      </c>
      <c r="J383" s="31">
        <v>0</v>
      </c>
      <c r="K383" s="29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1">
        <v>0</v>
      </c>
      <c r="S383" s="32">
        <v>0</v>
      </c>
      <c r="T383" s="29"/>
      <c r="U383" s="30"/>
      <c r="V383" s="30"/>
      <c r="W383" s="30"/>
      <c r="X383" s="31"/>
      <c r="Y383" s="29">
        <v>0</v>
      </c>
      <c r="Z383" s="31">
        <v>0</v>
      </c>
      <c r="AA383" s="29">
        <v>0</v>
      </c>
      <c r="AB383" s="31">
        <v>0</v>
      </c>
      <c r="AC383" s="29">
        <v>0</v>
      </c>
      <c r="AD383">
        <v>0</v>
      </c>
      <c r="AE383" s="29">
        <v>0</v>
      </c>
      <c r="AF383" s="30">
        <v>0</v>
      </c>
      <c r="AG383" s="31">
        <v>0</v>
      </c>
      <c r="AH383" s="136"/>
      <c r="AI383" s="33"/>
      <c r="AJ383" s="33"/>
      <c r="AK383" s="33"/>
      <c r="AL383" s="33"/>
      <c r="AM383" s="33"/>
      <c r="AN383" s="34"/>
      <c r="AO383" s="33"/>
      <c r="AP383" s="33"/>
      <c r="AQ383" s="33"/>
      <c r="AR383" s="35"/>
      <c r="AS383" s="251" t="e">
        <f t="shared" si="12"/>
        <v>#DIV/0!</v>
      </c>
      <c r="AT383" s="252" t="e">
        <f t="shared" si="13"/>
        <v>#DIV/0!</v>
      </c>
      <c r="AU383" s="29">
        <v>0</v>
      </c>
      <c r="AV383" s="30">
        <v>0</v>
      </c>
      <c r="AW383" s="31">
        <v>0</v>
      </c>
      <c r="AX383" s="136"/>
      <c r="AY383" s="33"/>
      <c r="AZ383" s="35"/>
      <c r="BA383" s="29"/>
      <c r="BB383" s="31"/>
      <c r="BC383" s="29"/>
      <c r="BD383" s="31"/>
      <c r="BE383" s="29">
        <v>0</v>
      </c>
      <c r="BF383" s="30">
        <v>0</v>
      </c>
      <c r="BG383" s="33"/>
      <c r="BH383" s="30">
        <v>0</v>
      </c>
      <c r="BI383" s="30">
        <v>0</v>
      </c>
      <c r="BJ383" s="35"/>
    </row>
    <row r="384" spans="1:62" x14ac:dyDescent="0.25">
      <c r="A384" s="132"/>
      <c r="B384" s="132"/>
      <c r="C384" s="132" t="s">
        <v>237</v>
      </c>
      <c r="D384" s="132"/>
      <c r="E384" s="132"/>
      <c r="F384" s="18">
        <v>1851</v>
      </c>
      <c r="G384" s="15">
        <v>0</v>
      </c>
      <c r="H384" s="16">
        <v>1850</v>
      </c>
      <c r="I384" s="16">
        <v>1773</v>
      </c>
      <c r="J384" s="17">
        <v>77</v>
      </c>
      <c r="K384" s="15">
        <v>0</v>
      </c>
      <c r="L384" s="16">
        <v>1</v>
      </c>
      <c r="M384" s="16">
        <v>0</v>
      </c>
      <c r="N384" s="16">
        <v>0</v>
      </c>
      <c r="O384" s="16">
        <v>0</v>
      </c>
      <c r="P384" s="16">
        <v>0</v>
      </c>
      <c r="Q384" s="16">
        <v>0</v>
      </c>
      <c r="R384" s="17">
        <v>0</v>
      </c>
      <c r="S384" s="18">
        <v>0</v>
      </c>
      <c r="T384" s="15"/>
      <c r="U384" s="16"/>
      <c r="V384" s="16"/>
      <c r="W384" s="16"/>
      <c r="X384" s="17"/>
      <c r="Y384" s="15">
        <v>1</v>
      </c>
      <c r="Z384" s="17">
        <v>1</v>
      </c>
      <c r="AA384" s="15">
        <v>0</v>
      </c>
      <c r="AB384" s="17">
        <v>0</v>
      </c>
      <c r="AC384" s="15">
        <v>0</v>
      </c>
      <c r="AD384" s="132">
        <v>0</v>
      </c>
      <c r="AE384" s="15">
        <v>0</v>
      </c>
      <c r="AF384" s="16">
        <v>0</v>
      </c>
      <c r="AG384" s="17">
        <v>0</v>
      </c>
      <c r="AH384" s="133">
        <v>-1</v>
      </c>
      <c r="AI384" s="19">
        <v>-1</v>
      </c>
      <c r="AJ384" s="19"/>
      <c r="AK384" s="19">
        <v>-1</v>
      </c>
      <c r="AL384" s="19">
        <v>-1</v>
      </c>
      <c r="AM384" s="19"/>
      <c r="AN384" s="20"/>
      <c r="AO384" s="19"/>
      <c r="AP384" s="19"/>
      <c r="AQ384" s="19"/>
      <c r="AR384" s="21"/>
      <c r="AS384" s="247" t="e">
        <f t="shared" si="12"/>
        <v>#DIV/0!</v>
      </c>
      <c r="AT384" s="248" t="e">
        <f t="shared" si="13"/>
        <v>#DIV/0!</v>
      </c>
      <c r="AU384" s="15">
        <v>1</v>
      </c>
      <c r="AV384" s="16">
        <v>0</v>
      </c>
      <c r="AW384" s="17">
        <v>0</v>
      </c>
      <c r="AX384" s="133">
        <v>-1</v>
      </c>
      <c r="AY384" s="19">
        <v>-1</v>
      </c>
      <c r="AZ384" s="21"/>
      <c r="BA384" s="15"/>
      <c r="BB384" s="17"/>
      <c r="BC384" s="15"/>
      <c r="BD384" s="17"/>
      <c r="BE384" s="15">
        <v>0</v>
      </c>
      <c r="BF384" s="16">
        <v>0</v>
      </c>
      <c r="BG384" s="19"/>
      <c r="BH384" s="16">
        <v>0</v>
      </c>
      <c r="BI384" s="16">
        <v>0</v>
      </c>
      <c r="BJ384" s="21"/>
    </row>
    <row r="385" spans="1:62" x14ac:dyDescent="0.25">
      <c r="E385" t="s">
        <v>68</v>
      </c>
      <c r="F385" s="32">
        <v>305</v>
      </c>
      <c r="G385" s="29">
        <v>0</v>
      </c>
      <c r="H385" s="30">
        <v>305</v>
      </c>
      <c r="I385" s="30">
        <v>305</v>
      </c>
      <c r="J385" s="31">
        <v>0</v>
      </c>
      <c r="K385" s="29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1">
        <v>0</v>
      </c>
      <c r="S385" s="32">
        <v>0</v>
      </c>
      <c r="T385" s="29"/>
      <c r="U385" s="30"/>
      <c r="V385" s="30"/>
      <c r="W385" s="30"/>
      <c r="X385" s="31"/>
      <c r="Y385" s="29"/>
      <c r="Z385" s="31"/>
      <c r="AA385" s="29"/>
      <c r="AB385" s="31"/>
      <c r="AC385" s="29"/>
      <c r="AD385">
        <v>0</v>
      </c>
      <c r="AE385" s="29">
        <v>0</v>
      </c>
      <c r="AF385" s="30">
        <v>0</v>
      </c>
      <c r="AG385" s="31">
        <v>0</v>
      </c>
      <c r="AH385" s="136"/>
      <c r="AI385" s="33"/>
      <c r="AJ385" s="33"/>
      <c r="AK385" s="33"/>
      <c r="AL385" s="33"/>
      <c r="AM385" s="33"/>
      <c r="AN385" s="34"/>
      <c r="AO385" s="33"/>
      <c r="AP385" s="33"/>
      <c r="AQ385" s="33"/>
      <c r="AR385" s="35"/>
      <c r="AS385" s="251" t="e">
        <f t="shared" si="12"/>
        <v>#DIV/0!</v>
      </c>
      <c r="AT385" s="252" t="e">
        <f t="shared" si="13"/>
        <v>#DIV/0!</v>
      </c>
      <c r="AU385" s="29">
        <v>0</v>
      </c>
      <c r="AV385" s="30">
        <v>0</v>
      </c>
      <c r="AW385" s="31">
        <v>0</v>
      </c>
      <c r="AX385" s="136"/>
      <c r="AY385" s="33"/>
      <c r="AZ385" s="35"/>
      <c r="BA385" s="29"/>
      <c r="BB385" s="31"/>
      <c r="BC385" s="29"/>
      <c r="BD385" s="31"/>
      <c r="BE385" s="29">
        <v>0</v>
      </c>
      <c r="BF385" s="30">
        <v>0</v>
      </c>
      <c r="BG385" s="33"/>
      <c r="BH385" s="30">
        <v>0</v>
      </c>
      <c r="BI385" s="30">
        <v>0</v>
      </c>
      <c r="BJ385" s="35"/>
    </row>
    <row r="386" spans="1:62" x14ac:dyDescent="0.25">
      <c r="E386" t="s">
        <v>221</v>
      </c>
      <c r="F386" s="32">
        <v>1545</v>
      </c>
      <c r="G386" s="29">
        <v>0</v>
      </c>
      <c r="H386" s="30">
        <v>1544</v>
      </c>
      <c r="I386" s="30">
        <v>1467</v>
      </c>
      <c r="J386" s="31">
        <v>77</v>
      </c>
      <c r="K386" s="29">
        <v>0</v>
      </c>
      <c r="L386" s="30">
        <v>1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1">
        <v>0</v>
      </c>
      <c r="S386" s="32">
        <v>0</v>
      </c>
      <c r="T386" s="29"/>
      <c r="U386" s="30"/>
      <c r="V386" s="30"/>
      <c r="W386" s="30"/>
      <c r="X386" s="31"/>
      <c r="Y386" s="29">
        <v>1</v>
      </c>
      <c r="Z386" s="31">
        <v>1</v>
      </c>
      <c r="AA386" s="29">
        <v>0</v>
      </c>
      <c r="AB386" s="31">
        <v>0</v>
      </c>
      <c r="AC386" s="29">
        <v>0</v>
      </c>
      <c r="AD386">
        <v>0</v>
      </c>
      <c r="AE386" s="29">
        <v>0</v>
      </c>
      <c r="AF386" s="30">
        <v>0</v>
      </c>
      <c r="AG386" s="31">
        <v>0</v>
      </c>
      <c r="AH386" s="136">
        <v>-1</v>
      </c>
      <c r="AI386" s="33">
        <v>-1</v>
      </c>
      <c r="AJ386" s="33"/>
      <c r="AK386" s="33">
        <v>-1</v>
      </c>
      <c r="AL386" s="33">
        <v>-1</v>
      </c>
      <c r="AM386" s="33"/>
      <c r="AN386" s="34"/>
      <c r="AO386" s="33"/>
      <c r="AP386" s="33"/>
      <c r="AQ386" s="33"/>
      <c r="AR386" s="35"/>
      <c r="AS386" s="251" t="e">
        <f t="shared" si="12"/>
        <v>#DIV/0!</v>
      </c>
      <c r="AT386" s="252" t="e">
        <f t="shared" si="13"/>
        <v>#DIV/0!</v>
      </c>
      <c r="AU386" s="29">
        <v>1</v>
      </c>
      <c r="AV386" s="30">
        <v>0</v>
      </c>
      <c r="AW386" s="31">
        <v>0</v>
      </c>
      <c r="AX386" s="136">
        <v>-1</v>
      </c>
      <c r="AY386" s="33">
        <v>-1</v>
      </c>
      <c r="AZ386" s="35"/>
      <c r="BA386" s="29"/>
      <c r="BB386" s="31"/>
      <c r="BC386" s="29"/>
      <c r="BD386" s="31"/>
      <c r="BE386" s="29">
        <v>0</v>
      </c>
      <c r="BF386" s="30">
        <v>0</v>
      </c>
      <c r="BG386" s="33"/>
      <c r="BH386" s="30">
        <v>0</v>
      </c>
      <c r="BI386" s="30">
        <v>0</v>
      </c>
      <c r="BJ386" s="35"/>
    </row>
    <row r="387" spans="1:62" x14ac:dyDescent="0.25">
      <c r="A387" s="132"/>
      <c r="B387" s="132"/>
      <c r="C387" s="132" t="s">
        <v>238</v>
      </c>
      <c r="D387" s="132"/>
      <c r="E387" s="132"/>
      <c r="F387" s="18">
        <v>654</v>
      </c>
      <c r="G387" s="15">
        <v>2</v>
      </c>
      <c r="H387" s="16">
        <v>652</v>
      </c>
      <c r="I387" s="16">
        <v>652</v>
      </c>
      <c r="J387" s="17">
        <v>2</v>
      </c>
      <c r="K387" s="15">
        <v>0</v>
      </c>
      <c r="L387" s="16">
        <v>0</v>
      </c>
      <c r="M387" s="16">
        <v>0</v>
      </c>
      <c r="N387" s="16">
        <v>0</v>
      </c>
      <c r="O387" s="16">
        <v>0</v>
      </c>
      <c r="P387" s="16">
        <v>0</v>
      </c>
      <c r="Q387" s="16">
        <v>0</v>
      </c>
      <c r="R387" s="17">
        <v>0</v>
      </c>
      <c r="S387" s="18">
        <v>55</v>
      </c>
      <c r="T387" s="15"/>
      <c r="U387" s="16"/>
      <c r="V387" s="16"/>
      <c r="W387" s="16"/>
      <c r="X387" s="17"/>
      <c r="Y387" s="15"/>
      <c r="Z387" s="17"/>
      <c r="AA387" s="15"/>
      <c r="AB387" s="17"/>
      <c r="AC387" s="15"/>
      <c r="AD387" s="132">
        <v>0</v>
      </c>
      <c r="AE387" s="15">
        <v>2</v>
      </c>
      <c r="AF387" s="16">
        <v>2</v>
      </c>
      <c r="AG387" s="17">
        <v>0</v>
      </c>
      <c r="AH387" s="133"/>
      <c r="AI387" s="19"/>
      <c r="AJ387" s="19"/>
      <c r="AK387" s="19"/>
      <c r="AL387" s="19"/>
      <c r="AM387" s="19"/>
      <c r="AN387" s="20">
        <v>0</v>
      </c>
      <c r="AO387" s="19">
        <v>0</v>
      </c>
      <c r="AP387" s="19">
        <v>1</v>
      </c>
      <c r="AQ387" s="19">
        <v>0</v>
      </c>
      <c r="AR387" s="21">
        <v>0</v>
      </c>
      <c r="AS387" s="247">
        <f t="shared" si="12"/>
        <v>27.5</v>
      </c>
      <c r="AT387" s="248">
        <f t="shared" si="13"/>
        <v>27.5</v>
      </c>
      <c r="AU387" s="15">
        <v>0</v>
      </c>
      <c r="AV387" s="16">
        <v>0</v>
      </c>
      <c r="AW387" s="17">
        <v>0</v>
      </c>
      <c r="AX387" s="133"/>
      <c r="AY387" s="19"/>
      <c r="AZ387" s="21"/>
      <c r="BA387" s="15"/>
      <c r="BB387" s="17"/>
      <c r="BC387" s="15"/>
      <c r="BD387" s="17"/>
      <c r="BE387" s="15">
        <v>0</v>
      </c>
      <c r="BF387" s="16">
        <v>0</v>
      </c>
      <c r="BG387" s="19"/>
      <c r="BH387" s="16">
        <v>0</v>
      </c>
      <c r="BI387" s="16">
        <v>0</v>
      </c>
      <c r="BJ387" s="21"/>
    </row>
    <row r="388" spans="1:62" x14ac:dyDescent="0.25">
      <c r="E388" t="s">
        <v>68</v>
      </c>
      <c r="F388" s="32">
        <v>10</v>
      </c>
      <c r="G388" s="29">
        <v>0</v>
      </c>
      <c r="H388" s="30">
        <v>10</v>
      </c>
      <c r="I388" s="30">
        <v>8</v>
      </c>
      <c r="J388" s="31">
        <v>2</v>
      </c>
      <c r="K388" s="29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1">
        <v>0</v>
      </c>
      <c r="S388" s="32">
        <v>2</v>
      </c>
      <c r="T388" s="29"/>
      <c r="U388" s="30"/>
      <c r="V388" s="30"/>
      <c r="W388" s="30"/>
      <c r="X388" s="31"/>
      <c r="Y388" s="29"/>
      <c r="Z388" s="31"/>
      <c r="AA388" s="29"/>
      <c r="AB388" s="31"/>
      <c r="AC388" s="29"/>
      <c r="AD388">
        <v>0</v>
      </c>
      <c r="AE388" s="29">
        <v>0</v>
      </c>
      <c r="AF388" s="30">
        <v>0</v>
      </c>
      <c r="AG388" s="31">
        <v>0</v>
      </c>
      <c r="AH388" s="136"/>
      <c r="AI388" s="33"/>
      <c r="AJ388" s="33"/>
      <c r="AK388" s="33"/>
      <c r="AL388" s="33"/>
      <c r="AM388" s="33"/>
      <c r="AN388" s="34"/>
      <c r="AO388" s="33"/>
      <c r="AP388" s="33"/>
      <c r="AQ388" s="33"/>
      <c r="AR388" s="35"/>
      <c r="AS388" s="251" t="e">
        <f t="shared" si="12"/>
        <v>#DIV/0!</v>
      </c>
      <c r="AT388" s="252" t="e">
        <f t="shared" si="13"/>
        <v>#DIV/0!</v>
      </c>
      <c r="AU388" s="29">
        <v>0</v>
      </c>
      <c r="AV388" s="30">
        <v>0</v>
      </c>
      <c r="AW388" s="31">
        <v>0</v>
      </c>
      <c r="AX388" s="136"/>
      <c r="AY388" s="33"/>
      <c r="AZ388" s="35"/>
      <c r="BA388" s="29"/>
      <c r="BB388" s="31"/>
      <c r="BC388" s="29"/>
      <c r="BD388" s="31"/>
      <c r="BE388" s="29">
        <v>0</v>
      </c>
      <c r="BF388" s="30">
        <v>0</v>
      </c>
      <c r="BG388" s="33"/>
      <c r="BH388" s="30">
        <v>0</v>
      </c>
      <c r="BI388" s="30">
        <v>0</v>
      </c>
      <c r="BJ388" s="35"/>
    </row>
    <row r="389" spans="1:62" x14ac:dyDescent="0.25">
      <c r="E389" t="s">
        <v>148</v>
      </c>
      <c r="F389" s="32">
        <v>644</v>
      </c>
      <c r="G389" s="29">
        <v>2</v>
      </c>
      <c r="H389" s="30">
        <v>642</v>
      </c>
      <c r="I389" s="30">
        <v>644</v>
      </c>
      <c r="J389" s="31">
        <v>0</v>
      </c>
      <c r="K389" s="29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1">
        <v>0</v>
      </c>
      <c r="S389" s="32">
        <v>53</v>
      </c>
      <c r="T389" s="29"/>
      <c r="U389" s="30"/>
      <c r="V389" s="30"/>
      <c r="W389" s="30"/>
      <c r="X389" s="31"/>
      <c r="Y389" s="29"/>
      <c r="Z389" s="31"/>
      <c r="AA389" s="29"/>
      <c r="AB389" s="31"/>
      <c r="AC389" s="29"/>
      <c r="AD389">
        <v>0</v>
      </c>
      <c r="AE389" s="29">
        <v>2</v>
      </c>
      <c r="AF389" s="30">
        <v>2</v>
      </c>
      <c r="AG389" s="31">
        <v>0</v>
      </c>
      <c r="AH389" s="136"/>
      <c r="AI389" s="33"/>
      <c r="AJ389" s="33"/>
      <c r="AK389" s="33"/>
      <c r="AL389" s="33"/>
      <c r="AM389" s="33"/>
      <c r="AN389" s="34">
        <v>0</v>
      </c>
      <c r="AO389" s="33">
        <v>0</v>
      </c>
      <c r="AP389" s="33">
        <v>1</v>
      </c>
      <c r="AQ389" s="33">
        <v>0</v>
      </c>
      <c r="AR389" s="35">
        <v>0</v>
      </c>
      <c r="AS389" s="251">
        <f t="shared" si="12"/>
        <v>26.5</v>
      </c>
      <c r="AT389" s="252">
        <f t="shared" si="13"/>
        <v>26.5</v>
      </c>
      <c r="AU389" s="29">
        <v>0</v>
      </c>
      <c r="AV389" s="30">
        <v>0</v>
      </c>
      <c r="AW389" s="31">
        <v>0</v>
      </c>
      <c r="AX389" s="136"/>
      <c r="AY389" s="33"/>
      <c r="AZ389" s="35"/>
      <c r="BA389" s="29"/>
      <c r="BB389" s="31"/>
      <c r="BC389" s="29"/>
      <c r="BD389" s="31"/>
      <c r="BE389" s="29">
        <v>0</v>
      </c>
      <c r="BF389" s="30">
        <v>0</v>
      </c>
      <c r="BG389" s="33"/>
      <c r="BH389" s="30">
        <v>0</v>
      </c>
      <c r="BI389" s="30">
        <v>0</v>
      </c>
      <c r="BJ389" s="35"/>
    </row>
    <row r="390" spans="1:62" x14ac:dyDescent="0.25">
      <c r="E390" t="s">
        <v>181</v>
      </c>
      <c r="F390" s="32">
        <v>21</v>
      </c>
      <c r="G390" s="29">
        <v>0</v>
      </c>
      <c r="H390" s="30">
        <v>21</v>
      </c>
      <c r="I390" s="30">
        <v>21</v>
      </c>
      <c r="J390" s="31">
        <v>0</v>
      </c>
      <c r="K390" s="29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1">
        <v>0</v>
      </c>
      <c r="S390" s="32">
        <v>0</v>
      </c>
      <c r="T390" s="29"/>
      <c r="U390" s="30"/>
      <c r="V390" s="30"/>
      <c r="W390" s="30"/>
      <c r="X390" s="31"/>
      <c r="Y390" s="29"/>
      <c r="Z390" s="31"/>
      <c r="AA390" s="29"/>
      <c r="AB390" s="31"/>
      <c r="AC390" s="29"/>
      <c r="AD390">
        <v>0</v>
      </c>
      <c r="AE390" s="29">
        <v>0</v>
      </c>
      <c r="AF390" s="30">
        <v>0</v>
      </c>
      <c r="AG390" s="31">
        <v>0</v>
      </c>
      <c r="AH390" s="136"/>
      <c r="AI390" s="33"/>
      <c r="AJ390" s="33"/>
      <c r="AK390" s="33"/>
      <c r="AL390" s="33"/>
      <c r="AM390" s="33"/>
      <c r="AN390" s="34"/>
      <c r="AO390" s="33"/>
      <c r="AP390" s="33"/>
      <c r="AQ390" s="33"/>
      <c r="AR390" s="35"/>
      <c r="AS390" s="251" t="e">
        <f t="shared" si="12"/>
        <v>#DIV/0!</v>
      </c>
      <c r="AT390" s="252" t="e">
        <f t="shared" si="13"/>
        <v>#DIV/0!</v>
      </c>
      <c r="AU390" s="29">
        <v>0</v>
      </c>
      <c r="AV390" s="30">
        <v>0</v>
      </c>
      <c r="AW390" s="31">
        <v>0</v>
      </c>
      <c r="AX390" s="136"/>
      <c r="AY390" s="33"/>
      <c r="AZ390" s="35"/>
      <c r="BA390" s="29"/>
      <c r="BB390" s="31"/>
      <c r="BC390" s="29"/>
      <c r="BD390" s="31"/>
      <c r="BE390" s="29">
        <v>0</v>
      </c>
      <c r="BF390" s="30">
        <v>0</v>
      </c>
      <c r="BG390" s="33"/>
      <c r="BH390" s="30">
        <v>0</v>
      </c>
      <c r="BI390" s="30">
        <v>0</v>
      </c>
      <c r="BJ390" s="35"/>
    </row>
    <row r="391" spans="1:62" x14ac:dyDescent="0.25">
      <c r="E391" t="s">
        <v>68</v>
      </c>
      <c r="F391" s="32">
        <v>28002</v>
      </c>
      <c r="G391" s="29">
        <v>28</v>
      </c>
      <c r="H391" s="30">
        <v>27865</v>
      </c>
      <c r="I391" s="30">
        <v>8732</v>
      </c>
      <c r="J391" s="31">
        <v>19161</v>
      </c>
      <c r="K391" s="29">
        <v>0</v>
      </c>
      <c r="L391" s="30">
        <v>108</v>
      </c>
      <c r="M391" s="30">
        <v>0</v>
      </c>
      <c r="N391" s="30">
        <v>0</v>
      </c>
      <c r="O391" s="30">
        <v>0</v>
      </c>
      <c r="P391" s="30">
        <v>1</v>
      </c>
      <c r="Q391" s="30">
        <v>0</v>
      </c>
      <c r="R391" s="31">
        <v>0</v>
      </c>
      <c r="S391" s="32">
        <v>671</v>
      </c>
      <c r="T391" s="29"/>
      <c r="U391" s="30"/>
      <c r="V391" s="30"/>
      <c r="W391" s="30"/>
      <c r="X391" s="31"/>
      <c r="Y391" s="29">
        <v>329</v>
      </c>
      <c r="Z391" s="31">
        <v>233</v>
      </c>
      <c r="AA391" s="29">
        <v>0</v>
      </c>
      <c r="AB391" s="31">
        <v>0</v>
      </c>
      <c r="AC391" s="29">
        <v>0</v>
      </c>
      <c r="AD391">
        <v>0</v>
      </c>
      <c r="AE391" s="29">
        <v>29</v>
      </c>
      <c r="AF391" s="30">
        <v>28</v>
      </c>
      <c r="AG391" s="31">
        <v>0</v>
      </c>
      <c r="AH391" s="136">
        <v>-1</v>
      </c>
      <c r="AI391" s="33">
        <v>-1</v>
      </c>
      <c r="AJ391" s="33"/>
      <c r="AK391" s="33">
        <v>-1</v>
      </c>
      <c r="AL391" s="33">
        <v>-1</v>
      </c>
      <c r="AM391" s="33"/>
      <c r="AN391" s="34">
        <v>0</v>
      </c>
      <c r="AO391" s="33">
        <v>0</v>
      </c>
      <c r="AP391" s="33">
        <v>1</v>
      </c>
      <c r="AQ391" s="33">
        <v>0</v>
      </c>
      <c r="AR391" s="35">
        <v>0</v>
      </c>
      <c r="AS391" s="251">
        <f t="shared" si="12"/>
        <v>23.964285714285715</v>
      </c>
      <c r="AT391" s="252">
        <f t="shared" si="13"/>
        <v>23.964285714285715</v>
      </c>
      <c r="AU391" s="29">
        <v>219</v>
      </c>
      <c r="AV391" s="30">
        <v>0</v>
      </c>
      <c r="AW391" s="31">
        <v>0</v>
      </c>
      <c r="AX391" s="136">
        <v>-1</v>
      </c>
      <c r="AY391" s="33">
        <v>-1</v>
      </c>
      <c r="AZ391" s="35"/>
      <c r="BA391" s="29"/>
      <c r="BB391" s="31"/>
      <c r="BC391" s="29"/>
      <c r="BD391" s="31"/>
      <c r="BE391" s="29">
        <v>0</v>
      </c>
      <c r="BF391" s="30">
        <v>0</v>
      </c>
      <c r="BG391" s="33"/>
      <c r="BH391" s="30">
        <v>0</v>
      </c>
      <c r="BI391" s="30">
        <v>0</v>
      </c>
      <c r="BJ391" s="35"/>
    </row>
    <row r="392" spans="1:62" x14ac:dyDescent="0.25">
      <c r="E392" t="s">
        <v>148</v>
      </c>
      <c r="F392" s="32">
        <v>31</v>
      </c>
      <c r="G392" s="29">
        <v>1</v>
      </c>
      <c r="H392" s="30">
        <v>30</v>
      </c>
      <c r="I392" s="30">
        <v>4</v>
      </c>
      <c r="J392" s="31">
        <v>27</v>
      </c>
      <c r="K392" s="29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1">
        <v>0</v>
      </c>
      <c r="S392" s="32">
        <v>0</v>
      </c>
      <c r="T392" s="29"/>
      <c r="U392" s="30"/>
      <c r="V392" s="30"/>
      <c r="W392" s="30"/>
      <c r="X392" s="31"/>
      <c r="Y392" s="29"/>
      <c r="Z392" s="31"/>
      <c r="AA392" s="29"/>
      <c r="AB392" s="31"/>
      <c r="AC392" s="29"/>
      <c r="AD392">
        <v>0</v>
      </c>
      <c r="AE392" s="29">
        <v>1</v>
      </c>
      <c r="AF392" s="30">
        <v>1</v>
      </c>
      <c r="AG392" s="31">
        <v>0</v>
      </c>
      <c r="AH392" s="136"/>
      <c r="AI392" s="33"/>
      <c r="AJ392" s="33"/>
      <c r="AK392" s="33"/>
      <c r="AL392" s="33"/>
      <c r="AM392" s="33"/>
      <c r="AN392" s="34">
        <v>0</v>
      </c>
      <c r="AO392" s="33">
        <v>0</v>
      </c>
      <c r="AP392" s="33">
        <v>1</v>
      </c>
      <c r="AQ392" s="33">
        <v>0</v>
      </c>
      <c r="AR392" s="35">
        <v>0</v>
      </c>
      <c r="AS392" s="251">
        <f t="shared" si="12"/>
        <v>0</v>
      </c>
      <c r="AT392" s="252">
        <f t="shared" si="13"/>
        <v>0</v>
      </c>
      <c r="AU392" s="29">
        <v>0</v>
      </c>
      <c r="AV392" s="30">
        <v>0</v>
      </c>
      <c r="AW392" s="31">
        <v>0</v>
      </c>
      <c r="AX392" s="136"/>
      <c r="AY392" s="33"/>
      <c r="AZ392" s="35"/>
      <c r="BA392" s="29"/>
      <c r="BB392" s="31"/>
      <c r="BC392" s="29"/>
      <c r="BD392" s="31"/>
      <c r="BE392" s="29">
        <v>0</v>
      </c>
      <c r="BF392" s="30">
        <v>0</v>
      </c>
      <c r="BG392" s="33"/>
      <c r="BH392" s="30">
        <v>0</v>
      </c>
      <c r="BI392" s="30">
        <v>0</v>
      </c>
      <c r="BJ392" s="35"/>
    </row>
    <row r="393" spans="1:62" x14ac:dyDescent="0.25">
      <c r="A393" s="130"/>
      <c r="B393" s="130" t="s">
        <v>239</v>
      </c>
      <c r="C393" s="130"/>
      <c r="D393" s="130"/>
      <c r="E393" s="130"/>
      <c r="F393" s="11">
        <v>20770</v>
      </c>
      <c r="G393" s="8">
        <v>110</v>
      </c>
      <c r="H393" s="9">
        <v>20624</v>
      </c>
      <c r="I393" s="9">
        <v>79</v>
      </c>
      <c r="J393" s="10">
        <v>20655</v>
      </c>
      <c r="K393" s="8">
        <v>0</v>
      </c>
      <c r="L393" s="9">
        <v>36</v>
      </c>
      <c r="M393" s="9">
        <v>0</v>
      </c>
      <c r="N393" s="9">
        <v>0</v>
      </c>
      <c r="O393" s="9">
        <v>0</v>
      </c>
      <c r="P393" s="9">
        <v>0</v>
      </c>
      <c r="Q393" s="9">
        <v>0</v>
      </c>
      <c r="R393" s="10">
        <v>0</v>
      </c>
      <c r="S393" s="11">
        <v>134</v>
      </c>
      <c r="T393" s="8"/>
      <c r="U393" s="9"/>
      <c r="V393" s="9"/>
      <c r="W393" s="9"/>
      <c r="X393" s="10"/>
      <c r="Y393" s="8">
        <v>216</v>
      </c>
      <c r="Z393" s="10">
        <v>172</v>
      </c>
      <c r="AA393" s="8">
        <v>12</v>
      </c>
      <c r="AB393" s="10">
        <v>7</v>
      </c>
      <c r="AC393" s="8">
        <v>8</v>
      </c>
      <c r="AD393" s="130">
        <v>7</v>
      </c>
      <c r="AE393" s="8">
        <v>104</v>
      </c>
      <c r="AF393" s="9">
        <v>91</v>
      </c>
      <c r="AG393" s="10">
        <v>1</v>
      </c>
      <c r="AH393" s="131">
        <v>-0.94444444444444442</v>
      </c>
      <c r="AI393" s="12">
        <v>-0.96296296296296291</v>
      </c>
      <c r="AJ393" s="12">
        <v>-0.33333333333333331</v>
      </c>
      <c r="AK393" s="12">
        <v>-0.95930232558139539</v>
      </c>
      <c r="AL393" s="12">
        <v>-0.95930232558139539</v>
      </c>
      <c r="AM393" s="12">
        <v>0</v>
      </c>
      <c r="AN393" s="13">
        <v>7.2727272727272724E-2</v>
      </c>
      <c r="AO393" s="12">
        <v>6.363636363636363E-2</v>
      </c>
      <c r="AP393" s="12">
        <v>0.82727272727272727</v>
      </c>
      <c r="AQ393" s="12">
        <v>9.0909090909090905E-3</v>
      </c>
      <c r="AR393" s="14">
        <v>0</v>
      </c>
      <c r="AS393" s="245">
        <f t="shared" si="12"/>
        <v>1.2181818181818183</v>
      </c>
      <c r="AT393" s="246">
        <f t="shared" si="13"/>
        <v>1.2181818181818183</v>
      </c>
      <c r="AU393" s="8">
        <v>124</v>
      </c>
      <c r="AV393" s="9">
        <v>12</v>
      </c>
      <c r="AW393" s="10">
        <v>6</v>
      </c>
      <c r="AX393" s="131">
        <v>-0.90322580645161288</v>
      </c>
      <c r="AY393" s="12">
        <v>-0.95161290322580649</v>
      </c>
      <c r="AZ393" s="14">
        <v>-0.5</v>
      </c>
      <c r="BA393" s="8">
        <v>49.5</v>
      </c>
      <c r="BB393" s="10">
        <v>49.5</v>
      </c>
      <c r="BC393" s="8">
        <v>4.5</v>
      </c>
      <c r="BD393" s="10">
        <v>4.5</v>
      </c>
      <c r="BE393" s="8">
        <v>5</v>
      </c>
      <c r="BF393" s="9">
        <v>8</v>
      </c>
      <c r="BG393" s="12">
        <v>0.625</v>
      </c>
      <c r="BH393" s="9">
        <v>3</v>
      </c>
      <c r="BI393" s="9">
        <v>6</v>
      </c>
      <c r="BJ393" s="14">
        <v>0.5</v>
      </c>
    </row>
    <row r="394" spans="1:62" x14ac:dyDescent="0.25">
      <c r="A394" s="132"/>
      <c r="B394" s="132"/>
      <c r="C394" s="132" t="s">
        <v>240</v>
      </c>
      <c r="D394" s="132"/>
      <c r="E394" s="132"/>
      <c r="F394" s="18">
        <v>12088</v>
      </c>
      <c r="G394" s="15">
        <v>4</v>
      </c>
      <c r="H394" s="16">
        <v>12084</v>
      </c>
      <c r="I394" s="16">
        <v>0</v>
      </c>
      <c r="J394" s="17">
        <v>12088</v>
      </c>
      <c r="K394" s="15">
        <v>0</v>
      </c>
      <c r="L394" s="16">
        <v>0</v>
      </c>
      <c r="M394" s="16">
        <v>0</v>
      </c>
      <c r="N394" s="16">
        <v>0</v>
      </c>
      <c r="O394" s="16">
        <v>0</v>
      </c>
      <c r="P394" s="16">
        <v>0</v>
      </c>
      <c r="Q394" s="16">
        <v>0</v>
      </c>
      <c r="R394" s="17">
        <v>0</v>
      </c>
      <c r="S394" s="18">
        <v>0</v>
      </c>
      <c r="T394" s="15"/>
      <c r="U394" s="16"/>
      <c r="V394" s="16"/>
      <c r="W394" s="16"/>
      <c r="X394" s="17"/>
      <c r="Y394" s="15">
        <v>14</v>
      </c>
      <c r="Z394" s="17">
        <v>13</v>
      </c>
      <c r="AA394" s="15">
        <v>0</v>
      </c>
      <c r="AB394" s="17">
        <v>0</v>
      </c>
      <c r="AC394" s="15">
        <v>0</v>
      </c>
      <c r="AD394" s="132">
        <v>0</v>
      </c>
      <c r="AE394" s="15">
        <v>4</v>
      </c>
      <c r="AF394" s="16">
        <v>4</v>
      </c>
      <c r="AG394" s="17">
        <v>0</v>
      </c>
      <c r="AH394" s="133">
        <v>-1</v>
      </c>
      <c r="AI394" s="19">
        <v>-1</v>
      </c>
      <c r="AJ394" s="19"/>
      <c r="AK394" s="19">
        <v>-1</v>
      </c>
      <c r="AL394" s="19">
        <v>-1</v>
      </c>
      <c r="AM394" s="19"/>
      <c r="AN394" s="20">
        <v>0</v>
      </c>
      <c r="AO394" s="19">
        <v>0</v>
      </c>
      <c r="AP394" s="19">
        <v>1</v>
      </c>
      <c r="AQ394" s="19">
        <v>0</v>
      </c>
      <c r="AR394" s="21">
        <v>0</v>
      </c>
      <c r="AS394" s="247">
        <f t="shared" si="12"/>
        <v>0</v>
      </c>
      <c r="AT394" s="248">
        <f t="shared" si="13"/>
        <v>0</v>
      </c>
      <c r="AU394" s="15">
        <v>12</v>
      </c>
      <c r="AV394" s="16">
        <v>0</v>
      </c>
      <c r="AW394" s="17">
        <v>0</v>
      </c>
      <c r="AX394" s="133">
        <v>-1</v>
      </c>
      <c r="AY394" s="19">
        <v>-1</v>
      </c>
      <c r="AZ394" s="21"/>
      <c r="BA394" s="15"/>
      <c r="BB394" s="17"/>
      <c r="BC394" s="15"/>
      <c r="BD394" s="17"/>
      <c r="BE394" s="15">
        <v>0</v>
      </c>
      <c r="BF394" s="16">
        <v>0</v>
      </c>
      <c r="BG394" s="19"/>
      <c r="BH394" s="16">
        <v>0</v>
      </c>
      <c r="BI394" s="16">
        <v>0</v>
      </c>
      <c r="BJ394" s="21"/>
    </row>
    <row r="395" spans="1:62" x14ac:dyDescent="0.25">
      <c r="E395" t="s">
        <v>203</v>
      </c>
      <c r="F395" s="32">
        <v>12086</v>
      </c>
      <c r="G395" s="29">
        <v>4</v>
      </c>
      <c r="H395" s="30">
        <v>12082</v>
      </c>
      <c r="I395" s="30">
        <v>0</v>
      </c>
      <c r="J395" s="31">
        <v>12086</v>
      </c>
      <c r="K395" s="29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1">
        <v>0</v>
      </c>
      <c r="S395" s="32">
        <v>0</v>
      </c>
      <c r="T395" s="29"/>
      <c r="U395" s="30"/>
      <c r="V395" s="30"/>
      <c r="W395" s="30"/>
      <c r="X395" s="31"/>
      <c r="Y395" s="29">
        <v>11</v>
      </c>
      <c r="Z395" s="31">
        <v>11</v>
      </c>
      <c r="AA395" s="29">
        <v>0</v>
      </c>
      <c r="AB395" s="31">
        <v>0</v>
      </c>
      <c r="AC395" s="29">
        <v>0</v>
      </c>
      <c r="AD395">
        <v>0</v>
      </c>
      <c r="AE395" s="29">
        <v>4</v>
      </c>
      <c r="AF395" s="30">
        <v>4</v>
      </c>
      <c r="AG395" s="31">
        <v>0</v>
      </c>
      <c r="AH395" s="136">
        <v>-1</v>
      </c>
      <c r="AI395" s="33">
        <v>-1</v>
      </c>
      <c r="AJ395" s="33"/>
      <c r="AK395" s="33">
        <v>-1</v>
      </c>
      <c r="AL395" s="33">
        <v>-1</v>
      </c>
      <c r="AM395" s="33"/>
      <c r="AN395" s="34">
        <v>0</v>
      </c>
      <c r="AO395" s="33">
        <v>0</v>
      </c>
      <c r="AP395" s="33">
        <v>1</v>
      </c>
      <c r="AQ395" s="33">
        <v>0</v>
      </c>
      <c r="AR395" s="35">
        <v>0</v>
      </c>
      <c r="AS395" s="251">
        <f t="shared" si="12"/>
        <v>0</v>
      </c>
      <c r="AT395" s="252">
        <f t="shared" si="13"/>
        <v>0</v>
      </c>
      <c r="AU395" s="29">
        <v>9</v>
      </c>
      <c r="AV395" s="30">
        <v>0</v>
      </c>
      <c r="AW395" s="31">
        <v>0</v>
      </c>
      <c r="AX395" s="136">
        <v>-1</v>
      </c>
      <c r="AY395" s="33">
        <v>-1</v>
      </c>
      <c r="AZ395" s="35"/>
      <c r="BA395" s="29"/>
      <c r="BB395" s="31"/>
      <c r="BC395" s="29"/>
      <c r="BD395" s="31"/>
      <c r="BE395" s="29">
        <v>0</v>
      </c>
      <c r="BF395" s="30">
        <v>0</v>
      </c>
      <c r="BG395" s="33"/>
      <c r="BH395" s="30">
        <v>0</v>
      </c>
      <c r="BI395" s="30">
        <v>0</v>
      </c>
      <c r="BJ395" s="35"/>
    </row>
    <row r="396" spans="1:62" x14ac:dyDescent="0.25">
      <c r="A396" s="132"/>
      <c r="B396" s="132"/>
      <c r="C396" s="132" t="s">
        <v>241</v>
      </c>
      <c r="D396" s="132"/>
      <c r="E396" s="132"/>
      <c r="F396" s="18">
        <v>8682</v>
      </c>
      <c r="G396" s="15">
        <v>106</v>
      </c>
      <c r="H396" s="16">
        <v>8540</v>
      </c>
      <c r="I396" s="16">
        <v>79</v>
      </c>
      <c r="J396" s="17">
        <v>8567</v>
      </c>
      <c r="K396" s="15">
        <v>0</v>
      </c>
      <c r="L396" s="16">
        <v>36</v>
      </c>
      <c r="M396" s="16">
        <v>0</v>
      </c>
      <c r="N396" s="16">
        <v>0</v>
      </c>
      <c r="O396" s="16">
        <v>0</v>
      </c>
      <c r="P396" s="16">
        <v>0</v>
      </c>
      <c r="Q396" s="16">
        <v>0</v>
      </c>
      <c r="R396" s="17">
        <v>0</v>
      </c>
      <c r="S396" s="18">
        <v>134</v>
      </c>
      <c r="T396" s="15"/>
      <c r="U396" s="16"/>
      <c r="V396" s="16"/>
      <c r="W396" s="16"/>
      <c r="X396" s="17"/>
      <c r="Y396" s="15">
        <v>202</v>
      </c>
      <c r="Z396" s="17">
        <v>159</v>
      </c>
      <c r="AA396" s="15">
        <v>12</v>
      </c>
      <c r="AB396" s="17">
        <v>7</v>
      </c>
      <c r="AC396" s="15">
        <v>8</v>
      </c>
      <c r="AD396" s="132">
        <v>0</v>
      </c>
      <c r="AE396" s="15">
        <v>100</v>
      </c>
      <c r="AF396" s="16">
        <v>87</v>
      </c>
      <c r="AG396" s="17">
        <v>1</v>
      </c>
      <c r="AH396" s="133">
        <v>-0.94059405940594054</v>
      </c>
      <c r="AI396" s="19">
        <v>-0.96039603960396036</v>
      </c>
      <c r="AJ396" s="19">
        <v>-0.33333333333333331</v>
      </c>
      <c r="AK396" s="19">
        <v>-0.95597484276729561</v>
      </c>
      <c r="AL396" s="19">
        <v>-1</v>
      </c>
      <c r="AM396" s="19">
        <v>-1</v>
      </c>
      <c r="AN396" s="20">
        <v>7.5471698113207544E-2</v>
      </c>
      <c r="AO396" s="19">
        <v>0</v>
      </c>
      <c r="AP396" s="19">
        <v>0.82075471698113212</v>
      </c>
      <c r="AQ396" s="19">
        <v>9.433962264150943E-3</v>
      </c>
      <c r="AR396" s="21">
        <v>0</v>
      </c>
      <c r="AS396" s="247">
        <f t="shared" si="12"/>
        <v>1.2641509433962264</v>
      </c>
      <c r="AT396" s="248">
        <f t="shared" si="13"/>
        <v>1.2641509433962264</v>
      </c>
      <c r="AU396" s="15">
        <v>115</v>
      </c>
      <c r="AV396" s="16">
        <v>12</v>
      </c>
      <c r="AW396" s="17">
        <v>6</v>
      </c>
      <c r="AX396" s="133">
        <v>-0.89565217391304353</v>
      </c>
      <c r="AY396" s="19">
        <v>-0.94782608695652171</v>
      </c>
      <c r="AZ396" s="21">
        <v>-0.5</v>
      </c>
      <c r="BA396" s="15">
        <v>49.5</v>
      </c>
      <c r="BB396" s="17">
        <v>49.5</v>
      </c>
      <c r="BC396" s="15">
        <v>4.5</v>
      </c>
      <c r="BD396" s="17">
        <v>4.5</v>
      </c>
      <c r="BE396" s="15">
        <v>5</v>
      </c>
      <c r="BF396" s="16">
        <v>8</v>
      </c>
      <c r="BG396" s="19">
        <v>0.625</v>
      </c>
      <c r="BH396" s="16">
        <v>3</v>
      </c>
      <c r="BI396" s="16">
        <v>6</v>
      </c>
      <c r="BJ396" s="21">
        <v>0.5</v>
      </c>
    </row>
    <row r="397" spans="1:62" x14ac:dyDescent="0.25">
      <c r="E397" t="s">
        <v>82</v>
      </c>
      <c r="F397" s="32">
        <v>3013</v>
      </c>
      <c r="G397" s="29">
        <v>100</v>
      </c>
      <c r="H397" s="30">
        <v>2877</v>
      </c>
      <c r="I397" s="30">
        <v>67</v>
      </c>
      <c r="J397" s="31">
        <v>2910</v>
      </c>
      <c r="K397" s="29">
        <v>0</v>
      </c>
      <c r="L397" s="30">
        <v>36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1">
        <v>0</v>
      </c>
      <c r="S397" s="32">
        <v>110</v>
      </c>
      <c r="T397" s="29"/>
      <c r="U397" s="30"/>
      <c r="V397" s="30"/>
      <c r="W397" s="30"/>
      <c r="X397" s="31"/>
      <c r="Y397" s="29">
        <v>202</v>
      </c>
      <c r="Z397" s="31">
        <v>159</v>
      </c>
      <c r="AA397" s="29">
        <v>12</v>
      </c>
      <c r="AB397" s="31">
        <v>7</v>
      </c>
      <c r="AC397" s="29">
        <v>8</v>
      </c>
      <c r="AD397">
        <v>0</v>
      </c>
      <c r="AE397" s="29">
        <v>94</v>
      </c>
      <c r="AF397" s="30">
        <v>81</v>
      </c>
      <c r="AG397" s="31">
        <v>1</v>
      </c>
      <c r="AH397" s="136">
        <v>-0.94059405940594054</v>
      </c>
      <c r="AI397" s="33">
        <v>-0.96039603960396036</v>
      </c>
      <c r="AJ397" s="33">
        <v>-0.33333333333333331</v>
      </c>
      <c r="AK397" s="33">
        <v>-0.95597484276729561</v>
      </c>
      <c r="AL397" s="33">
        <v>-1</v>
      </c>
      <c r="AM397" s="33">
        <v>-1</v>
      </c>
      <c r="AN397" s="34">
        <v>0.08</v>
      </c>
      <c r="AO397" s="33">
        <v>0</v>
      </c>
      <c r="AP397" s="33">
        <v>0.81</v>
      </c>
      <c r="AQ397" s="33">
        <v>0.01</v>
      </c>
      <c r="AR397" s="35">
        <v>0</v>
      </c>
      <c r="AS397" s="251">
        <f t="shared" si="12"/>
        <v>1.1000000000000001</v>
      </c>
      <c r="AT397" s="252">
        <f t="shared" si="13"/>
        <v>1.1000000000000001</v>
      </c>
      <c r="AU397" s="29">
        <v>113</v>
      </c>
      <c r="AV397" s="30">
        <v>12</v>
      </c>
      <c r="AW397" s="31">
        <v>6</v>
      </c>
      <c r="AX397" s="136">
        <v>-0.89380530973451322</v>
      </c>
      <c r="AY397" s="33">
        <v>-0.94690265486725667</v>
      </c>
      <c r="AZ397" s="35">
        <v>-0.5</v>
      </c>
      <c r="BA397" s="29">
        <v>49.5</v>
      </c>
      <c r="BB397" s="31">
        <v>49.5</v>
      </c>
      <c r="BC397" s="29">
        <v>4.5</v>
      </c>
      <c r="BD397" s="31">
        <v>4.5</v>
      </c>
      <c r="BE397" s="29">
        <v>5</v>
      </c>
      <c r="BF397" s="30">
        <v>8</v>
      </c>
      <c r="BG397" s="33">
        <v>0.625</v>
      </c>
      <c r="BH397" s="30">
        <v>3</v>
      </c>
      <c r="BI397" s="30">
        <v>6</v>
      </c>
      <c r="BJ397" s="35">
        <v>0.5</v>
      </c>
    </row>
    <row r="398" spans="1:62" x14ac:dyDescent="0.25">
      <c r="E398" t="s">
        <v>219</v>
      </c>
      <c r="F398" s="32">
        <v>200</v>
      </c>
      <c r="G398" s="29">
        <v>0</v>
      </c>
      <c r="H398" s="30">
        <v>200</v>
      </c>
      <c r="I398" s="30">
        <v>0</v>
      </c>
      <c r="J398" s="31">
        <v>200</v>
      </c>
      <c r="K398" s="29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1">
        <v>0</v>
      </c>
      <c r="S398" s="32">
        <v>0</v>
      </c>
      <c r="T398" s="29"/>
      <c r="U398" s="30"/>
      <c r="V398" s="30"/>
      <c r="W398" s="30"/>
      <c r="X398" s="31"/>
      <c r="Y398" s="29"/>
      <c r="Z398" s="31"/>
      <c r="AA398" s="29"/>
      <c r="AB398" s="31"/>
      <c r="AC398" s="29"/>
      <c r="AD398">
        <v>0</v>
      </c>
      <c r="AE398" s="29">
        <v>0</v>
      </c>
      <c r="AF398" s="30">
        <v>0</v>
      </c>
      <c r="AG398" s="31">
        <v>0</v>
      </c>
      <c r="AH398" s="136"/>
      <c r="AI398" s="33"/>
      <c r="AJ398" s="33"/>
      <c r="AK398" s="33"/>
      <c r="AL398" s="33"/>
      <c r="AM398" s="33"/>
      <c r="AN398" s="34"/>
      <c r="AO398" s="33"/>
      <c r="AP398" s="33"/>
      <c r="AQ398" s="33"/>
      <c r="AR398" s="35"/>
      <c r="AS398" s="251" t="e">
        <f t="shared" si="12"/>
        <v>#DIV/0!</v>
      </c>
      <c r="AT398" s="252" t="e">
        <f t="shared" si="13"/>
        <v>#DIV/0!</v>
      </c>
      <c r="AU398" s="29">
        <v>0</v>
      </c>
      <c r="AV398" s="30">
        <v>0</v>
      </c>
      <c r="AW398" s="31">
        <v>0</v>
      </c>
      <c r="AX398" s="136"/>
      <c r="AY398" s="33"/>
      <c r="AZ398" s="35"/>
      <c r="BA398" s="29"/>
      <c r="BB398" s="31"/>
      <c r="BC398" s="29"/>
      <c r="BD398" s="31"/>
      <c r="BE398" s="29">
        <v>0</v>
      </c>
      <c r="BF398" s="30">
        <v>0</v>
      </c>
      <c r="BG398" s="33"/>
      <c r="BH398" s="30">
        <v>0</v>
      </c>
      <c r="BI398" s="30">
        <v>0</v>
      </c>
      <c r="BJ398" s="35"/>
    </row>
    <row r="399" spans="1:62" x14ac:dyDescent="0.25">
      <c r="E399" t="s">
        <v>203</v>
      </c>
      <c r="F399" s="32">
        <v>4749</v>
      </c>
      <c r="G399" s="29">
        <v>5</v>
      </c>
      <c r="H399" s="30">
        <v>4744</v>
      </c>
      <c r="I399" s="30">
        <v>11</v>
      </c>
      <c r="J399" s="31">
        <v>4738</v>
      </c>
      <c r="K399" s="29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1">
        <v>0</v>
      </c>
      <c r="S399" s="32">
        <v>20</v>
      </c>
      <c r="T399" s="29"/>
      <c r="U399" s="30"/>
      <c r="V399" s="30"/>
      <c r="W399" s="30"/>
      <c r="X399" s="31"/>
      <c r="Y399" s="29"/>
      <c r="Z399" s="31"/>
      <c r="AA399" s="29"/>
      <c r="AB399" s="31"/>
      <c r="AC399" s="29"/>
      <c r="AD399">
        <v>0</v>
      </c>
      <c r="AE399" s="29">
        <v>5</v>
      </c>
      <c r="AF399" s="30">
        <v>5</v>
      </c>
      <c r="AG399" s="31">
        <v>0</v>
      </c>
      <c r="AH399" s="136"/>
      <c r="AI399" s="33"/>
      <c r="AJ399" s="33"/>
      <c r="AK399" s="33"/>
      <c r="AL399" s="33"/>
      <c r="AM399" s="33"/>
      <c r="AN399" s="34">
        <v>0</v>
      </c>
      <c r="AO399" s="33">
        <v>0</v>
      </c>
      <c r="AP399" s="33">
        <v>1</v>
      </c>
      <c r="AQ399" s="33">
        <v>0</v>
      </c>
      <c r="AR399" s="35">
        <v>0</v>
      </c>
      <c r="AS399" s="251">
        <f t="shared" si="12"/>
        <v>4</v>
      </c>
      <c r="AT399" s="252">
        <f t="shared" si="13"/>
        <v>4</v>
      </c>
      <c r="AU399" s="29">
        <v>2</v>
      </c>
      <c r="AV399" s="30">
        <v>0</v>
      </c>
      <c r="AW399" s="31">
        <v>0</v>
      </c>
      <c r="AX399" s="136">
        <v>-1</v>
      </c>
      <c r="AY399" s="33">
        <v>-1</v>
      </c>
      <c r="AZ399" s="35"/>
      <c r="BA399" s="29"/>
      <c r="BB399" s="31"/>
      <c r="BC399" s="29"/>
      <c r="BD399" s="31"/>
      <c r="BE399" s="29">
        <v>0</v>
      </c>
      <c r="BF399" s="30">
        <v>0</v>
      </c>
      <c r="BG399" s="33"/>
      <c r="BH399" s="30">
        <v>0</v>
      </c>
      <c r="BI399" s="30">
        <v>0</v>
      </c>
      <c r="BJ399" s="35"/>
    </row>
    <row r="400" spans="1:62" x14ac:dyDescent="0.25">
      <c r="E400" t="s">
        <v>220</v>
      </c>
      <c r="F400" s="32">
        <v>706</v>
      </c>
      <c r="G400" s="29">
        <v>0</v>
      </c>
      <c r="H400" s="30">
        <v>706</v>
      </c>
      <c r="I400" s="30">
        <v>0</v>
      </c>
      <c r="J400" s="31">
        <v>706</v>
      </c>
      <c r="K400" s="29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1">
        <v>0</v>
      </c>
      <c r="S400" s="32">
        <v>2</v>
      </c>
      <c r="T400" s="29"/>
      <c r="U400" s="30"/>
      <c r="V400" s="30"/>
      <c r="W400" s="30"/>
      <c r="X400" s="31"/>
      <c r="Y400" s="29"/>
      <c r="Z400" s="31"/>
      <c r="AA400" s="29"/>
      <c r="AB400" s="31"/>
      <c r="AC400" s="29"/>
      <c r="AD400">
        <v>0</v>
      </c>
      <c r="AE400" s="29">
        <v>0</v>
      </c>
      <c r="AF400" s="30">
        <v>0</v>
      </c>
      <c r="AG400" s="31">
        <v>0</v>
      </c>
      <c r="AH400" s="136"/>
      <c r="AI400" s="33"/>
      <c r="AJ400" s="33"/>
      <c r="AK400" s="33"/>
      <c r="AL400" s="33"/>
      <c r="AM400" s="33"/>
      <c r="AN400" s="34"/>
      <c r="AO400" s="33"/>
      <c r="AP400" s="33"/>
      <c r="AQ400" s="33"/>
      <c r="AR400" s="35"/>
      <c r="AS400" s="251" t="e">
        <f t="shared" si="12"/>
        <v>#DIV/0!</v>
      </c>
      <c r="AT400" s="252" t="e">
        <f t="shared" si="13"/>
        <v>#DIV/0!</v>
      </c>
      <c r="AU400" s="29">
        <v>0</v>
      </c>
      <c r="AV400" s="30">
        <v>0</v>
      </c>
      <c r="AW400" s="31">
        <v>0</v>
      </c>
      <c r="AX400" s="136"/>
      <c r="AY400" s="33"/>
      <c r="AZ400" s="35"/>
      <c r="BA400" s="29"/>
      <c r="BB400" s="31"/>
      <c r="BC400" s="29"/>
      <c r="BD400" s="31"/>
      <c r="BE400" s="29">
        <v>0</v>
      </c>
      <c r="BF400" s="30">
        <v>0</v>
      </c>
      <c r="BG400" s="33"/>
      <c r="BH400" s="30">
        <v>0</v>
      </c>
      <c r="BI400" s="30">
        <v>0</v>
      </c>
      <c r="BJ400" s="35"/>
    </row>
    <row r="401" spans="1:62" x14ac:dyDescent="0.25">
      <c r="E401" t="s">
        <v>174</v>
      </c>
      <c r="F401" s="32">
        <v>11</v>
      </c>
      <c r="G401" s="29">
        <v>0</v>
      </c>
      <c r="H401" s="30">
        <v>11</v>
      </c>
      <c r="I401" s="30">
        <v>0</v>
      </c>
      <c r="J401" s="31">
        <v>11</v>
      </c>
      <c r="K401" s="29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1">
        <v>0</v>
      </c>
      <c r="S401" s="32">
        <v>0</v>
      </c>
      <c r="T401" s="29"/>
      <c r="U401" s="30"/>
      <c r="V401" s="30"/>
      <c r="W401" s="30"/>
      <c r="X401" s="31"/>
      <c r="Y401" s="29">
        <v>0</v>
      </c>
      <c r="Z401" s="31">
        <v>0</v>
      </c>
      <c r="AA401" s="29">
        <v>0</v>
      </c>
      <c r="AB401" s="31">
        <v>0</v>
      </c>
      <c r="AC401" s="29">
        <v>0</v>
      </c>
      <c r="AD401">
        <v>0</v>
      </c>
      <c r="AE401" s="29">
        <v>0</v>
      </c>
      <c r="AF401" s="30">
        <v>0</v>
      </c>
      <c r="AG401" s="31">
        <v>0</v>
      </c>
      <c r="AH401" s="136"/>
      <c r="AI401" s="33"/>
      <c r="AJ401" s="33"/>
      <c r="AK401" s="33"/>
      <c r="AL401" s="33"/>
      <c r="AM401" s="33"/>
      <c r="AN401" s="34"/>
      <c r="AO401" s="33"/>
      <c r="AP401" s="33"/>
      <c r="AQ401" s="33"/>
      <c r="AR401" s="35"/>
      <c r="AS401" s="251" t="e">
        <f t="shared" si="12"/>
        <v>#DIV/0!</v>
      </c>
      <c r="AT401" s="252" t="e">
        <f t="shared" si="13"/>
        <v>#DIV/0!</v>
      </c>
      <c r="AU401" s="29">
        <v>0</v>
      </c>
      <c r="AV401" s="30">
        <v>0</v>
      </c>
      <c r="AW401" s="31">
        <v>0</v>
      </c>
      <c r="AX401" s="136"/>
      <c r="AY401" s="33"/>
      <c r="AZ401" s="35"/>
      <c r="BA401" s="29"/>
      <c r="BB401" s="31"/>
      <c r="BC401" s="29"/>
      <c r="BD401" s="31"/>
      <c r="BE401" s="29">
        <v>0</v>
      </c>
      <c r="BF401" s="30">
        <v>0</v>
      </c>
      <c r="BG401" s="33"/>
      <c r="BH401" s="30">
        <v>0</v>
      </c>
      <c r="BI401" s="30">
        <v>0</v>
      </c>
      <c r="BJ401" s="35"/>
    </row>
    <row r="402" spans="1:62" x14ac:dyDescent="0.25">
      <c r="A402" s="130"/>
      <c r="B402" s="130" t="s">
        <v>242</v>
      </c>
      <c r="C402" s="130"/>
      <c r="D402" s="130"/>
      <c r="E402" s="130"/>
      <c r="F402" s="11">
        <v>132</v>
      </c>
      <c r="G402" s="8">
        <v>0</v>
      </c>
      <c r="H402" s="9">
        <v>132</v>
      </c>
      <c r="I402" s="9">
        <v>132</v>
      </c>
      <c r="J402" s="10">
        <v>0</v>
      </c>
      <c r="K402" s="8">
        <v>0</v>
      </c>
      <c r="L402" s="9">
        <v>0</v>
      </c>
      <c r="M402" s="9">
        <v>0</v>
      </c>
      <c r="N402" s="9">
        <v>0</v>
      </c>
      <c r="O402" s="9">
        <v>0</v>
      </c>
      <c r="P402" s="9">
        <v>0</v>
      </c>
      <c r="Q402" s="9">
        <v>0</v>
      </c>
      <c r="R402" s="10">
        <v>0</v>
      </c>
      <c r="S402" s="11">
        <v>4</v>
      </c>
      <c r="T402" s="8"/>
      <c r="U402" s="9"/>
      <c r="V402" s="9"/>
      <c r="W402" s="9"/>
      <c r="X402" s="10"/>
      <c r="Y402" s="8"/>
      <c r="Z402" s="10"/>
      <c r="AA402" s="8"/>
      <c r="AB402" s="10"/>
      <c r="AC402" s="8"/>
      <c r="AD402" s="130">
        <v>0</v>
      </c>
      <c r="AE402" s="8">
        <v>0</v>
      </c>
      <c r="AF402" s="9">
        <v>0</v>
      </c>
      <c r="AG402" s="10">
        <v>0</v>
      </c>
      <c r="AH402" s="131"/>
      <c r="AI402" s="12"/>
      <c r="AJ402" s="12"/>
      <c r="AK402" s="12"/>
      <c r="AL402" s="12"/>
      <c r="AM402" s="12"/>
      <c r="AN402" s="13"/>
      <c r="AO402" s="12"/>
      <c r="AP402" s="12"/>
      <c r="AQ402" s="12"/>
      <c r="AR402" s="14"/>
      <c r="AS402" s="245" t="e">
        <f t="shared" si="12"/>
        <v>#DIV/0!</v>
      </c>
      <c r="AT402" s="246" t="e">
        <f t="shared" si="13"/>
        <v>#DIV/0!</v>
      </c>
      <c r="AU402" s="8">
        <v>0</v>
      </c>
      <c r="AV402" s="9">
        <v>0</v>
      </c>
      <c r="AW402" s="10">
        <v>0</v>
      </c>
      <c r="AX402" s="131"/>
      <c r="AY402" s="12"/>
      <c r="AZ402" s="14"/>
      <c r="BA402" s="8"/>
      <c r="BB402" s="10"/>
      <c r="BC402" s="8"/>
      <c r="BD402" s="10"/>
      <c r="BE402" s="8">
        <v>0</v>
      </c>
      <c r="BF402" s="9">
        <v>0</v>
      </c>
      <c r="BG402" s="12"/>
      <c r="BH402" s="9">
        <v>0</v>
      </c>
      <c r="BI402" s="9">
        <v>0</v>
      </c>
      <c r="BJ402" s="14"/>
    </row>
    <row r="403" spans="1:62" x14ac:dyDescent="0.25">
      <c r="A403" s="132"/>
      <c r="B403" s="132"/>
      <c r="C403" s="132" t="s">
        <v>242</v>
      </c>
      <c r="D403" s="132"/>
      <c r="E403" s="132"/>
      <c r="F403" s="18">
        <v>132</v>
      </c>
      <c r="G403" s="15">
        <v>0</v>
      </c>
      <c r="H403" s="16">
        <v>132</v>
      </c>
      <c r="I403" s="16">
        <v>132</v>
      </c>
      <c r="J403" s="17">
        <v>0</v>
      </c>
      <c r="K403" s="15">
        <v>0</v>
      </c>
      <c r="L403" s="16">
        <v>0</v>
      </c>
      <c r="M403" s="16">
        <v>0</v>
      </c>
      <c r="N403" s="16">
        <v>0</v>
      </c>
      <c r="O403" s="16">
        <v>0</v>
      </c>
      <c r="P403" s="16">
        <v>0</v>
      </c>
      <c r="Q403" s="16">
        <v>0</v>
      </c>
      <c r="R403" s="17">
        <v>0</v>
      </c>
      <c r="S403" s="18">
        <v>4</v>
      </c>
      <c r="T403" s="15"/>
      <c r="U403" s="16"/>
      <c r="V403" s="16"/>
      <c r="W403" s="16"/>
      <c r="X403" s="17"/>
      <c r="Y403" s="15"/>
      <c r="Z403" s="17"/>
      <c r="AA403" s="15"/>
      <c r="AB403" s="17"/>
      <c r="AC403" s="15"/>
      <c r="AD403" s="132">
        <v>0</v>
      </c>
      <c r="AE403" s="15">
        <v>0</v>
      </c>
      <c r="AF403" s="16">
        <v>0</v>
      </c>
      <c r="AG403" s="17">
        <v>0</v>
      </c>
      <c r="AH403" s="133"/>
      <c r="AI403" s="19"/>
      <c r="AJ403" s="19"/>
      <c r="AK403" s="19"/>
      <c r="AL403" s="19"/>
      <c r="AM403" s="19"/>
      <c r="AN403" s="20"/>
      <c r="AO403" s="19"/>
      <c r="AP403" s="19"/>
      <c r="AQ403" s="19"/>
      <c r="AR403" s="21"/>
      <c r="AS403" s="247" t="e">
        <f t="shared" si="12"/>
        <v>#DIV/0!</v>
      </c>
      <c r="AT403" s="248" t="e">
        <f t="shared" si="13"/>
        <v>#DIV/0!</v>
      </c>
      <c r="AU403" s="15">
        <v>0</v>
      </c>
      <c r="AV403" s="16">
        <v>0</v>
      </c>
      <c r="AW403" s="17">
        <v>0</v>
      </c>
      <c r="AX403" s="133"/>
      <c r="AY403" s="19"/>
      <c r="AZ403" s="21"/>
      <c r="BA403" s="15"/>
      <c r="BB403" s="17"/>
      <c r="BC403" s="15"/>
      <c r="BD403" s="17"/>
      <c r="BE403" s="15">
        <v>0</v>
      </c>
      <c r="BF403" s="16">
        <v>0</v>
      </c>
      <c r="BG403" s="19"/>
      <c r="BH403" s="16">
        <v>0</v>
      </c>
      <c r="BI403" s="16">
        <v>0</v>
      </c>
      <c r="BJ403" s="21"/>
    </row>
    <row r="404" spans="1:62" x14ac:dyDescent="0.25">
      <c r="E404" t="s">
        <v>243</v>
      </c>
      <c r="F404" s="32">
        <v>91</v>
      </c>
      <c r="G404" s="29">
        <v>0</v>
      </c>
      <c r="H404" s="30">
        <v>91</v>
      </c>
      <c r="I404" s="30">
        <v>91</v>
      </c>
      <c r="J404" s="31">
        <v>0</v>
      </c>
      <c r="K404" s="29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1">
        <v>0</v>
      </c>
      <c r="S404" s="32">
        <v>4</v>
      </c>
      <c r="T404" s="29"/>
      <c r="U404" s="30"/>
      <c r="V404" s="30"/>
      <c r="W404" s="30"/>
      <c r="X404" s="31"/>
      <c r="Y404" s="29"/>
      <c r="Z404" s="31"/>
      <c r="AA404" s="29"/>
      <c r="AB404" s="31"/>
      <c r="AC404" s="29"/>
      <c r="AD404">
        <v>0</v>
      </c>
      <c r="AE404" s="29">
        <v>0</v>
      </c>
      <c r="AF404" s="30">
        <v>0</v>
      </c>
      <c r="AG404" s="31">
        <v>0</v>
      </c>
      <c r="AH404" s="136"/>
      <c r="AI404" s="33"/>
      <c r="AJ404" s="33"/>
      <c r="AK404" s="33"/>
      <c r="AL404" s="33"/>
      <c r="AM404" s="33"/>
      <c r="AN404" s="34"/>
      <c r="AO404" s="33"/>
      <c r="AP404" s="33"/>
      <c r="AQ404" s="33"/>
      <c r="AR404" s="35"/>
      <c r="AS404" s="251" t="e">
        <f t="shared" si="12"/>
        <v>#DIV/0!</v>
      </c>
      <c r="AT404" s="252" t="e">
        <f t="shared" si="13"/>
        <v>#DIV/0!</v>
      </c>
      <c r="AU404" s="29">
        <v>0</v>
      </c>
      <c r="AV404" s="30">
        <v>0</v>
      </c>
      <c r="AW404" s="31">
        <v>0</v>
      </c>
      <c r="AX404" s="136"/>
      <c r="AY404" s="33"/>
      <c r="AZ404" s="35"/>
      <c r="BA404" s="29"/>
      <c r="BB404" s="31"/>
      <c r="BC404" s="29"/>
      <c r="BD404" s="31"/>
      <c r="BE404" s="29">
        <v>0</v>
      </c>
      <c r="BF404" s="30">
        <v>0</v>
      </c>
      <c r="BG404" s="33"/>
      <c r="BH404" s="30">
        <v>0</v>
      </c>
      <c r="BI404" s="30">
        <v>0</v>
      </c>
      <c r="BJ404" s="35"/>
    </row>
    <row r="405" spans="1:62" x14ac:dyDescent="0.25">
      <c r="E405" t="s">
        <v>68</v>
      </c>
      <c r="F405" s="32">
        <v>40</v>
      </c>
      <c r="G405" s="29">
        <v>0</v>
      </c>
      <c r="H405" s="30">
        <v>40</v>
      </c>
      <c r="I405" s="30">
        <v>40</v>
      </c>
      <c r="J405" s="31">
        <v>0</v>
      </c>
      <c r="K405" s="29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1">
        <v>0</v>
      </c>
      <c r="S405" s="32">
        <v>0</v>
      </c>
      <c r="T405" s="29"/>
      <c r="U405" s="30"/>
      <c r="V405" s="30"/>
      <c r="W405" s="30"/>
      <c r="X405" s="31"/>
      <c r="Y405" s="29"/>
      <c r="Z405" s="31"/>
      <c r="AA405" s="29"/>
      <c r="AB405" s="31"/>
      <c r="AC405" s="29"/>
      <c r="AD405">
        <v>0</v>
      </c>
      <c r="AE405" s="29">
        <v>0</v>
      </c>
      <c r="AF405" s="30">
        <v>0</v>
      </c>
      <c r="AG405" s="31">
        <v>0</v>
      </c>
      <c r="AH405" s="136"/>
      <c r="AI405" s="33"/>
      <c r="AJ405" s="33"/>
      <c r="AK405" s="33"/>
      <c r="AL405" s="33"/>
      <c r="AM405" s="33"/>
      <c r="AN405" s="34"/>
      <c r="AO405" s="33"/>
      <c r="AP405" s="33"/>
      <c r="AQ405" s="33"/>
      <c r="AR405" s="35"/>
      <c r="AS405" s="251" t="e">
        <f t="shared" si="12"/>
        <v>#DIV/0!</v>
      </c>
      <c r="AT405" s="252" t="e">
        <f t="shared" si="13"/>
        <v>#DIV/0!</v>
      </c>
      <c r="AU405" s="29">
        <v>0</v>
      </c>
      <c r="AV405" s="30">
        <v>0</v>
      </c>
      <c r="AW405" s="31">
        <v>0</v>
      </c>
      <c r="AX405" s="136"/>
      <c r="AY405" s="33"/>
      <c r="AZ405" s="35"/>
      <c r="BA405" s="29"/>
      <c r="BB405" s="31"/>
      <c r="BC405" s="29"/>
      <c r="BD405" s="31"/>
      <c r="BE405" s="29">
        <v>0</v>
      </c>
      <c r="BF405" s="30">
        <v>0</v>
      </c>
      <c r="BG405" s="33"/>
      <c r="BH405" s="30">
        <v>0</v>
      </c>
      <c r="BI405" s="30">
        <v>0</v>
      </c>
      <c r="BJ405" s="35"/>
    </row>
    <row r="406" spans="1:62" ht="15.75" thickBot="1" x14ac:dyDescent="0.3">
      <c r="A406" s="128" t="s">
        <v>102</v>
      </c>
      <c r="B406" s="128"/>
      <c r="C406" s="128"/>
      <c r="D406" s="128"/>
      <c r="E406" s="128"/>
      <c r="F406" s="40">
        <v>249131</v>
      </c>
      <c r="G406" s="37">
        <v>176364</v>
      </c>
      <c r="H406" s="38">
        <v>58477</v>
      </c>
      <c r="I406" s="38">
        <v>154854</v>
      </c>
      <c r="J406" s="39">
        <v>79987</v>
      </c>
      <c r="K406" s="37">
        <v>77</v>
      </c>
      <c r="L406" s="38">
        <v>1067</v>
      </c>
      <c r="M406" s="38">
        <v>3154</v>
      </c>
      <c r="N406" s="38">
        <v>233</v>
      </c>
      <c r="O406" s="38">
        <v>1097</v>
      </c>
      <c r="P406" s="38">
        <v>101</v>
      </c>
      <c r="Q406" s="38">
        <v>1333</v>
      </c>
      <c r="R406" s="39">
        <v>6381</v>
      </c>
      <c r="S406" s="40">
        <v>12531</v>
      </c>
      <c r="T406" s="37">
        <v>17901</v>
      </c>
      <c r="U406" s="38">
        <v>151</v>
      </c>
      <c r="V406" s="38">
        <v>964</v>
      </c>
      <c r="W406" s="38">
        <v>2180</v>
      </c>
      <c r="X406" s="39">
        <v>14606</v>
      </c>
      <c r="Y406" s="37">
        <v>345072</v>
      </c>
      <c r="Z406" s="39">
        <v>96752</v>
      </c>
      <c r="AA406" s="37">
        <v>347751</v>
      </c>
      <c r="AB406" s="39">
        <v>92873</v>
      </c>
      <c r="AC406" s="37">
        <v>339492</v>
      </c>
      <c r="AD406" s="161">
        <v>90392</v>
      </c>
      <c r="AE406" s="37">
        <v>101195</v>
      </c>
      <c r="AF406" s="38">
        <v>61555</v>
      </c>
      <c r="AG406" s="39">
        <v>30195</v>
      </c>
      <c r="AH406" s="145">
        <v>7.7635971623313399E-3</v>
      </c>
      <c r="AI406" s="41">
        <v>-1.6170538322437058E-2</v>
      </c>
      <c r="AJ406" s="41">
        <v>-2.3749751977708188E-2</v>
      </c>
      <c r="AK406" s="41">
        <v>-4.0092194476599965E-2</v>
      </c>
      <c r="AL406" s="41">
        <v>-6.5735075243922608E-2</v>
      </c>
      <c r="AM406" s="41">
        <v>-2.6713899626371496E-2</v>
      </c>
      <c r="AN406" s="42">
        <v>1.9249506702048036</v>
      </c>
      <c r="AO406" s="41">
        <v>0.51253090199814022</v>
      </c>
      <c r="AP406" s="41">
        <v>0.34902247624231703</v>
      </c>
      <c r="AQ406" s="41">
        <v>0.17120840987956726</v>
      </c>
      <c r="AR406" s="43">
        <v>3.4917508002954935E-2</v>
      </c>
      <c r="AS406" s="255">
        <f t="shared" si="12"/>
        <v>7.105191535687555E-2</v>
      </c>
      <c r="AT406" s="256">
        <f t="shared" si="13"/>
        <v>-3.0448390828060147E-2</v>
      </c>
      <c r="AU406" s="37"/>
      <c r="AV406" s="38"/>
      <c r="AW406" s="39"/>
      <c r="AX406" s="145"/>
      <c r="AY406" s="41"/>
      <c r="AZ406" s="43"/>
      <c r="BA406" s="37"/>
      <c r="BB406" s="39"/>
      <c r="BC406" s="37"/>
      <c r="BD406" s="39"/>
      <c r="BE406" s="37"/>
      <c r="BF406" s="38"/>
      <c r="BG406" s="41"/>
      <c r="BH406" s="38"/>
      <c r="BI406" s="38"/>
      <c r="BJ406" s="43"/>
    </row>
  </sheetData>
  <mergeCells count="17">
    <mergeCell ref="A1:E3"/>
    <mergeCell ref="F1:R1"/>
    <mergeCell ref="S1:X1"/>
    <mergeCell ref="Y1:AG1"/>
    <mergeCell ref="AH1:AR1"/>
    <mergeCell ref="BC2:BD2"/>
    <mergeCell ref="AU1:BJ1"/>
    <mergeCell ref="G2:J2"/>
    <mergeCell ref="K2:R2"/>
    <mergeCell ref="T2:X2"/>
    <mergeCell ref="Y2:Z2"/>
    <mergeCell ref="AA2:AB2"/>
    <mergeCell ref="AC2:AD2"/>
    <mergeCell ref="AH2:AR2"/>
    <mergeCell ref="AX2:AZ2"/>
    <mergeCell ref="BA2:BB2"/>
    <mergeCell ref="AS1:A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100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4" sqref="F4"/>
    </sheetView>
  </sheetViews>
  <sheetFormatPr baseColWidth="10" defaultRowHeight="15" x14ac:dyDescent="0.25"/>
  <cols>
    <col min="1" max="1" width="11.42578125" style="106"/>
    <col min="5" max="5" width="21.42578125" customWidth="1"/>
  </cols>
  <sheetData>
    <row r="1" spans="1:62" ht="15.75" thickBot="1" x14ac:dyDescent="0.3">
      <c r="A1" s="284" t="s">
        <v>0</v>
      </c>
      <c r="B1" s="285"/>
      <c r="C1" s="285"/>
      <c r="D1" s="285"/>
      <c r="E1" s="286"/>
      <c r="F1" s="275" t="s">
        <v>1</v>
      </c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7"/>
      <c r="S1" s="275"/>
      <c r="T1" s="276"/>
      <c r="U1" s="276"/>
      <c r="V1" s="276"/>
      <c r="W1" s="276"/>
      <c r="X1" s="277"/>
      <c r="Y1" s="275" t="s">
        <v>2</v>
      </c>
      <c r="Z1" s="276"/>
      <c r="AA1" s="276"/>
      <c r="AB1" s="276"/>
      <c r="AC1" s="276"/>
      <c r="AD1" s="276"/>
      <c r="AE1" s="276"/>
      <c r="AF1" s="276"/>
      <c r="AG1" s="277"/>
      <c r="AH1" s="275" t="s">
        <v>3</v>
      </c>
      <c r="AI1" s="276"/>
      <c r="AJ1" s="276"/>
      <c r="AK1" s="276"/>
      <c r="AL1" s="276"/>
      <c r="AM1" s="276"/>
      <c r="AN1" s="276"/>
      <c r="AO1" s="276"/>
      <c r="AP1" s="276"/>
      <c r="AQ1" s="276"/>
      <c r="AR1" s="277"/>
      <c r="AS1" s="275" t="s">
        <v>247</v>
      </c>
      <c r="AT1" s="277"/>
      <c r="AU1" s="275" t="s">
        <v>4</v>
      </c>
      <c r="AV1" s="276"/>
      <c r="AW1" s="276"/>
      <c r="AX1" s="276"/>
      <c r="AY1" s="276"/>
      <c r="AZ1" s="276"/>
      <c r="BA1" s="276"/>
      <c r="BB1" s="276"/>
      <c r="BC1" s="276"/>
      <c r="BD1" s="276"/>
      <c r="BE1" s="276"/>
      <c r="BF1" s="276"/>
      <c r="BG1" s="276"/>
      <c r="BH1" s="276"/>
      <c r="BI1" s="276"/>
      <c r="BJ1" s="276"/>
    </row>
    <row r="2" spans="1:62" ht="15.75" thickBot="1" x14ac:dyDescent="0.3">
      <c r="A2" s="287"/>
      <c r="B2" s="288"/>
      <c r="C2" s="288"/>
      <c r="D2" s="288"/>
      <c r="E2" s="289"/>
      <c r="F2" s="211"/>
      <c r="G2" s="276" t="s">
        <v>5</v>
      </c>
      <c r="H2" s="276"/>
      <c r="I2" s="276"/>
      <c r="J2" s="277"/>
      <c r="K2" s="275" t="s">
        <v>6</v>
      </c>
      <c r="L2" s="276"/>
      <c r="M2" s="276"/>
      <c r="N2" s="276"/>
      <c r="O2" s="276"/>
      <c r="P2" s="276"/>
      <c r="Q2" s="276"/>
      <c r="R2" s="277"/>
      <c r="S2" s="212" t="s">
        <v>7</v>
      </c>
      <c r="T2" s="275" t="s">
        <v>8</v>
      </c>
      <c r="U2" s="276"/>
      <c r="V2" s="276"/>
      <c r="W2" s="276"/>
      <c r="X2" s="277"/>
      <c r="Y2" s="275">
        <v>2016</v>
      </c>
      <c r="Z2" s="277"/>
      <c r="AA2" s="275">
        <v>2017</v>
      </c>
      <c r="AB2" s="277"/>
      <c r="AC2" s="275">
        <v>2018</v>
      </c>
      <c r="AD2" s="277"/>
      <c r="AE2" s="213"/>
      <c r="AF2" s="214"/>
      <c r="AG2" s="215"/>
      <c r="AH2" s="278"/>
      <c r="AI2" s="279"/>
      <c r="AJ2" s="279"/>
      <c r="AK2" s="279"/>
      <c r="AL2" s="279"/>
      <c r="AM2" s="279"/>
      <c r="AN2" s="279"/>
      <c r="AO2" s="279"/>
      <c r="AP2" s="279"/>
      <c r="AQ2" s="279"/>
      <c r="AR2" s="279"/>
      <c r="AS2" s="238"/>
      <c r="AT2" s="239"/>
      <c r="AU2" s="213"/>
      <c r="AV2" s="214"/>
      <c r="AW2" s="215"/>
      <c r="AX2" s="275" t="s">
        <v>9</v>
      </c>
      <c r="AY2" s="276"/>
      <c r="AZ2" s="277"/>
      <c r="BA2" s="281" t="s">
        <v>10</v>
      </c>
      <c r="BB2" s="282"/>
      <c r="BC2" s="283" t="s">
        <v>11</v>
      </c>
      <c r="BD2" s="282"/>
      <c r="BE2" s="278" t="s">
        <v>12</v>
      </c>
      <c r="BF2" s="279"/>
      <c r="BG2" s="279"/>
      <c r="BH2" s="279"/>
      <c r="BI2" s="279"/>
      <c r="BJ2" s="280"/>
    </row>
    <row r="3" spans="1:62" s="171" customFormat="1" ht="251.25" customHeight="1" thickBot="1" x14ac:dyDescent="0.3">
      <c r="A3" s="290" t="s">
        <v>107</v>
      </c>
      <c r="B3" s="291" t="s">
        <v>108</v>
      </c>
      <c r="C3" s="291" t="s">
        <v>109</v>
      </c>
      <c r="D3" s="291" t="s">
        <v>110</v>
      </c>
      <c r="E3" s="292" t="s">
        <v>111</v>
      </c>
      <c r="F3" s="216" t="s">
        <v>13</v>
      </c>
      <c r="G3" s="217" t="s">
        <v>14</v>
      </c>
      <c r="H3" s="218" t="s">
        <v>15</v>
      </c>
      <c r="I3" s="218" t="s">
        <v>16</v>
      </c>
      <c r="J3" s="219" t="s">
        <v>17</v>
      </c>
      <c r="K3" s="217" t="s">
        <v>18</v>
      </c>
      <c r="L3" s="218" t="s">
        <v>19</v>
      </c>
      <c r="M3" s="218" t="s">
        <v>20</v>
      </c>
      <c r="N3" s="218" t="s">
        <v>21</v>
      </c>
      <c r="O3" s="218" t="s">
        <v>22</v>
      </c>
      <c r="P3" s="218" t="s">
        <v>23</v>
      </c>
      <c r="Q3" s="218" t="s">
        <v>24</v>
      </c>
      <c r="R3" s="219" t="s">
        <v>25</v>
      </c>
      <c r="S3" s="220" t="s">
        <v>26</v>
      </c>
      <c r="T3" s="217" t="s">
        <v>27</v>
      </c>
      <c r="U3" s="218" t="s">
        <v>28</v>
      </c>
      <c r="V3" s="218" t="s">
        <v>29</v>
      </c>
      <c r="W3" s="218" t="s">
        <v>30</v>
      </c>
      <c r="X3" s="219" t="s">
        <v>31</v>
      </c>
      <c r="Y3" s="217" t="s">
        <v>32</v>
      </c>
      <c r="Z3" s="219" t="s">
        <v>33</v>
      </c>
      <c r="AA3" s="217" t="s">
        <v>34</v>
      </c>
      <c r="AB3" s="219" t="s">
        <v>35</v>
      </c>
      <c r="AC3" s="217" t="s">
        <v>36</v>
      </c>
      <c r="AD3" s="219" t="s">
        <v>37</v>
      </c>
      <c r="AE3" s="221" t="s">
        <v>38</v>
      </c>
      <c r="AF3" s="222" t="s">
        <v>39</v>
      </c>
      <c r="AG3" s="223" t="s">
        <v>40</v>
      </c>
      <c r="AH3" s="222" t="s">
        <v>41</v>
      </c>
      <c r="AI3" s="222" t="s">
        <v>42</v>
      </c>
      <c r="AJ3" s="222" t="s">
        <v>43</v>
      </c>
      <c r="AK3" s="222" t="s">
        <v>44</v>
      </c>
      <c r="AL3" s="222" t="s">
        <v>45</v>
      </c>
      <c r="AM3" s="222" t="s">
        <v>46</v>
      </c>
      <c r="AN3" s="222" t="s">
        <v>47</v>
      </c>
      <c r="AO3" s="222" t="s">
        <v>48</v>
      </c>
      <c r="AP3" s="222" t="s">
        <v>49</v>
      </c>
      <c r="AQ3" s="222" t="s">
        <v>50</v>
      </c>
      <c r="AR3" s="222" t="s">
        <v>51</v>
      </c>
      <c r="AS3" s="221" t="s">
        <v>249</v>
      </c>
      <c r="AT3" s="223" t="s">
        <v>246</v>
      </c>
      <c r="AU3" s="221" t="s">
        <v>52</v>
      </c>
      <c r="AV3" s="222" t="s">
        <v>53</v>
      </c>
      <c r="AW3" s="223" t="s">
        <v>54</v>
      </c>
      <c r="AX3" s="222" t="s">
        <v>55</v>
      </c>
      <c r="AY3" s="222" t="s">
        <v>56</v>
      </c>
      <c r="AZ3" s="222" t="s">
        <v>57</v>
      </c>
      <c r="BA3" s="217" t="s">
        <v>58</v>
      </c>
      <c r="BB3" s="219" t="s">
        <v>59</v>
      </c>
      <c r="BC3" s="217" t="s">
        <v>60</v>
      </c>
      <c r="BD3" s="218" t="s">
        <v>61</v>
      </c>
      <c r="BE3" s="224" t="s">
        <v>103</v>
      </c>
      <c r="BF3" s="225" t="s">
        <v>104</v>
      </c>
      <c r="BG3" s="225" t="s">
        <v>62</v>
      </c>
      <c r="BH3" s="225" t="s">
        <v>105</v>
      </c>
      <c r="BI3" s="225" t="s">
        <v>106</v>
      </c>
      <c r="BJ3" s="226" t="s">
        <v>63</v>
      </c>
    </row>
    <row r="4" spans="1:62" x14ac:dyDescent="0.25">
      <c r="A4" s="107" t="s">
        <v>112</v>
      </c>
      <c r="B4" s="108"/>
      <c r="C4" s="108"/>
      <c r="D4" s="108"/>
      <c r="E4" s="109"/>
      <c r="F4" s="83">
        <v>1182</v>
      </c>
      <c r="G4" s="48">
        <v>1037</v>
      </c>
      <c r="H4" s="49">
        <v>0</v>
      </c>
      <c r="I4" s="49">
        <v>1037</v>
      </c>
      <c r="J4" s="44">
        <v>0</v>
      </c>
      <c r="K4" s="48">
        <v>0</v>
      </c>
      <c r="L4" s="49">
        <v>0</v>
      </c>
      <c r="M4" s="49">
        <v>13</v>
      </c>
      <c r="N4" s="49">
        <v>0</v>
      </c>
      <c r="O4" s="49">
        <v>9</v>
      </c>
      <c r="P4" s="49">
        <v>0</v>
      </c>
      <c r="Q4" s="49">
        <v>12</v>
      </c>
      <c r="R4" s="44">
        <v>63</v>
      </c>
      <c r="S4" s="83">
        <v>534</v>
      </c>
      <c r="T4" s="48">
        <v>399</v>
      </c>
      <c r="U4" s="49">
        <v>0</v>
      </c>
      <c r="V4" s="49">
        <v>7</v>
      </c>
      <c r="W4" s="49">
        <v>10</v>
      </c>
      <c r="X4" s="44">
        <v>382</v>
      </c>
      <c r="Y4" s="48">
        <v>5316</v>
      </c>
      <c r="Z4" s="44">
        <v>1563</v>
      </c>
      <c r="AA4" s="48">
        <v>5154</v>
      </c>
      <c r="AB4" s="44">
        <v>1524</v>
      </c>
      <c r="AC4" s="48">
        <v>3420</v>
      </c>
      <c r="AD4" s="44">
        <v>1233</v>
      </c>
      <c r="AE4" s="48">
        <v>250</v>
      </c>
      <c r="AF4" s="49">
        <v>129</v>
      </c>
      <c r="AG4" s="44">
        <v>299</v>
      </c>
      <c r="AH4" s="45">
        <v>-3.0474040632054177E-2</v>
      </c>
      <c r="AI4" s="46">
        <v>-0.35665914221218964</v>
      </c>
      <c r="AJ4" s="46">
        <v>-0.33643771827706637</v>
      </c>
      <c r="AK4" s="46">
        <v>-2.4952015355086371E-2</v>
      </c>
      <c r="AL4" s="46">
        <v>-0.21113243761996162</v>
      </c>
      <c r="AM4" s="46">
        <v>-0.19094488188976377</v>
      </c>
      <c r="AN4" s="84">
        <v>3.2979749276759884</v>
      </c>
      <c r="AO4" s="46">
        <v>1.1890067502410799</v>
      </c>
      <c r="AP4" s="46">
        <v>0.12439729990356799</v>
      </c>
      <c r="AQ4" s="46">
        <v>0.28833172613307617</v>
      </c>
      <c r="AR4" s="46">
        <v>5.7272727272727274E-2</v>
      </c>
      <c r="AS4" s="45">
        <v>0.51494696239151394</v>
      </c>
      <c r="AT4" s="47">
        <v>0.13018322082931533</v>
      </c>
      <c r="AU4" s="48">
        <v>559</v>
      </c>
      <c r="AV4" s="49">
        <v>443</v>
      </c>
      <c r="AW4" s="44">
        <v>356</v>
      </c>
      <c r="AX4" s="45">
        <v>-0.2075134168157424</v>
      </c>
      <c r="AY4" s="46">
        <v>-0.36314847942754919</v>
      </c>
      <c r="AZ4" s="47">
        <v>-0.19638826185101579</v>
      </c>
      <c r="BA4" s="48">
        <v>68</v>
      </c>
      <c r="BB4" s="44">
        <v>46</v>
      </c>
      <c r="BC4" s="48">
        <v>9</v>
      </c>
      <c r="BD4" s="44">
        <v>5</v>
      </c>
      <c r="BE4" s="48">
        <v>2875</v>
      </c>
      <c r="BF4" s="49">
        <v>3424</v>
      </c>
      <c r="BG4" s="46">
        <v>0.83966121495327106</v>
      </c>
      <c r="BH4" s="49">
        <v>285</v>
      </c>
      <c r="BI4" s="49">
        <v>356</v>
      </c>
      <c r="BJ4" s="47">
        <v>0.800561797752809</v>
      </c>
    </row>
    <row r="5" spans="1:62" x14ac:dyDescent="0.25">
      <c r="A5" s="110"/>
      <c r="B5" s="111" t="s">
        <v>113</v>
      </c>
      <c r="C5" s="111"/>
      <c r="D5" s="111"/>
      <c r="E5" s="112"/>
      <c r="F5" s="85">
        <v>121</v>
      </c>
      <c r="G5" s="54">
        <v>105</v>
      </c>
      <c r="H5" s="55">
        <v>0</v>
      </c>
      <c r="I5" s="55">
        <v>105</v>
      </c>
      <c r="J5" s="50">
        <v>0</v>
      </c>
      <c r="K5" s="54">
        <v>0</v>
      </c>
      <c r="L5" s="55">
        <v>0</v>
      </c>
      <c r="M5" s="55">
        <v>3</v>
      </c>
      <c r="N5" s="55">
        <v>0</v>
      </c>
      <c r="O5" s="55">
        <v>0</v>
      </c>
      <c r="P5" s="55">
        <v>0</v>
      </c>
      <c r="Q5" s="55">
        <v>4</v>
      </c>
      <c r="R5" s="50">
        <v>9</v>
      </c>
      <c r="S5" s="85">
        <v>95</v>
      </c>
      <c r="T5" s="54">
        <v>36</v>
      </c>
      <c r="U5" s="55">
        <v>0</v>
      </c>
      <c r="V5" s="55">
        <v>4</v>
      </c>
      <c r="W5" s="55">
        <v>3</v>
      </c>
      <c r="X5" s="50">
        <v>29</v>
      </c>
      <c r="Y5" s="54">
        <v>552</v>
      </c>
      <c r="Z5" s="50">
        <v>206</v>
      </c>
      <c r="AA5" s="54">
        <v>538</v>
      </c>
      <c r="AB5" s="50">
        <v>216</v>
      </c>
      <c r="AC5" s="54">
        <v>395</v>
      </c>
      <c r="AD5" s="50">
        <v>181</v>
      </c>
      <c r="AE5" s="54">
        <v>31</v>
      </c>
      <c r="AF5" s="55">
        <v>20</v>
      </c>
      <c r="AG5" s="50">
        <v>31</v>
      </c>
      <c r="AH5" s="51">
        <v>-2.5362318840579712E-2</v>
      </c>
      <c r="AI5" s="52">
        <v>-0.28442028985507245</v>
      </c>
      <c r="AJ5" s="52">
        <v>-0.26579925650557623</v>
      </c>
      <c r="AK5" s="52">
        <v>4.8543689320388349E-2</v>
      </c>
      <c r="AL5" s="52">
        <v>-0.12135922330097088</v>
      </c>
      <c r="AM5" s="52">
        <v>-0.16203703703703703</v>
      </c>
      <c r="AN5" s="86">
        <v>3.7619047619047619</v>
      </c>
      <c r="AO5" s="52">
        <v>1.7238095238095239</v>
      </c>
      <c r="AP5" s="52">
        <v>0.19047619047619047</v>
      </c>
      <c r="AQ5" s="52">
        <v>0.29523809523809524</v>
      </c>
      <c r="AR5" s="52">
        <v>7.8947368421052627E-2</v>
      </c>
      <c r="AS5" s="51">
        <v>0.90476190476190477</v>
      </c>
      <c r="AT5" s="53">
        <v>0.56190476190476191</v>
      </c>
      <c r="AU5" s="54">
        <v>123</v>
      </c>
      <c r="AV5" s="55">
        <v>107</v>
      </c>
      <c r="AW5" s="50">
        <v>76</v>
      </c>
      <c r="AX5" s="51">
        <v>-0.13008130081300814</v>
      </c>
      <c r="AY5" s="52">
        <v>-0.38211382113821141</v>
      </c>
      <c r="AZ5" s="53">
        <v>-0.28971962616822428</v>
      </c>
      <c r="BA5" s="54">
        <v>48</v>
      </c>
      <c r="BB5" s="50">
        <v>40</v>
      </c>
      <c r="BC5" s="54">
        <v>6</v>
      </c>
      <c r="BD5" s="50">
        <v>3</v>
      </c>
      <c r="BE5" s="54">
        <v>354</v>
      </c>
      <c r="BF5" s="55">
        <v>395</v>
      </c>
      <c r="BG5" s="52">
        <v>0.89620253164556962</v>
      </c>
      <c r="BH5" s="55">
        <v>66</v>
      </c>
      <c r="BI5" s="55">
        <v>76</v>
      </c>
      <c r="BJ5" s="53">
        <v>0.86842105263157898</v>
      </c>
    </row>
    <row r="6" spans="1:62" x14ac:dyDescent="0.25">
      <c r="A6" s="113"/>
      <c r="B6" s="114"/>
      <c r="C6" s="114" t="s">
        <v>114</v>
      </c>
      <c r="D6" s="114"/>
      <c r="E6" s="115"/>
      <c r="F6" s="87">
        <v>121</v>
      </c>
      <c r="G6" s="60">
        <v>105</v>
      </c>
      <c r="H6" s="61">
        <v>0</v>
      </c>
      <c r="I6" s="61">
        <v>105</v>
      </c>
      <c r="J6" s="56">
        <v>0</v>
      </c>
      <c r="K6" s="60">
        <v>0</v>
      </c>
      <c r="L6" s="61">
        <v>0</v>
      </c>
      <c r="M6" s="61">
        <v>3</v>
      </c>
      <c r="N6" s="61">
        <v>0</v>
      </c>
      <c r="O6" s="61">
        <v>0</v>
      </c>
      <c r="P6" s="61">
        <v>0</v>
      </c>
      <c r="Q6" s="61">
        <v>4</v>
      </c>
      <c r="R6" s="56">
        <v>9</v>
      </c>
      <c r="S6" s="87">
        <v>95</v>
      </c>
      <c r="T6" s="60">
        <v>36</v>
      </c>
      <c r="U6" s="61">
        <v>0</v>
      </c>
      <c r="V6" s="61">
        <v>4</v>
      </c>
      <c r="W6" s="61">
        <v>3</v>
      </c>
      <c r="X6" s="56">
        <v>29</v>
      </c>
      <c r="Y6" s="60">
        <v>552</v>
      </c>
      <c r="Z6" s="56">
        <v>206</v>
      </c>
      <c r="AA6" s="60">
        <v>538</v>
      </c>
      <c r="AB6" s="56">
        <v>216</v>
      </c>
      <c r="AC6" s="60">
        <v>395</v>
      </c>
      <c r="AD6" s="56">
        <v>181</v>
      </c>
      <c r="AE6" s="60">
        <v>31</v>
      </c>
      <c r="AF6" s="61">
        <v>20</v>
      </c>
      <c r="AG6" s="56">
        <v>31</v>
      </c>
      <c r="AH6" s="57">
        <v>-2.5362318840579712E-2</v>
      </c>
      <c r="AI6" s="58">
        <v>-0.28442028985507245</v>
      </c>
      <c r="AJ6" s="58">
        <v>-0.26579925650557623</v>
      </c>
      <c r="AK6" s="58">
        <v>4.8543689320388349E-2</v>
      </c>
      <c r="AL6" s="58">
        <v>-0.12135922330097088</v>
      </c>
      <c r="AM6" s="58">
        <v>-0.16203703703703703</v>
      </c>
      <c r="AN6" s="88">
        <v>3.7619047619047619</v>
      </c>
      <c r="AO6" s="58">
        <v>1.7238095238095239</v>
      </c>
      <c r="AP6" s="58">
        <v>0.19047619047619047</v>
      </c>
      <c r="AQ6" s="58">
        <v>0.29523809523809524</v>
      </c>
      <c r="AR6" s="58">
        <v>7.8947368421052627E-2</v>
      </c>
      <c r="AS6" s="57">
        <v>0.90476190476190477</v>
      </c>
      <c r="AT6" s="59">
        <v>0.56190476190476191</v>
      </c>
      <c r="AU6" s="60">
        <v>92</v>
      </c>
      <c r="AV6" s="61">
        <v>103</v>
      </c>
      <c r="AW6" s="56">
        <v>76</v>
      </c>
      <c r="AX6" s="57">
        <v>0.11956521739130435</v>
      </c>
      <c r="AY6" s="58">
        <v>-0.17391304347826086</v>
      </c>
      <c r="AZ6" s="59">
        <v>-0.26213592233009708</v>
      </c>
      <c r="BA6" s="60">
        <v>48</v>
      </c>
      <c r="BB6" s="56">
        <v>40</v>
      </c>
      <c r="BC6" s="60">
        <v>6</v>
      </c>
      <c r="BD6" s="56">
        <v>3</v>
      </c>
      <c r="BE6" s="60">
        <v>354</v>
      </c>
      <c r="BF6" s="61">
        <v>395</v>
      </c>
      <c r="BG6" s="58">
        <v>0.89620253164556962</v>
      </c>
      <c r="BH6" s="61">
        <v>66</v>
      </c>
      <c r="BI6" s="61">
        <v>76</v>
      </c>
      <c r="BJ6" s="59">
        <v>0.86842105263157898</v>
      </c>
    </row>
    <row r="7" spans="1:62" x14ac:dyDescent="0.25">
      <c r="A7" s="116"/>
      <c r="B7" s="117"/>
      <c r="C7" s="117"/>
      <c r="D7" s="117" t="s">
        <v>115</v>
      </c>
      <c r="E7" s="118"/>
      <c r="F7" s="89">
        <v>23</v>
      </c>
      <c r="G7" s="66">
        <v>18</v>
      </c>
      <c r="H7" s="67">
        <v>0</v>
      </c>
      <c r="I7" s="67">
        <v>18</v>
      </c>
      <c r="J7" s="62">
        <v>0</v>
      </c>
      <c r="K7" s="66">
        <v>0</v>
      </c>
      <c r="L7" s="67">
        <v>0</v>
      </c>
      <c r="M7" s="67">
        <v>0</v>
      </c>
      <c r="N7" s="67">
        <v>0</v>
      </c>
      <c r="O7" s="67">
        <v>0</v>
      </c>
      <c r="P7" s="67">
        <v>0</v>
      </c>
      <c r="Q7" s="67">
        <v>1</v>
      </c>
      <c r="R7" s="62">
        <v>4</v>
      </c>
      <c r="S7" s="89">
        <v>16</v>
      </c>
      <c r="T7" s="66">
        <v>2</v>
      </c>
      <c r="U7" s="67">
        <v>0</v>
      </c>
      <c r="V7" s="67">
        <v>1</v>
      </c>
      <c r="W7" s="67">
        <v>0</v>
      </c>
      <c r="X7" s="62">
        <v>1</v>
      </c>
      <c r="Y7" s="66">
        <v>99</v>
      </c>
      <c r="Z7" s="62">
        <v>38</v>
      </c>
      <c r="AA7" s="66">
        <v>89</v>
      </c>
      <c r="AB7" s="62">
        <v>36</v>
      </c>
      <c r="AC7" s="66">
        <v>87</v>
      </c>
      <c r="AD7" s="62">
        <v>31</v>
      </c>
      <c r="AE7" s="66">
        <v>8</v>
      </c>
      <c r="AF7" s="67">
        <v>6</v>
      </c>
      <c r="AG7" s="62">
        <v>6</v>
      </c>
      <c r="AH7" s="63">
        <v>-0.10101010101010101</v>
      </c>
      <c r="AI7" s="64">
        <v>-0.12121212121212122</v>
      </c>
      <c r="AJ7" s="64">
        <v>-2.247191011235955E-2</v>
      </c>
      <c r="AK7" s="64">
        <v>-5.2631578947368418E-2</v>
      </c>
      <c r="AL7" s="64">
        <v>-0.18421052631578946</v>
      </c>
      <c r="AM7" s="64">
        <v>-0.1388888888888889</v>
      </c>
      <c r="AN7" s="90">
        <v>4.833333333333333</v>
      </c>
      <c r="AO7" s="64">
        <v>1.7222222222222223</v>
      </c>
      <c r="AP7" s="64">
        <v>0.33333333333333331</v>
      </c>
      <c r="AQ7" s="64">
        <v>0.33333333333333331</v>
      </c>
      <c r="AR7" s="64">
        <v>0.18181818181818182</v>
      </c>
      <c r="AS7" s="63">
        <v>0.88888888888888884</v>
      </c>
      <c r="AT7" s="65">
        <v>0.77777777777777779</v>
      </c>
      <c r="AU7" s="66">
        <v>33</v>
      </c>
      <c r="AV7" s="67">
        <v>33</v>
      </c>
      <c r="AW7" s="62">
        <v>33</v>
      </c>
      <c r="AX7" s="63">
        <v>0</v>
      </c>
      <c r="AY7" s="64">
        <v>0</v>
      </c>
      <c r="AZ7" s="65">
        <v>0</v>
      </c>
      <c r="BA7" s="66">
        <v>44</v>
      </c>
      <c r="BB7" s="62">
        <v>40</v>
      </c>
      <c r="BC7" s="66">
        <v>2</v>
      </c>
      <c r="BD7" s="62">
        <v>3</v>
      </c>
      <c r="BE7" s="66">
        <v>68</v>
      </c>
      <c r="BF7" s="67">
        <v>87</v>
      </c>
      <c r="BG7" s="64">
        <v>0.7816091954022989</v>
      </c>
      <c r="BH7" s="67">
        <v>27</v>
      </c>
      <c r="BI7" s="67">
        <v>33</v>
      </c>
      <c r="BJ7" s="65">
        <v>0.81818181818181823</v>
      </c>
    </row>
    <row r="8" spans="1:62" x14ac:dyDescent="0.25">
      <c r="A8" s="119"/>
      <c r="B8" s="120"/>
      <c r="C8" s="120"/>
      <c r="D8" s="120"/>
      <c r="E8" s="121" t="s">
        <v>116</v>
      </c>
      <c r="F8" s="94">
        <v>22</v>
      </c>
      <c r="G8" s="91">
        <v>18</v>
      </c>
      <c r="H8" s="92">
        <v>0</v>
      </c>
      <c r="I8" s="92">
        <v>18</v>
      </c>
      <c r="J8" s="93">
        <v>0</v>
      </c>
      <c r="K8" s="91">
        <v>0</v>
      </c>
      <c r="L8" s="92">
        <v>0</v>
      </c>
      <c r="M8" s="92">
        <v>0</v>
      </c>
      <c r="N8" s="92">
        <v>0</v>
      </c>
      <c r="O8" s="92">
        <v>0</v>
      </c>
      <c r="P8" s="92">
        <v>0</v>
      </c>
      <c r="Q8" s="92">
        <v>1</v>
      </c>
      <c r="R8" s="93">
        <v>3</v>
      </c>
      <c r="S8" s="94">
        <v>16</v>
      </c>
      <c r="T8" s="91">
        <v>2</v>
      </c>
      <c r="U8" s="92">
        <v>0</v>
      </c>
      <c r="V8" s="92">
        <v>1</v>
      </c>
      <c r="W8" s="92">
        <v>0</v>
      </c>
      <c r="X8" s="93">
        <v>1</v>
      </c>
      <c r="Y8" s="91">
        <v>99</v>
      </c>
      <c r="Z8" s="93">
        <v>38</v>
      </c>
      <c r="AA8" s="91">
        <v>89</v>
      </c>
      <c r="AB8" s="93">
        <v>36</v>
      </c>
      <c r="AC8" s="91">
        <v>87</v>
      </c>
      <c r="AD8" s="93">
        <v>31</v>
      </c>
      <c r="AE8" s="91">
        <v>7</v>
      </c>
      <c r="AF8" s="92">
        <v>5</v>
      </c>
      <c r="AG8" s="93">
        <v>5</v>
      </c>
      <c r="AH8" s="95">
        <v>-0.10101010101010101</v>
      </c>
      <c r="AI8" s="96">
        <v>-0.12121212121212122</v>
      </c>
      <c r="AJ8" s="96">
        <v>-2.247191011235955E-2</v>
      </c>
      <c r="AK8" s="96">
        <v>-5.2631578947368418E-2</v>
      </c>
      <c r="AL8" s="96">
        <v>-0.18421052631578946</v>
      </c>
      <c r="AM8" s="96">
        <v>-0.1388888888888889</v>
      </c>
      <c r="AN8" s="97">
        <v>4.833333333333333</v>
      </c>
      <c r="AO8" s="96">
        <v>1.7222222222222223</v>
      </c>
      <c r="AP8" s="96">
        <v>0.27777777777777779</v>
      </c>
      <c r="AQ8" s="96">
        <v>0.27777777777777779</v>
      </c>
      <c r="AR8" s="96">
        <v>0.14285714285714285</v>
      </c>
      <c r="AS8" s="95">
        <v>0.88888888888888884</v>
      </c>
      <c r="AT8" s="98">
        <v>0.77777777777777779</v>
      </c>
      <c r="AU8" s="91">
        <v>33</v>
      </c>
      <c r="AV8" s="92">
        <v>33</v>
      </c>
      <c r="AW8" s="68">
        <v>33</v>
      </c>
      <c r="AX8" s="69">
        <v>0</v>
      </c>
      <c r="AY8" s="70">
        <v>0</v>
      </c>
      <c r="AZ8" s="71">
        <v>0</v>
      </c>
      <c r="BA8" s="72">
        <v>44</v>
      </c>
      <c r="BB8" s="68">
        <v>40</v>
      </c>
      <c r="BC8" s="72">
        <v>2</v>
      </c>
      <c r="BD8" s="68">
        <v>3</v>
      </c>
      <c r="BE8" s="72">
        <v>68</v>
      </c>
      <c r="BF8" s="73">
        <v>87</v>
      </c>
      <c r="BG8" s="70">
        <v>0.7816091954022989</v>
      </c>
      <c r="BH8" s="73">
        <v>27</v>
      </c>
      <c r="BI8" s="73">
        <v>33</v>
      </c>
      <c r="BJ8" s="98">
        <v>0.81818181818181823</v>
      </c>
    </row>
    <row r="9" spans="1:62" x14ac:dyDescent="0.25">
      <c r="A9" s="116"/>
      <c r="B9" s="117"/>
      <c r="C9" s="117"/>
      <c r="D9" s="117" t="s">
        <v>117</v>
      </c>
      <c r="E9" s="118"/>
      <c r="F9" s="89">
        <v>9</v>
      </c>
      <c r="G9" s="66">
        <v>9</v>
      </c>
      <c r="H9" s="67">
        <v>0</v>
      </c>
      <c r="I9" s="67">
        <v>9</v>
      </c>
      <c r="J9" s="62">
        <v>0</v>
      </c>
      <c r="K9" s="66">
        <v>0</v>
      </c>
      <c r="L9" s="67">
        <v>0</v>
      </c>
      <c r="M9" s="67">
        <v>0</v>
      </c>
      <c r="N9" s="67">
        <v>0</v>
      </c>
      <c r="O9" s="67">
        <v>0</v>
      </c>
      <c r="P9" s="67">
        <v>0</v>
      </c>
      <c r="Q9" s="67">
        <v>0</v>
      </c>
      <c r="R9" s="62">
        <v>0</v>
      </c>
      <c r="S9" s="89">
        <v>9</v>
      </c>
      <c r="T9" s="66">
        <v>5</v>
      </c>
      <c r="U9" s="67">
        <v>0</v>
      </c>
      <c r="V9" s="67">
        <v>0</v>
      </c>
      <c r="W9" s="67">
        <v>0</v>
      </c>
      <c r="X9" s="62">
        <v>5</v>
      </c>
      <c r="Y9" s="66">
        <v>33</v>
      </c>
      <c r="Z9" s="62">
        <v>16</v>
      </c>
      <c r="AA9" s="66">
        <v>33</v>
      </c>
      <c r="AB9" s="62">
        <v>15</v>
      </c>
      <c r="AC9" s="66">
        <v>37</v>
      </c>
      <c r="AD9" s="62">
        <v>13</v>
      </c>
      <c r="AE9" s="66">
        <v>1</v>
      </c>
      <c r="AF9" s="67">
        <v>1</v>
      </c>
      <c r="AG9" s="62">
        <v>6</v>
      </c>
      <c r="AH9" s="63">
        <v>0</v>
      </c>
      <c r="AI9" s="64">
        <v>0.12121212121212122</v>
      </c>
      <c r="AJ9" s="64">
        <v>0.12121212121212122</v>
      </c>
      <c r="AK9" s="64">
        <v>-6.25E-2</v>
      </c>
      <c r="AL9" s="64">
        <v>-0.1875</v>
      </c>
      <c r="AM9" s="64">
        <v>-0.13333333333333333</v>
      </c>
      <c r="AN9" s="90">
        <v>4.1111111111111107</v>
      </c>
      <c r="AO9" s="64">
        <v>1.4444444444444444</v>
      </c>
      <c r="AP9" s="64">
        <v>0.1111111111111111</v>
      </c>
      <c r="AQ9" s="64">
        <v>0.66666666666666663</v>
      </c>
      <c r="AR9" s="64">
        <v>0</v>
      </c>
      <c r="AS9" s="63">
        <v>1</v>
      </c>
      <c r="AT9" s="65">
        <v>0.44444444444444442</v>
      </c>
      <c r="AU9" s="66">
        <v>11</v>
      </c>
      <c r="AV9" s="67">
        <v>9</v>
      </c>
      <c r="AW9" s="62">
        <v>12</v>
      </c>
      <c r="AX9" s="63">
        <v>-0.18181818181818182</v>
      </c>
      <c r="AY9" s="64">
        <v>9.0909090909090912E-2</v>
      </c>
      <c r="AZ9" s="65">
        <v>0.33333333333333331</v>
      </c>
      <c r="BA9" s="66">
        <v>57</v>
      </c>
      <c r="BB9" s="62">
        <v>55</v>
      </c>
      <c r="BC9" s="66">
        <v>12</v>
      </c>
      <c r="BD9" s="62">
        <v>4</v>
      </c>
      <c r="BE9" s="66">
        <v>28</v>
      </c>
      <c r="BF9" s="67">
        <v>37</v>
      </c>
      <c r="BG9" s="64">
        <v>0.7567567567567568</v>
      </c>
      <c r="BH9" s="67">
        <v>10</v>
      </c>
      <c r="BI9" s="67">
        <v>12</v>
      </c>
      <c r="BJ9" s="65">
        <v>0.83333333333333337</v>
      </c>
    </row>
    <row r="10" spans="1:62" x14ac:dyDescent="0.25">
      <c r="A10" s="119"/>
      <c r="B10" s="120"/>
      <c r="C10" s="120"/>
      <c r="D10" s="120"/>
      <c r="E10" s="121" t="s">
        <v>116</v>
      </c>
      <c r="F10" s="94">
        <v>9</v>
      </c>
      <c r="G10" s="91">
        <v>9</v>
      </c>
      <c r="H10" s="92">
        <v>0</v>
      </c>
      <c r="I10" s="92">
        <v>9</v>
      </c>
      <c r="J10" s="93">
        <v>0</v>
      </c>
      <c r="K10" s="91">
        <v>0</v>
      </c>
      <c r="L10" s="92">
        <v>0</v>
      </c>
      <c r="M10" s="92">
        <v>0</v>
      </c>
      <c r="N10" s="92">
        <v>0</v>
      </c>
      <c r="O10" s="92">
        <v>0</v>
      </c>
      <c r="P10" s="92">
        <v>0</v>
      </c>
      <c r="Q10" s="92">
        <v>0</v>
      </c>
      <c r="R10" s="93">
        <v>0</v>
      </c>
      <c r="S10" s="94">
        <v>9</v>
      </c>
      <c r="T10" s="91">
        <v>5</v>
      </c>
      <c r="U10" s="92">
        <v>0</v>
      </c>
      <c r="V10" s="92">
        <v>0</v>
      </c>
      <c r="W10" s="92">
        <v>0</v>
      </c>
      <c r="X10" s="93">
        <v>5</v>
      </c>
      <c r="Y10" s="91">
        <v>33</v>
      </c>
      <c r="Z10" s="93">
        <v>16</v>
      </c>
      <c r="AA10" s="91">
        <v>33</v>
      </c>
      <c r="AB10" s="93">
        <v>15</v>
      </c>
      <c r="AC10" s="91">
        <v>37</v>
      </c>
      <c r="AD10" s="93">
        <v>13</v>
      </c>
      <c r="AE10" s="91">
        <v>1</v>
      </c>
      <c r="AF10" s="92">
        <v>1</v>
      </c>
      <c r="AG10" s="93">
        <v>6</v>
      </c>
      <c r="AH10" s="95">
        <v>0</v>
      </c>
      <c r="AI10" s="96">
        <v>0.12121212121212122</v>
      </c>
      <c r="AJ10" s="96">
        <v>0.12121212121212122</v>
      </c>
      <c r="AK10" s="96">
        <v>-6.25E-2</v>
      </c>
      <c r="AL10" s="96">
        <v>-0.1875</v>
      </c>
      <c r="AM10" s="96">
        <v>-0.13333333333333333</v>
      </c>
      <c r="AN10" s="97">
        <v>4.1111111111111107</v>
      </c>
      <c r="AO10" s="96">
        <v>1.4444444444444444</v>
      </c>
      <c r="AP10" s="96">
        <v>0.1111111111111111</v>
      </c>
      <c r="AQ10" s="96">
        <v>0.66666666666666663</v>
      </c>
      <c r="AR10" s="96">
        <v>0</v>
      </c>
      <c r="AS10" s="95">
        <v>1</v>
      </c>
      <c r="AT10" s="98">
        <v>0.44444444444444442</v>
      </c>
      <c r="AU10" s="91">
        <v>11</v>
      </c>
      <c r="AV10" s="92">
        <v>9</v>
      </c>
      <c r="AW10" s="68">
        <v>12</v>
      </c>
      <c r="AX10" s="69">
        <v>-0.18181818181818182</v>
      </c>
      <c r="AY10" s="70">
        <v>9.0909090909090912E-2</v>
      </c>
      <c r="AZ10" s="71">
        <v>0.33333333333333331</v>
      </c>
      <c r="BA10" s="72">
        <v>57</v>
      </c>
      <c r="BB10" s="68">
        <v>55</v>
      </c>
      <c r="BC10" s="72">
        <v>12</v>
      </c>
      <c r="BD10" s="68">
        <v>4</v>
      </c>
      <c r="BE10" s="72">
        <v>28</v>
      </c>
      <c r="BF10" s="73">
        <v>37</v>
      </c>
      <c r="BG10" s="70">
        <v>0.7567567567567568</v>
      </c>
      <c r="BH10" s="73">
        <v>10</v>
      </c>
      <c r="BI10" s="73">
        <v>12</v>
      </c>
      <c r="BJ10" s="98">
        <v>0.83333333333333337</v>
      </c>
    </row>
    <row r="11" spans="1:62" x14ac:dyDescent="0.25">
      <c r="A11" s="116"/>
      <c r="B11" s="117"/>
      <c r="C11" s="117"/>
      <c r="D11" s="117" t="s">
        <v>118</v>
      </c>
      <c r="E11" s="118"/>
      <c r="F11" s="89">
        <v>10</v>
      </c>
      <c r="G11" s="66">
        <v>9</v>
      </c>
      <c r="H11" s="67">
        <v>0</v>
      </c>
      <c r="I11" s="67">
        <v>9</v>
      </c>
      <c r="J11" s="62">
        <v>0</v>
      </c>
      <c r="K11" s="66">
        <v>0</v>
      </c>
      <c r="L11" s="67">
        <v>0</v>
      </c>
      <c r="M11" s="67">
        <v>0</v>
      </c>
      <c r="N11" s="67">
        <v>0</v>
      </c>
      <c r="O11" s="67">
        <v>0</v>
      </c>
      <c r="P11" s="67">
        <v>0</v>
      </c>
      <c r="Q11" s="67">
        <v>0</v>
      </c>
      <c r="R11" s="62">
        <v>1</v>
      </c>
      <c r="S11" s="89">
        <v>8</v>
      </c>
      <c r="T11" s="66"/>
      <c r="U11" s="67"/>
      <c r="V11" s="67"/>
      <c r="W11" s="67"/>
      <c r="X11" s="62"/>
      <c r="Y11" s="66">
        <v>28</v>
      </c>
      <c r="Z11" s="62">
        <v>15</v>
      </c>
      <c r="AA11" s="66">
        <v>10</v>
      </c>
      <c r="AB11" s="62">
        <v>6</v>
      </c>
      <c r="AC11" s="66">
        <v>9</v>
      </c>
      <c r="AD11" s="62">
        <v>5</v>
      </c>
      <c r="AE11" s="66">
        <v>5</v>
      </c>
      <c r="AF11" s="67">
        <v>4</v>
      </c>
      <c r="AG11" s="62">
        <v>4</v>
      </c>
      <c r="AH11" s="63">
        <v>-0.6428571428571429</v>
      </c>
      <c r="AI11" s="64">
        <v>-0.6785714285714286</v>
      </c>
      <c r="AJ11" s="64">
        <v>-0.1</v>
      </c>
      <c r="AK11" s="64">
        <v>-0.6</v>
      </c>
      <c r="AL11" s="64">
        <v>-0.66666666666666663</v>
      </c>
      <c r="AM11" s="64">
        <v>-0.16666666666666666</v>
      </c>
      <c r="AN11" s="90">
        <v>1</v>
      </c>
      <c r="AO11" s="64">
        <v>0.55555555555555558</v>
      </c>
      <c r="AP11" s="64">
        <v>0.44444444444444442</v>
      </c>
      <c r="AQ11" s="64">
        <v>0.44444444444444442</v>
      </c>
      <c r="AR11" s="64">
        <v>0.1</v>
      </c>
      <c r="AS11" s="63">
        <v>0.88888888888888884</v>
      </c>
      <c r="AT11" s="65">
        <v>0.88888888888888884</v>
      </c>
      <c r="AU11" s="66">
        <v>13</v>
      </c>
      <c r="AV11" s="67">
        <v>7</v>
      </c>
      <c r="AW11" s="62">
        <v>6</v>
      </c>
      <c r="AX11" s="63">
        <v>-0.46153846153846156</v>
      </c>
      <c r="AY11" s="64">
        <v>-0.53846153846153844</v>
      </c>
      <c r="AZ11" s="65">
        <v>-0.14285714285714285</v>
      </c>
      <c r="BA11" s="66">
        <v>32</v>
      </c>
      <c r="BB11" s="62">
        <v>33.5</v>
      </c>
      <c r="BC11" s="66">
        <v>0</v>
      </c>
      <c r="BD11" s="62">
        <v>1</v>
      </c>
      <c r="BE11" s="66">
        <v>7</v>
      </c>
      <c r="BF11" s="67">
        <v>9</v>
      </c>
      <c r="BG11" s="64">
        <v>0.77777777777777779</v>
      </c>
      <c r="BH11" s="67">
        <v>5</v>
      </c>
      <c r="BI11" s="67">
        <v>6</v>
      </c>
      <c r="BJ11" s="65">
        <v>0.83333333333333337</v>
      </c>
    </row>
    <row r="12" spans="1:62" x14ac:dyDescent="0.25">
      <c r="A12" s="119"/>
      <c r="B12" s="120"/>
      <c r="C12" s="120"/>
      <c r="D12" s="120"/>
      <c r="E12" s="121" t="s">
        <v>116</v>
      </c>
      <c r="F12" s="94">
        <v>10</v>
      </c>
      <c r="G12" s="91">
        <v>9</v>
      </c>
      <c r="H12" s="92">
        <v>0</v>
      </c>
      <c r="I12" s="92">
        <v>9</v>
      </c>
      <c r="J12" s="93">
        <v>0</v>
      </c>
      <c r="K12" s="91">
        <v>0</v>
      </c>
      <c r="L12" s="92">
        <v>0</v>
      </c>
      <c r="M12" s="92">
        <v>0</v>
      </c>
      <c r="N12" s="92">
        <v>0</v>
      </c>
      <c r="O12" s="92">
        <v>0</v>
      </c>
      <c r="P12" s="92">
        <v>0</v>
      </c>
      <c r="Q12" s="92">
        <v>0</v>
      </c>
      <c r="R12" s="93">
        <v>1</v>
      </c>
      <c r="S12" s="94">
        <v>8</v>
      </c>
      <c r="T12" s="91"/>
      <c r="U12" s="92"/>
      <c r="V12" s="92"/>
      <c r="W12" s="92"/>
      <c r="X12" s="93"/>
      <c r="Y12" s="91">
        <v>28</v>
      </c>
      <c r="Z12" s="93">
        <v>15</v>
      </c>
      <c r="AA12" s="91">
        <v>10</v>
      </c>
      <c r="AB12" s="93">
        <v>6</v>
      </c>
      <c r="AC12" s="91">
        <v>9</v>
      </c>
      <c r="AD12" s="93">
        <v>5</v>
      </c>
      <c r="AE12" s="91">
        <v>5</v>
      </c>
      <c r="AF12" s="92">
        <v>4</v>
      </c>
      <c r="AG12" s="93">
        <v>4</v>
      </c>
      <c r="AH12" s="95">
        <v>-0.6428571428571429</v>
      </c>
      <c r="AI12" s="96">
        <v>-0.6785714285714286</v>
      </c>
      <c r="AJ12" s="96">
        <v>-0.1</v>
      </c>
      <c r="AK12" s="96">
        <v>-0.6</v>
      </c>
      <c r="AL12" s="96">
        <v>-0.66666666666666663</v>
      </c>
      <c r="AM12" s="96">
        <v>-0.16666666666666666</v>
      </c>
      <c r="AN12" s="97">
        <v>1</v>
      </c>
      <c r="AO12" s="96">
        <v>0.55555555555555558</v>
      </c>
      <c r="AP12" s="96">
        <v>0.44444444444444442</v>
      </c>
      <c r="AQ12" s="96">
        <v>0.44444444444444442</v>
      </c>
      <c r="AR12" s="96">
        <v>0.1</v>
      </c>
      <c r="AS12" s="95">
        <v>0.88888888888888884</v>
      </c>
      <c r="AT12" s="98">
        <v>0.88888888888888884</v>
      </c>
      <c r="AU12" s="91">
        <v>11</v>
      </c>
      <c r="AV12" s="92">
        <v>7</v>
      </c>
      <c r="AW12" s="68">
        <v>6</v>
      </c>
      <c r="AX12" s="69">
        <v>-0.36363636363636365</v>
      </c>
      <c r="AY12" s="70">
        <v>-0.45454545454545453</v>
      </c>
      <c r="AZ12" s="71">
        <v>-0.14285714285714285</v>
      </c>
      <c r="BA12" s="72">
        <v>32</v>
      </c>
      <c r="BB12" s="68">
        <v>33.5</v>
      </c>
      <c r="BC12" s="72">
        <v>0</v>
      </c>
      <c r="BD12" s="68">
        <v>1</v>
      </c>
      <c r="BE12" s="72">
        <v>7</v>
      </c>
      <c r="BF12" s="73">
        <v>9</v>
      </c>
      <c r="BG12" s="70">
        <v>0.77777777777777779</v>
      </c>
      <c r="BH12" s="73">
        <v>5</v>
      </c>
      <c r="BI12" s="73">
        <v>6</v>
      </c>
      <c r="BJ12" s="98">
        <v>0.83333333333333337</v>
      </c>
    </row>
    <row r="13" spans="1:62" x14ac:dyDescent="0.25">
      <c r="A13" s="116"/>
      <c r="B13" s="117"/>
      <c r="C13" s="117"/>
      <c r="D13" s="117" t="s">
        <v>119</v>
      </c>
      <c r="E13" s="118"/>
      <c r="F13" s="89">
        <v>36</v>
      </c>
      <c r="G13" s="66">
        <v>36</v>
      </c>
      <c r="H13" s="67">
        <v>0</v>
      </c>
      <c r="I13" s="67">
        <v>36</v>
      </c>
      <c r="J13" s="62">
        <v>0</v>
      </c>
      <c r="K13" s="66">
        <v>0</v>
      </c>
      <c r="L13" s="67">
        <v>0</v>
      </c>
      <c r="M13" s="67">
        <v>0</v>
      </c>
      <c r="N13" s="67">
        <v>0</v>
      </c>
      <c r="O13" s="67">
        <v>0</v>
      </c>
      <c r="P13" s="67">
        <v>0</v>
      </c>
      <c r="Q13" s="67">
        <v>0</v>
      </c>
      <c r="R13" s="62">
        <v>0</v>
      </c>
      <c r="S13" s="89">
        <v>35</v>
      </c>
      <c r="T13" s="66">
        <v>7</v>
      </c>
      <c r="U13" s="67">
        <v>0</v>
      </c>
      <c r="V13" s="67">
        <v>0</v>
      </c>
      <c r="W13" s="67">
        <v>0</v>
      </c>
      <c r="X13" s="62">
        <v>7</v>
      </c>
      <c r="Y13" s="66">
        <v>248</v>
      </c>
      <c r="Z13" s="62">
        <v>78</v>
      </c>
      <c r="AA13" s="66">
        <v>228</v>
      </c>
      <c r="AB13" s="62">
        <v>88</v>
      </c>
      <c r="AC13" s="66">
        <v>151</v>
      </c>
      <c r="AD13" s="62">
        <v>79</v>
      </c>
      <c r="AE13" s="66">
        <v>3</v>
      </c>
      <c r="AF13" s="67">
        <v>2</v>
      </c>
      <c r="AG13" s="62">
        <v>6</v>
      </c>
      <c r="AH13" s="63">
        <v>-8.0645161290322578E-2</v>
      </c>
      <c r="AI13" s="64">
        <v>-0.3911290322580645</v>
      </c>
      <c r="AJ13" s="64">
        <v>-0.33771929824561403</v>
      </c>
      <c r="AK13" s="64">
        <v>0.12820512820512819</v>
      </c>
      <c r="AL13" s="64">
        <v>1.282051282051282E-2</v>
      </c>
      <c r="AM13" s="64">
        <v>-0.10227272727272728</v>
      </c>
      <c r="AN13" s="90">
        <v>4.1944444444444446</v>
      </c>
      <c r="AO13" s="64">
        <v>2.1944444444444446</v>
      </c>
      <c r="AP13" s="64">
        <v>5.5555555555555552E-2</v>
      </c>
      <c r="AQ13" s="64">
        <v>0.16666666666666666</v>
      </c>
      <c r="AR13" s="64">
        <v>0</v>
      </c>
      <c r="AS13" s="63">
        <v>0.97222222222222221</v>
      </c>
      <c r="AT13" s="65">
        <v>0.77777777777777779</v>
      </c>
      <c r="AU13" s="66">
        <v>41</v>
      </c>
      <c r="AV13" s="67">
        <v>50</v>
      </c>
      <c r="AW13" s="62">
        <v>23</v>
      </c>
      <c r="AX13" s="63">
        <v>0.21951219512195122</v>
      </c>
      <c r="AY13" s="64">
        <v>-0.43902439024390244</v>
      </c>
      <c r="AZ13" s="65">
        <v>-0.54</v>
      </c>
      <c r="BA13" s="66">
        <v>57</v>
      </c>
      <c r="BB13" s="62">
        <v>54</v>
      </c>
      <c r="BC13" s="66">
        <v>13</v>
      </c>
      <c r="BD13" s="62">
        <v>6</v>
      </c>
      <c r="BE13" s="66">
        <v>148</v>
      </c>
      <c r="BF13" s="67">
        <v>151</v>
      </c>
      <c r="BG13" s="64">
        <v>0.98013245033112584</v>
      </c>
      <c r="BH13" s="67">
        <v>22</v>
      </c>
      <c r="BI13" s="67">
        <v>23</v>
      </c>
      <c r="BJ13" s="65">
        <v>0.95652173913043481</v>
      </c>
    </row>
    <row r="14" spans="1:62" x14ac:dyDescent="0.25">
      <c r="A14" s="119"/>
      <c r="B14" s="120"/>
      <c r="C14" s="120"/>
      <c r="D14" s="120"/>
      <c r="E14" s="121" t="s">
        <v>116</v>
      </c>
      <c r="F14" s="94">
        <v>36</v>
      </c>
      <c r="G14" s="91">
        <v>36</v>
      </c>
      <c r="H14" s="92">
        <v>0</v>
      </c>
      <c r="I14" s="92">
        <v>36</v>
      </c>
      <c r="J14" s="93">
        <v>0</v>
      </c>
      <c r="K14" s="91">
        <v>0</v>
      </c>
      <c r="L14" s="92">
        <v>0</v>
      </c>
      <c r="M14" s="92">
        <v>0</v>
      </c>
      <c r="N14" s="92">
        <v>0</v>
      </c>
      <c r="O14" s="92">
        <v>0</v>
      </c>
      <c r="P14" s="92">
        <v>0</v>
      </c>
      <c r="Q14" s="92">
        <v>0</v>
      </c>
      <c r="R14" s="93">
        <v>0</v>
      </c>
      <c r="S14" s="94">
        <v>35</v>
      </c>
      <c r="T14" s="91">
        <v>7</v>
      </c>
      <c r="U14" s="92">
        <v>0</v>
      </c>
      <c r="V14" s="92">
        <v>0</v>
      </c>
      <c r="W14" s="92">
        <v>0</v>
      </c>
      <c r="X14" s="93">
        <v>7</v>
      </c>
      <c r="Y14" s="91">
        <v>248</v>
      </c>
      <c r="Z14" s="93">
        <v>78</v>
      </c>
      <c r="AA14" s="91">
        <v>228</v>
      </c>
      <c r="AB14" s="93">
        <v>88</v>
      </c>
      <c r="AC14" s="91">
        <v>151</v>
      </c>
      <c r="AD14" s="93">
        <v>79</v>
      </c>
      <c r="AE14" s="91">
        <v>3</v>
      </c>
      <c r="AF14" s="92">
        <v>2</v>
      </c>
      <c r="AG14" s="93">
        <v>6</v>
      </c>
      <c r="AH14" s="95">
        <v>-8.0645161290322578E-2</v>
      </c>
      <c r="AI14" s="96">
        <v>-0.3911290322580645</v>
      </c>
      <c r="AJ14" s="96">
        <v>-0.33771929824561403</v>
      </c>
      <c r="AK14" s="96">
        <v>0.12820512820512819</v>
      </c>
      <c r="AL14" s="96">
        <v>1.282051282051282E-2</v>
      </c>
      <c r="AM14" s="96">
        <v>-0.10227272727272728</v>
      </c>
      <c r="AN14" s="97">
        <v>4.1944444444444446</v>
      </c>
      <c r="AO14" s="96">
        <v>2.1944444444444446</v>
      </c>
      <c r="AP14" s="96">
        <v>5.5555555555555552E-2</v>
      </c>
      <c r="AQ14" s="96">
        <v>0.16666666666666666</v>
      </c>
      <c r="AR14" s="96">
        <v>0</v>
      </c>
      <c r="AS14" s="95">
        <v>0.97222222222222221</v>
      </c>
      <c r="AT14" s="98">
        <v>0.77777777777777779</v>
      </c>
      <c r="AU14" s="91">
        <v>41</v>
      </c>
      <c r="AV14" s="92">
        <v>50</v>
      </c>
      <c r="AW14" s="68">
        <v>23</v>
      </c>
      <c r="AX14" s="69">
        <v>0.21951219512195122</v>
      </c>
      <c r="AY14" s="70">
        <v>-0.43902439024390244</v>
      </c>
      <c r="AZ14" s="71">
        <v>-0.54</v>
      </c>
      <c r="BA14" s="72">
        <v>57</v>
      </c>
      <c r="BB14" s="68">
        <v>54</v>
      </c>
      <c r="BC14" s="72">
        <v>13</v>
      </c>
      <c r="BD14" s="68">
        <v>6</v>
      </c>
      <c r="BE14" s="72">
        <v>148</v>
      </c>
      <c r="BF14" s="73">
        <v>151</v>
      </c>
      <c r="BG14" s="70">
        <v>0.98013245033112584</v>
      </c>
      <c r="BH14" s="73">
        <v>22</v>
      </c>
      <c r="BI14" s="73">
        <v>23</v>
      </c>
      <c r="BJ14" s="98">
        <v>0.95652173913043481</v>
      </c>
    </row>
    <row r="15" spans="1:62" x14ac:dyDescent="0.25">
      <c r="A15" s="116"/>
      <c r="B15" s="117"/>
      <c r="C15" s="117"/>
      <c r="D15" s="117" t="s">
        <v>120</v>
      </c>
      <c r="E15" s="118"/>
      <c r="F15" s="89">
        <v>11</v>
      </c>
      <c r="G15" s="66">
        <v>10</v>
      </c>
      <c r="H15" s="67">
        <v>0</v>
      </c>
      <c r="I15" s="67">
        <v>10</v>
      </c>
      <c r="J15" s="62">
        <v>0</v>
      </c>
      <c r="K15" s="66">
        <v>0</v>
      </c>
      <c r="L15" s="67">
        <v>0</v>
      </c>
      <c r="M15" s="67">
        <v>0</v>
      </c>
      <c r="N15" s="67">
        <v>0</v>
      </c>
      <c r="O15" s="67">
        <v>0</v>
      </c>
      <c r="P15" s="67">
        <v>0</v>
      </c>
      <c r="Q15" s="67">
        <v>0</v>
      </c>
      <c r="R15" s="62">
        <v>1</v>
      </c>
      <c r="S15" s="89">
        <v>9</v>
      </c>
      <c r="T15" s="66">
        <v>3</v>
      </c>
      <c r="U15" s="67">
        <v>0</v>
      </c>
      <c r="V15" s="67">
        <v>0</v>
      </c>
      <c r="W15" s="67">
        <v>0</v>
      </c>
      <c r="X15" s="62">
        <v>3</v>
      </c>
      <c r="Y15" s="66">
        <v>38</v>
      </c>
      <c r="Z15" s="62">
        <v>13</v>
      </c>
      <c r="AA15" s="66">
        <v>71</v>
      </c>
      <c r="AB15" s="62">
        <v>17</v>
      </c>
      <c r="AC15" s="66">
        <v>37</v>
      </c>
      <c r="AD15" s="62">
        <v>14</v>
      </c>
      <c r="AE15" s="66">
        <v>3</v>
      </c>
      <c r="AF15" s="67">
        <v>2</v>
      </c>
      <c r="AG15" s="62">
        <v>3</v>
      </c>
      <c r="AH15" s="63">
        <v>0.86842105263157898</v>
      </c>
      <c r="AI15" s="64">
        <v>-2.6315789473684209E-2</v>
      </c>
      <c r="AJ15" s="64">
        <v>-0.47887323943661969</v>
      </c>
      <c r="AK15" s="64">
        <v>0.30769230769230771</v>
      </c>
      <c r="AL15" s="64">
        <v>7.6923076923076927E-2</v>
      </c>
      <c r="AM15" s="64">
        <v>-0.17647058823529413</v>
      </c>
      <c r="AN15" s="90">
        <v>3.7</v>
      </c>
      <c r="AO15" s="64">
        <v>1.4</v>
      </c>
      <c r="AP15" s="64">
        <v>0.2</v>
      </c>
      <c r="AQ15" s="64">
        <v>0.3</v>
      </c>
      <c r="AR15" s="64">
        <v>9.0909090909090912E-2</v>
      </c>
      <c r="AS15" s="63">
        <v>0.9</v>
      </c>
      <c r="AT15" s="65">
        <v>0.6</v>
      </c>
      <c r="AU15" s="66">
        <v>16</v>
      </c>
      <c r="AV15" s="67">
        <v>27</v>
      </c>
      <c r="AW15" s="62">
        <v>16</v>
      </c>
      <c r="AX15" s="63">
        <v>0.6875</v>
      </c>
      <c r="AY15" s="64">
        <v>0</v>
      </c>
      <c r="AZ15" s="65">
        <v>-0.40740740740740738</v>
      </c>
      <c r="BA15" s="66">
        <v>57</v>
      </c>
      <c r="BB15" s="62">
        <v>57</v>
      </c>
      <c r="BC15" s="66">
        <v>7</v>
      </c>
      <c r="BD15" s="62">
        <v>5.5</v>
      </c>
      <c r="BE15" s="66">
        <v>31</v>
      </c>
      <c r="BF15" s="67">
        <v>37</v>
      </c>
      <c r="BG15" s="64">
        <v>0.83783783783783783</v>
      </c>
      <c r="BH15" s="67">
        <v>12</v>
      </c>
      <c r="BI15" s="67">
        <v>16</v>
      </c>
      <c r="BJ15" s="65">
        <v>0.75</v>
      </c>
    </row>
    <row r="16" spans="1:62" x14ac:dyDescent="0.25">
      <c r="A16" s="119"/>
      <c r="B16" s="120"/>
      <c r="C16" s="120"/>
      <c r="D16" s="120"/>
      <c r="E16" s="121" t="s">
        <v>116</v>
      </c>
      <c r="F16" s="94">
        <v>11</v>
      </c>
      <c r="G16" s="91">
        <v>10</v>
      </c>
      <c r="H16" s="92">
        <v>0</v>
      </c>
      <c r="I16" s="92">
        <v>10</v>
      </c>
      <c r="J16" s="93">
        <v>0</v>
      </c>
      <c r="K16" s="91">
        <v>0</v>
      </c>
      <c r="L16" s="92">
        <v>0</v>
      </c>
      <c r="M16" s="92">
        <v>0</v>
      </c>
      <c r="N16" s="92">
        <v>0</v>
      </c>
      <c r="O16" s="92">
        <v>0</v>
      </c>
      <c r="P16" s="92">
        <v>0</v>
      </c>
      <c r="Q16" s="92">
        <v>0</v>
      </c>
      <c r="R16" s="93">
        <v>1</v>
      </c>
      <c r="S16" s="94">
        <v>9</v>
      </c>
      <c r="T16" s="91">
        <v>3</v>
      </c>
      <c r="U16" s="92">
        <v>0</v>
      </c>
      <c r="V16" s="92">
        <v>0</v>
      </c>
      <c r="W16" s="92">
        <v>0</v>
      </c>
      <c r="X16" s="93">
        <v>3</v>
      </c>
      <c r="Y16" s="91">
        <v>38</v>
      </c>
      <c r="Z16" s="93">
        <v>13</v>
      </c>
      <c r="AA16" s="91">
        <v>71</v>
      </c>
      <c r="AB16" s="93">
        <v>17</v>
      </c>
      <c r="AC16" s="91">
        <v>37</v>
      </c>
      <c r="AD16" s="93">
        <v>14</v>
      </c>
      <c r="AE16" s="91">
        <v>3</v>
      </c>
      <c r="AF16" s="92">
        <v>2</v>
      </c>
      <c r="AG16" s="93">
        <v>3</v>
      </c>
      <c r="AH16" s="95">
        <v>0.86842105263157898</v>
      </c>
      <c r="AI16" s="96">
        <v>-2.6315789473684209E-2</v>
      </c>
      <c r="AJ16" s="96">
        <v>-0.47887323943661969</v>
      </c>
      <c r="AK16" s="96">
        <v>0.30769230769230771</v>
      </c>
      <c r="AL16" s="96">
        <v>7.6923076923076927E-2</v>
      </c>
      <c r="AM16" s="96">
        <v>-0.17647058823529413</v>
      </c>
      <c r="AN16" s="97">
        <v>3.7</v>
      </c>
      <c r="AO16" s="96">
        <v>1.4</v>
      </c>
      <c r="AP16" s="96">
        <v>0.2</v>
      </c>
      <c r="AQ16" s="96">
        <v>0.3</v>
      </c>
      <c r="AR16" s="96">
        <v>9.0909090909090912E-2</v>
      </c>
      <c r="AS16" s="95">
        <v>0.9</v>
      </c>
      <c r="AT16" s="98">
        <v>0.6</v>
      </c>
      <c r="AU16" s="91">
        <v>16</v>
      </c>
      <c r="AV16" s="92">
        <v>25</v>
      </c>
      <c r="AW16" s="68">
        <v>16</v>
      </c>
      <c r="AX16" s="69">
        <v>0.5625</v>
      </c>
      <c r="AY16" s="70">
        <v>0</v>
      </c>
      <c r="AZ16" s="71">
        <v>-0.36</v>
      </c>
      <c r="BA16" s="72">
        <v>57</v>
      </c>
      <c r="BB16" s="68">
        <v>57</v>
      </c>
      <c r="BC16" s="72">
        <v>7</v>
      </c>
      <c r="BD16" s="68">
        <v>5.5</v>
      </c>
      <c r="BE16" s="72">
        <v>31</v>
      </c>
      <c r="BF16" s="73">
        <v>37</v>
      </c>
      <c r="BG16" s="70">
        <v>0.83783783783783783</v>
      </c>
      <c r="BH16" s="73">
        <v>12</v>
      </c>
      <c r="BI16" s="73">
        <v>16</v>
      </c>
      <c r="BJ16" s="98">
        <v>0.75</v>
      </c>
    </row>
    <row r="17" spans="1:62" x14ac:dyDescent="0.25">
      <c r="A17" s="116"/>
      <c r="B17" s="117"/>
      <c r="C17" s="117"/>
      <c r="D17" s="117" t="s">
        <v>121</v>
      </c>
      <c r="E17" s="118"/>
      <c r="F17" s="89">
        <v>29</v>
      </c>
      <c r="G17" s="66">
        <v>20</v>
      </c>
      <c r="H17" s="67">
        <v>0</v>
      </c>
      <c r="I17" s="67">
        <v>20</v>
      </c>
      <c r="J17" s="62">
        <v>0</v>
      </c>
      <c r="K17" s="66">
        <v>0</v>
      </c>
      <c r="L17" s="67">
        <v>0</v>
      </c>
      <c r="M17" s="67">
        <v>3</v>
      </c>
      <c r="N17" s="67">
        <v>0</v>
      </c>
      <c r="O17" s="67">
        <v>0</v>
      </c>
      <c r="P17" s="67">
        <v>0</v>
      </c>
      <c r="Q17" s="67">
        <v>3</v>
      </c>
      <c r="R17" s="62">
        <v>3</v>
      </c>
      <c r="S17" s="89">
        <v>15</v>
      </c>
      <c r="T17" s="66">
        <v>19</v>
      </c>
      <c r="U17" s="67">
        <v>0</v>
      </c>
      <c r="V17" s="67">
        <v>3</v>
      </c>
      <c r="W17" s="67">
        <v>3</v>
      </c>
      <c r="X17" s="62">
        <v>13</v>
      </c>
      <c r="Y17" s="66">
        <v>58</v>
      </c>
      <c r="Z17" s="62">
        <v>33</v>
      </c>
      <c r="AA17" s="66">
        <v>63</v>
      </c>
      <c r="AB17" s="62">
        <v>41</v>
      </c>
      <c r="AC17" s="66">
        <v>47</v>
      </c>
      <c r="AD17" s="62">
        <v>32</v>
      </c>
      <c r="AE17" s="66">
        <v>11</v>
      </c>
      <c r="AF17" s="67">
        <v>5</v>
      </c>
      <c r="AG17" s="62">
        <v>4</v>
      </c>
      <c r="AH17" s="63">
        <v>8.6206896551724144E-2</v>
      </c>
      <c r="AI17" s="64">
        <v>-0.18965517241379309</v>
      </c>
      <c r="AJ17" s="64">
        <v>-0.25396825396825395</v>
      </c>
      <c r="AK17" s="64">
        <v>0.24242424242424243</v>
      </c>
      <c r="AL17" s="64">
        <v>-3.0303030303030304E-2</v>
      </c>
      <c r="AM17" s="64">
        <v>-0.21951219512195122</v>
      </c>
      <c r="AN17" s="90">
        <v>2.35</v>
      </c>
      <c r="AO17" s="64">
        <v>1.6</v>
      </c>
      <c r="AP17" s="64">
        <v>0.25</v>
      </c>
      <c r="AQ17" s="64">
        <v>0.2</v>
      </c>
      <c r="AR17" s="64">
        <v>0.13043478260869565</v>
      </c>
      <c r="AS17" s="63">
        <v>0.75</v>
      </c>
      <c r="AT17" s="65">
        <v>-0.2</v>
      </c>
      <c r="AU17" s="66">
        <v>17</v>
      </c>
      <c r="AV17" s="67">
        <v>18</v>
      </c>
      <c r="AW17" s="62">
        <v>17</v>
      </c>
      <c r="AX17" s="63">
        <v>5.8823529411764705E-2</v>
      </c>
      <c r="AY17" s="64">
        <v>0</v>
      </c>
      <c r="AZ17" s="65">
        <v>-5.5555555555555552E-2</v>
      </c>
      <c r="BA17" s="66">
        <v>18</v>
      </c>
      <c r="BB17" s="62">
        <v>11</v>
      </c>
      <c r="BC17" s="66">
        <v>2</v>
      </c>
      <c r="BD17" s="62">
        <v>2</v>
      </c>
      <c r="BE17" s="66">
        <v>47</v>
      </c>
      <c r="BF17" s="67">
        <v>47</v>
      </c>
      <c r="BG17" s="64">
        <v>1</v>
      </c>
      <c r="BH17" s="67">
        <v>17</v>
      </c>
      <c r="BI17" s="67">
        <v>17</v>
      </c>
      <c r="BJ17" s="65">
        <v>1</v>
      </c>
    </row>
    <row r="18" spans="1:62" x14ac:dyDescent="0.25">
      <c r="A18" s="119"/>
      <c r="B18" s="120"/>
      <c r="C18" s="120"/>
      <c r="D18" s="120"/>
      <c r="E18" s="121" t="s">
        <v>116</v>
      </c>
      <c r="F18" s="94">
        <v>29</v>
      </c>
      <c r="G18" s="91">
        <v>20</v>
      </c>
      <c r="H18" s="92">
        <v>0</v>
      </c>
      <c r="I18" s="92">
        <v>20</v>
      </c>
      <c r="J18" s="93">
        <v>0</v>
      </c>
      <c r="K18" s="91">
        <v>0</v>
      </c>
      <c r="L18" s="92">
        <v>0</v>
      </c>
      <c r="M18" s="92">
        <v>3</v>
      </c>
      <c r="N18" s="92">
        <v>0</v>
      </c>
      <c r="O18" s="92">
        <v>0</v>
      </c>
      <c r="P18" s="92">
        <v>0</v>
      </c>
      <c r="Q18" s="92">
        <v>3</v>
      </c>
      <c r="R18" s="93">
        <v>3</v>
      </c>
      <c r="S18" s="94">
        <v>15</v>
      </c>
      <c r="T18" s="91">
        <v>19</v>
      </c>
      <c r="U18" s="92">
        <v>0</v>
      </c>
      <c r="V18" s="92">
        <v>3</v>
      </c>
      <c r="W18" s="92">
        <v>3</v>
      </c>
      <c r="X18" s="93">
        <v>13</v>
      </c>
      <c r="Y18" s="91">
        <v>58</v>
      </c>
      <c r="Z18" s="93">
        <v>33</v>
      </c>
      <c r="AA18" s="91">
        <v>63</v>
      </c>
      <c r="AB18" s="93">
        <v>41</v>
      </c>
      <c r="AC18" s="91">
        <v>47</v>
      </c>
      <c r="AD18" s="93">
        <v>32</v>
      </c>
      <c r="AE18" s="91">
        <v>11</v>
      </c>
      <c r="AF18" s="92">
        <v>5</v>
      </c>
      <c r="AG18" s="93">
        <v>4</v>
      </c>
      <c r="AH18" s="95">
        <v>8.6206896551724144E-2</v>
      </c>
      <c r="AI18" s="96">
        <v>-0.18965517241379309</v>
      </c>
      <c r="AJ18" s="96">
        <v>-0.25396825396825395</v>
      </c>
      <c r="AK18" s="96">
        <v>0.24242424242424243</v>
      </c>
      <c r="AL18" s="96">
        <v>-3.0303030303030304E-2</v>
      </c>
      <c r="AM18" s="96">
        <v>-0.21951219512195122</v>
      </c>
      <c r="AN18" s="97">
        <v>2.35</v>
      </c>
      <c r="AO18" s="96">
        <v>1.6</v>
      </c>
      <c r="AP18" s="96">
        <v>0.25</v>
      </c>
      <c r="AQ18" s="96">
        <v>0.2</v>
      </c>
      <c r="AR18" s="96">
        <v>0.13043478260869565</v>
      </c>
      <c r="AS18" s="95">
        <v>0.75</v>
      </c>
      <c r="AT18" s="98">
        <v>-0.2</v>
      </c>
      <c r="AU18" s="91">
        <v>17</v>
      </c>
      <c r="AV18" s="92">
        <v>18</v>
      </c>
      <c r="AW18" s="68">
        <v>17</v>
      </c>
      <c r="AX18" s="69">
        <v>5.8823529411764705E-2</v>
      </c>
      <c r="AY18" s="70">
        <v>0</v>
      </c>
      <c r="AZ18" s="71">
        <v>-5.5555555555555552E-2</v>
      </c>
      <c r="BA18" s="72">
        <v>18</v>
      </c>
      <c r="BB18" s="68">
        <v>11</v>
      </c>
      <c r="BC18" s="72">
        <v>2</v>
      </c>
      <c r="BD18" s="68">
        <v>2</v>
      </c>
      <c r="BE18" s="72">
        <v>47</v>
      </c>
      <c r="BF18" s="73">
        <v>47</v>
      </c>
      <c r="BG18" s="70">
        <v>1</v>
      </c>
      <c r="BH18" s="73">
        <v>17</v>
      </c>
      <c r="BI18" s="73">
        <v>17</v>
      </c>
      <c r="BJ18" s="98">
        <v>1</v>
      </c>
    </row>
    <row r="19" spans="1:62" x14ac:dyDescent="0.25">
      <c r="A19" s="110"/>
      <c r="B19" s="111" t="s">
        <v>122</v>
      </c>
      <c r="C19" s="111"/>
      <c r="D19" s="111"/>
      <c r="E19" s="112"/>
      <c r="F19" s="85">
        <v>64</v>
      </c>
      <c r="G19" s="54">
        <v>57</v>
      </c>
      <c r="H19" s="55">
        <v>0</v>
      </c>
      <c r="I19" s="55">
        <v>57</v>
      </c>
      <c r="J19" s="50">
        <v>0</v>
      </c>
      <c r="K19" s="54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0">
        <v>7</v>
      </c>
      <c r="S19" s="85">
        <v>57</v>
      </c>
      <c r="T19" s="54">
        <v>18</v>
      </c>
      <c r="U19" s="55">
        <v>0</v>
      </c>
      <c r="V19" s="55">
        <v>0</v>
      </c>
      <c r="W19" s="55">
        <v>0</v>
      </c>
      <c r="X19" s="50">
        <v>18</v>
      </c>
      <c r="Y19" s="54">
        <v>443</v>
      </c>
      <c r="Z19" s="50">
        <v>126</v>
      </c>
      <c r="AA19" s="54">
        <v>370</v>
      </c>
      <c r="AB19" s="50">
        <v>132</v>
      </c>
      <c r="AC19" s="54">
        <v>243</v>
      </c>
      <c r="AD19" s="50">
        <v>107</v>
      </c>
      <c r="AE19" s="54">
        <v>9</v>
      </c>
      <c r="AF19" s="55">
        <v>7</v>
      </c>
      <c r="AG19" s="50">
        <v>20</v>
      </c>
      <c r="AH19" s="51">
        <v>-0.16478555304740405</v>
      </c>
      <c r="AI19" s="52">
        <v>-0.45146726862302483</v>
      </c>
      <c r="AJ19" s="52">
        <v>-0.34324324324324323</v>
      </c>
      <c r="AK19" s="52">
        <v>4.7619047619047616E-2</v>
      </c>
      <c r="AL19" s="52">
        <v>-0.15079365079365079</v>
      </c>
      <c r="AM19" s="52">
        <v>-0.18939393939393939</v>
      </c>
      <c r="AN19" s="86">
        <v>4.2631578947368425</v>
      </c>
      <c r="AO19" s="52">
        <v>1.8771929824561404</v>
      </c>
      <c r="AP19" s="52">
        <v>0.12280701754385964</v>
      </c>
      <c r="AQ19" s="52">
        <v>0.35087719298245612</v>
      </c>
      <c r="AR19" s="52">
        <v>0.109375</v>
      </c>
      <c r="AS19" s="51">
        <v>1</v>
      </c>
      <c r="AT19" s="53">
        <v>0.68421052631578949</v>
      </c>
      <c r="AU19" s="54">
        <v>61</v>
      </c>
      <c r="AV19" s="55">
        <v>58</v>
      </c>
      <c r="AW19" s="50">
        <v>53</v>
      </c>
      <c r="AX19" s="51">
        <v>-4.9180327868852458E-2</v>
      </c>
      <c r="AY19" s="52">
        <v>-0.13114754098360656</v>
      </c>
      <c r="AZ19" s="53">
        <v>-8.6206896551724144E-2</v>
      </c>
      <c r="BA19" s="54">
        <v>68</v>
      </c>
      <c r="BB19" s="50">
        <v>48.5</v>
      </c>
      <c r="BC19" s="54">
        <v>13</v>
      </c>
      <c r="BD19" s="50">
        <v>7</v>
      </c>
      <c r="BE19" s="54">
        <v>228</v>
      </c>
      <c r="BF19" s="55">
        <v>243</v>
      </c>
      <c r="BG19" s="52">
        <v>0.93827160493827155</v>
      </c>
      <c r="BH19" s="55">
        <v>47</v>
      </c>
      <c r="BI19" s="55">
        <v>53</v>
      </c>
      <c r="BJ19" s="53">
        <v>0.8867924528301887</v>
      </c>
    </row>
    <row r="20" spans="1:62" x14ac:dyDescent="0.25">
      <c r="A20" s="113"/>
      <c r="B20" s="114"/>
      <c r="C20" s="114" t="s">
        <v>123</v>
      </c>
      <c r="D20" s="114"/>
      <c r="E20" s="115"/>
      <c r="F20" s="87">
        <v>29</v>
      </c>
      <c r="G20" s="60">
        <v>28</v>
      </c>
      <c r="H20" s="61">
        <v>0</v>
      </c>
      <c r="I20" s="61">
        <v>28</v>
      </c>
      <c r="J20" s="56">
        <v>0</v>
      </c>
      <c r="K20" s="60">
        <v>0</v>
      </c>
      <c r="L20" s="61">
        <v>0</v>
      </c>
      <c r="M20" s="61">
        <v>0</v>
      </c>
      <c r="N20" s="61">
        <v>0</v>
      </c>
      <c r="O20" s="61">
        <v>0</v>
      </c>
      <c r="P20" s="61">
        <v>0</v>
      </c>
      <c r="Q20" s="61">
        <v>0</v>
      </c>
      <c r="R20" s="56">
        <v>1</v>
      </c>
      <c r="S20" s="87">
        <v>28</v>
      </c>
      <c r="T20" s="60">
        <v>7</v>
      </c>
      <c r="U20" s="61">
        <v>0</v>
      </c>
      <c r="V20" s="61">
        <v>0</v>
      </c>
      <c r="W20" s="61">
        <v>0</v>
      </c>
      <c r="X20" s="56">
        <v>7</v>
      </c>
      <c r="Y20" s="60">
        <v>218</v>
      </c>
      <c r="Z20" s="56">
        <v>57</v>
      </c>
      <c r="AA20" s="60">
        <v>163</v>
      </c>
      <c r="AB20" s="56">
        <v>60</v>
      </c>
      <c r="AC20" s="60">
        <v>134</v>
      </c>
      <c r="AD20" s="56">
        <v>55</v>
      </c>
      <c r="AE20" s="60">
        <v>4</v>
      </c>
      <c r="AF20" s="61">
        <v>3</v>
      </c>
      <c r="AG20" s="56">
        <v>11</v>
      </c>
      <c r="AH20" s="57">
        <v>-0.25229357798165136</v>
      </c>
      <c r="AI20" s="58">
        <v>-0.38532110091743121</v>
      </c>
      <c r="AJ20" s="58">
        <v>-0.17791411042944785</v>
      </c>
      <c r="AK20" s="58">
        <v>5.2631578947368418E-2</v>
      </c>
      <c r="AL20" s="58">
        <v>-3.5087719298245612E-2</v>
      </c>
      <c r="AM20" s="58">
        <v>-8.3333333333333329E-2</v>
      </c>
      <c r="AN20" s="88">
        <v>4.7857142857142856</v>
      </c>
      <c r="AO20" s="58">
        <v>1.9642857142857142</v>
      </c>
      <c r="AP20" s="58">
        <v>0.10714285714285714</v>
      </c>
      <c r="AQ20" s="58">
        <v>0.39285714285714285</v>
      </c>
      <c r="AR20" s="58">
        <v>3.4482758620689655E-2</v>
      </c>
      <c r="AS20" s="57">
        <v>1</v>
      </c>
      <c r="AT20" s="59">
        <v>0.75</v>
      </c>
      <c r="AU20" s="60">
        <v>20</v>
      </c>
      <c r="AV20" s="61">
        <v>13</v>
      </c>
      <c r="AW20" s="56">
        <v>21</v>
      </c>
      <c r="AX20" s="57">
        <v>-0.35</v>
      </c>
      <c r="AY20" s="58">
        <v>0.05</v>
      </c>
      <c r="AZ20" s="59">
        <v>0.61538461538461542</v>
      </c>
      <c r="BA20" s="60">
        <v>69</v>
      </c>
      <c r="BB20" s="56">
        <v>65.5</v>
      </c>
      <c r="BC20" s="60">
        <v>13</v>
      </c>
      <c r="BD20" s="56">
        <v>9</v>
      </c>
      <c r="BE20" s="60">
        <v>123</v>
      </c>
      <c r="BF20" s="61">
        <v>134</v>
      </c>
      <c r="BG20" s="58">
        <v>0.91791044776119401</v>
      </c>
      <c r="BH20" s="61">
        <v>17</v>
      </c>
      <c r="BI20" s="61">
        <v>21</v>
      </c>
      <c r="BJ20" s="59">
        <v>0.80952380952380953</v>
      </c>
    </row>
    <row r="21" spans="1:62" x14ac:dyDescent="0.25">
      <c r="A21" s="119"/>
      <c r="B21" s="120"/>
      <c r="C21" s="120"/>
      <c r="D21" s="120"/>
      <c r="E21" s="121" t="s">
        <v>116</v>
      </c>
      <c r="F21" s="94">
        <v>29</v>
      </c>
      <c r="G21" s="91">
        <v>28</v>
      </c>
      <c r="H21" s="92">
        <v>0</v>
      </c>
      <c r="I21" s="92">
        <v>28</v>
      </c>
      <c r="J21" s="93">
        <v>0</v>
      </c>
      <c r="K21" s="91">
        <v>0</v>
      </c>
      <c r="L21" s="92">
        <v>0</v>
      </c>
      <c r="M21" s="92">
        <v>0</v>
      </c>
      <c r="N21" s="92">
        <v>0</v>
      </c>
      <c r="O21" s="92">
        <v>0</v>
      </c>
      <c r="P21" s="92">
        <v>0</v>
      </c>
      <c r="Q21" s="92">
        <v>0</v>
      </c>
      <c r="R21" s="93">
        <v>1</v>
      </c>
      <c r="S21" s="94">
        <v>28</v>
      </c>
      <c r="T21" s="91">
        <v>7</v>
      </c>
      <c r="U21" s="92">
        <v>0</v>
      </c>
      <c r="V21" s="92">
        <v>0</v>
      </c>
      <c r="W21" s="92">
        <v>0</v>
      </c>
      <c r="X21" s="93">
        <v>7</v>
      </c>
      <c r="Y21" s="91">
        <v>218</v>
      </c>
      <c r="Z21" s="93">
        <v>57</v>
      </c>
      <c r="AA21" s="91">
        <v>163</v>
      </c>
      <c r="AB21" s="93">
        <v>60</v>
      </c>
      <c r="AC21" s="91">
        <v>134</v>
      </c>
      <c r="AD21" s="93">
        <v>55</v>
      </c>
      <c r="AE21" s="91">
        <v>4</v>
      </c>
      <c r="AF21" s="92">
        <v>3</v>
      </c>
      <c r="AG21" s="93">
        <v>11</v>
      </c>
      <c r="AH21" s="95">
        <v>-0.25229357798165136</v>
      </c>
      <c r="AI21" s="96">
        <v>-0.38532110091743121</v>
      </c>
      <c r="AJ21" s="96">
        <v>-0.17791411042944785</v>
      </c>
      <c r="AK21" s="96">
        <v>5.2631578947368418E-2</v>
      </c>
      <c r="AL21" s="96">
        <v>-3.5087719298245612E-2</v>
      </c>
      <c r="AM21" s="96">
        <v>-8.3333333333333329E-2</v>
      </c>
      <c r="AN21" s="97">
        <v>4.7857142857142856</v>
      </c>
      <c r="AO21" s="96">
        <v>1.9642857142857142</v>
      </c>
      <c r="AP21" s="96">
        <v>0.10714285714285714</v>
      </c>
      <c r="AQ21" s="96">
        <v>0.39285714285714285</v>
      </c>
      <c r="AR21" s="96">
        <v>3.4482758620689655E-2</v>
      </c>
      <c r="AS21" s="95">
        <v>1</v>
      </c>
      <c r="AT21" s="98">
        <v>0.75</v>
      </c>
      <c r="AU21" s="91">
        <v>20</v>
      </c>
      <c r="AV21" s="92">
        <v>13</v>
      </c>
      <c r="AW21" s="68">
        <v>21</v>
      </c>
      <c r="AX21" s="69">
        <v>-0.35</v>
      </c>
      <c r="AY21" s="70">
        <v>0.05</v>
      </c>
      <c r="AZ21" s="71">
        <v>0.61538461538461542</v>
      </c>
      <c r="BA21" s="72">
        <v>69</v>
      </c>
      <c r="BB21" s="68">
        <v>65.5</v>
      </c>
      <c r="BC21" s="72">
        <v>13</v>
      </c>
      <c r="BD21" s="68">
        <v>9</v>
      </c>
      <c r="BE21" s="72">
        <v>123</v>
      </c>
      <c r="BF21" s="73">
        <v>134</v>
      </c>
      <c r="BG21" s="70">
        <v>0.91791044776119401</v>
      </c>
      <c r="BH21" s="73">
        <v>17</v>
      </c>
      <c r="BI21" s="73">
        <v>21</v>
      </c>
      <c r="BJ21" s="98">
        <v>0.80952380952380953</v>
      </c>
    </row>
    <row r="22" spans="1:62" x14ac:dyDescent="0.25">
      <c r="A22" s="113"/>
      <c r="B22" s="114"/>
      <c r="C22" s="114" t="s">
        <v>124</v>
      </c>
      <c r="D22" s="114"/>
      <c r="E22" s="115"/>
      <c r="F22" s="87">
        <v>26</v>
      </c>
      <c r="G22" s="60">
        <v>20</v>
      </c>
      <c r="H22" s="61">
        <v>0</v>
      </c>
      <c r="I22" s="61">
        <v>20</v>
      </c>
      <c r="J22" s="56">
        <v>0</v>
      </c>
      <c r="K22" s="60">
        <v>0</v>
      </c>
      <c r="L22" s="61">
        <v>0</v>
      </c>
      <c r="M22" s="61">
        <v>0</v>
      </c>
      <c r="N22" s="61">
        <v>0</v>
      </c>
      <c r="O22" s="61">
        <v>0</v>
      </c>
      <c r="P22" s="61">
        <v>0</v>
      </c>
      <c r="Q22" s="61">
        <v>0</v>
      </c>
      <c r="R22" s="56">
        <v>6</v>
      </c>
      <c r="S22" s="87">
        <v>25</v>
      </c>
      <c r="T22" s="60">
        <v>5</v>
      </c>
      <c r="U22" s="61">
        <v>0</v>
      </c>
      <c r="V22" s="61">
        <v>0</v>
      </c>
      <c r="W22" s="61">
        <v>0</v>
      </c>
      <c r="X22" s="56">
        <v>5</v>
      </c>
      <c r="Y22" s="60">
        <v>164</v>
      </c>
      <c r="Z22" s="56">
        <v>46</v>
      </c>
      <c r="AA22" s="60">
        <v>149</v>
      </c>
      <c r="AB22" s="56">
        <v>49</v>
      </c>
      <c r="AC22" s="60">
        <v>86</v>
      </c>
      <c r="AD22" s="56">
        <v>43</v>
      </c>
      <c r="AE22" s="60">
        <v>5</v>
      </c>
      <c r="AF22" s="61">
        <v>4</v>
      </c>
      <c r="AG22" s="56">
        <v>9</v>
      </c>
      <c r="AH22" s="57">
        <v>-9.1463414634146339E-2</v>
      </c>
      <c r="AI22" s="58">
        <v>-0.47560975609756095</v>
      </c>
      <c r="AJ22" s="58">
        <v>-0.42281879194630873</v>
      </c>
      <c r="AK22" s="58">
        <v>6.5217391304347824E-2</v>
      </c>
      <c r="AL22" s="58">
        <v>-6.5217391304347824E-2</v>
      </c>
      <c r="AM22" s="58">
        <v>-0.12244897959183673</v>
      </c>
      <c r="AN22" s="88">
        <v>4.3</v>
      </c>
      <c r="AO22" s="58">
        <v>2.15</v>
      </c>
      <c r="AP22" s="58">
        <v>0.2</v>
      </c>
      <c r="AQ22" s="58">
        <v>0.45</v>
      </c>
      <c r="AR22" s="58">
        <v>0.23076923076923078</v>
      </c>
      <c r="AS22" s="57">
        <v>1.25</v>
      </c>
      <c r="AT22" s="59">
        <v>1</v>
      </c>
      <c r="AU22" s="60">
        <v>31</v>
      </c>
      <c r="AV22" s="61">
        <v>34</v>
      </c>
      <c r="AW22" s="56">
        <v>25</v>
      </c>
      <c r="AX22" s="57">
        <v>9.6774193548387094E-2</v>
      </c>
      <c r="AY22" s="58">
        <v>-0.19354838709677419</v>
      </c>
      <c r="AZ22" s="59">
        <v>-0.26470588235294118</v>
      </c>
      <c r="BA22" s="60">
        <v>63</v>
      </c>
      <c r="BB22" s="56">
        <v>48</v>
      </c>
      <c r="BC22" s="60">
        <v>13</v>
      </c>
      <c r="BD22" s="56">
        <v>5</v>
      </c>
      <c r="BE22" s="60">
        <v>85</v>
      </c>
      <c r="BF22" s="61">
        <v>86</v>
      </c>
      <c r="BG22" s="58">
        <v>0.98837209302325579</v>
      </c>
      <c r="BH22" s="61">
        <v>24</v>
      </c>
      <c r="BI22" s="61">
        <v>25</v>
      </c>
      <c r="BJ22" s="59">
        <v>0.96</v>
      </c>
    </row>
    <row r="23" spans="1:62" x14ac:dyDescent="0.25">
      <c r="A23" s="119"/>
      <c r="B23" s="120"/>
      <c r="C23" s="120"/>
      <c r="D23" s="120"/>
      <c r="E23" s="121" t="s">
        <v>116</v>
      </c>
      <c r="F23" s="94">
        <v>26</v>
      </c>
      <c r="G23" s="91">
        <v>20</v>
      </c>
      <c r="H23" s="92">
        <v>0</v>
      </c>
      <c r="I23" s="92">
        <v>20</v>
      </c>
      <c r="J23" s="93">
        <v>0</v>
      </c>
      <c r="K23" s="91">
        <v>0</v>
      </c>
      <c r="L23" s="92">
        <v>0</v>
      </c>
      <c r="M23" s="92">
        <v>0</v>
      </c>
      <c r="N23" s="92">
        <v>0</v>
      </c>
      <c r="O23" s="92">
        <v>0</v>
      </c>
      <c r="P23" s="92">
        <v>0</v>
      </c>
      <c r="Q23" s="92">
        <v>0</v>
      </c>
      <c r="R23" s="93">
        <v>6</v>
      </c>
      <c r="S23" s="94">
        <v>25</v>
      </c>
      <c r="T23" s="91">
        <v>5</v>
      </c>
      <c r="U23" s="92">
        <v>0</v>
      </c>
      <c r="V23" s="92">
        <v>0</v>
      </c>
      <c r="W23" s="92">
        <v>0</v>
      </c>
      <c r="X23" s="93">
        <v>5</v>
      </c>
      <c r="Y23" s="91">
        <v>164</v>
      </c>
      <c r="Z23" s="93">
        <v>46</v>
      </c>
      <c r="AA23" s="91">
        <v>149</v>
      </c>
      <c r="AB23" s="93">
        <v>49</v>
      </c>
      <c r="AC23" s="91">
        <v>86</v>
      </c>
      <c r="AD23" s="93">
        <v>43</v>
      </c>
      <c r="AE23" s="91">
        <v>5</v>
      </c>
      <c r="AF23" s="92">
        <v>4</v>
      </c>
      <c r="AG23" s="93">
        <v>9</v>
      </c>
      <c r="AH23" s="95">
        <v>-9.1463414634146339E-2</v>
      </c>
      <c r="AI23" s="96">
        <v>-0.47560975609756095</v>
      </c>
      <c r="AJ23" s="96">
        <v>-0.42281879194630873</v>
      </c>
      <c r="AK23" s="96">
        <v>6.5217391304347824E-2</v>
      </c>
      <c r="AL23" s="96">
        <v>-6.5217391304347824E-2</v>
      </c>
      <c r="AM23" s="96">
        <v>-0.12244897959183673</v>
      </c>
      <c r="AN23" s="97">
        <v>4.3</v>
      </c>
      <c r="AO23" s="96">
        <v>2.15</v>
      </c>
      <c r="AP23" s="96">
        <v>0.2</v>
      </c>
      <c r="AQ23" s="96">
        <v>0.45</v>
      </c>
      <c r="AR23" s="96">
        <v>0.23076923076923078</v>
      </c>
      <c r="AS23" s="95">
        <v>1.25</v>
      </c>
      <c r="AT23" s="98">
        <v>1</v>
      </c>
      <c r="AU23" s="91">
        <v>31</v>
      </c>
      <c r="AV23" s="92">
        <v>34</v>
      </c>
      <c r="AW23" s="68">
        <v>25</v>
      </c>
      <c r="AX23" s="69">
        <v>9.6774193548387094E-2</v>
      </c>
      <c r="AY23" s="70">
        <v>-0.19354838709677419</v>
      </c>
      <c r="AZ23" s="71">
        <v>-0.26470588235294118</v>
      </c>
      <c r="BA23" s="72">
        <v>63</v>
      </c>
      <c r="BB23" s="68">
        <v>48</v>
      </c>
      <c r="BC23" s="72">
        <v>13</v>
      </c>
      <c r="BD23" s="68">
        <v>5</v>
      </c>
      <c r="BE23" s="72">
        <v>85</v>
      </c>
      <c r="BF23" s="73">
        <v>86</v>
      </c>
      <c r="BG23" s="70">
        <v>0.98837209302325579</v>
      </c>
      <c r="BH23" s="73">
        <v>24</v>
      </c>
      <c r="BI23" s="73">
        <v>25</v>
      </c>
      <c r="BJ23" s="98">
        <v>0.96</v>
      </c>
    </row>
    <row r="24" spans="1:62" x14ac:dyDescent="0.25">
      <c r="A24" s="110"/>
      <c r="B24" s="111" t="s">
        <v>125</v>
      </c>
      <c r="C24" s="111"/>
      <c r="D24" s="111"/>
      <c r="E24" s="112"/>
      <c r="F24" s="85">
        <v>997</v>
      </c>
      <c r="G24" s="54">
        <v>875</v>
      </c>
      <c r="H24" s="55">
        <v>0</v>
      </c>
      <c r="I24" s="55">
        <v>875</v>
      </c>
      <c r="J24" s="50">
        <v>0</v>
      </c>
      <c r="K24" s="54">
        <v>0</v>
      </c>
      <c r="L24" s="55">
        <v>0</v>
      </c>
      <c r="M24" s="55">
        <v>10</v>
      </c>
      <c r="N24" s="55">
        <v>0</v>
      </c>
      <c r="O24" s="55">
        <v>9</v>
      </c>
      <c r="P24" s="55">
        <v>0</v>
      </c>
      <c r="Q24" s="55">
        <v>8</v>
      </c>
      <c r="R24" s="50">
        <v>47</v>
      </c>
      <c r="S24" s="85">
        <v>382</v>
      </c>
      <c r="T24" s="54">
        <v>345</v>
      </c>
      <c r="U24" s="55">
        <v>0</v>
      </c>
      <c r="V24" s="55">
        <v>3</v>
      </c>
      <c r="W24" s="55">
        <v>7</v>
      </c>
      <c r="X24" s="50">
        <v>335</v>
      </c>
      <c r="Y24" s="54">
        <v>4321</v>
      </c>
      <c r="Z24" s="50">
        <v>1231</v>
      </c>
      <c r="AA24" s="54">
        <v>4246</v>
      </c>
      <c r="AB24" s="50">
        <v>1176</v>
      </c>
      <c r="AC24" s="54">
        <v>2782</v>
      </c>
      <c r="AD24" s="50">
        <v>945</v>
      </c>
      <c r="AE24" s="54">
        <v>210</v>
      </c>
      <c r="AF24" s="55">
        <v>102</v>
      </c>
      <c r="AG24" s="50">
        <v>248</v>
      </c>
      <c r="AH24" s="51">
        <v>-1.7357093265447814E-2</v>
      </c>
      <c r="AI24" s="52">
        <v>-0.35616755380698911</v>
      </c>
      <c r="AJ24" s="52">
        <v>-0.3447951012717852</v>
      </c>
      <c r="AK24" s="52">
        <v>-4.4679122664500408E-2</v>
      </c>
      <c r="AL24" s="52">
        <v>-0.23233143785540211</v>
      </c>
      <c r="AM24" s="52">
        <v>-0.19642857142857142</v>
      </c>
      <c r="AN24" s="86">
        <v>3.1794285714285713</v>
      </c>
      <c r="AO24" s="52">
        <v>1.08</v>
      </c>
      <c r="AP24" s="52">
        <v>0.11657142857142858</v>
      </c>
      <c r="AQ24" s="52">
        <v>0.28342857142857142</v>
      </c>
      <c r="AR24" s="52">
        <v>5.0976138828633402E-2</v>
      </c>
      <c r="AS24" s="51">
        <v>0.43657142857142855</v>
      </c>
      <c r="AT24" s="53">
        <v>4.2285714285714288E-2</v>
      </c>
      <c r="AU24" s="54">
        <v>455</v>
      </c>
      <c r="AV24" s="55">
        <v>360</v>
      </c>
      <c r="AW24" s="50">
        <v>293</v>
      </c>
      <c r="AX24" s="51">
        <v>-0.2087912087912088</v>
      </c>
      <c r="AY24" s="52">
        <v>-0.35604395604395606</v>
      </c>
      <c r="AZ24" s="53">
        <v>-0.18611111111111112</v>
      </c>
      <c r="BA24" s="54">
        <v>69</v>
      </c>
      <c r="BB24" s="50">
        <v>49.5</v>
      </c>
      <c r="BC24" s="54">
        <v>9</v>
      </c>
      <c r="BD24" s="50">
        <v>5</v>
      </c>
      <c r="BE24" s="54">
        <v>2289</v>
      </c>
      <c r="BF24" s="55">
        <v>2782</v>
      </c>
      <c r="BG24" s="52">
        <v>0.82278936017253779</v>
      </c>
      <c r="BH24" s="55">
        <v>228</v>
      </c>
      <c r="BI24" s="55">
        <v>293</v>
      </c>
      <c r="BJ24" s="53">
        <v>0.77815699658703075</v>
      </c>
    </row>
    <row r="25" spans="1:62" x14ac:dyDescent="0.25">
      <c r="A25" s="113"/>
      <c r="B25" s="114"/>
      <c r="C25" s="114" t="s">
        <v>126</v>
      </c>
      <c r="D25" s="114"/>
      <c r="E25" s="115"/>
      <c r="F25" s="87">
        <v>128</v>
      </c>
      <c r="G25" s="60">
        <v>123</v>
      </c>
      <c r="H25" s="61">
        <v>0</v>
      </c>
      <c r="I25" s="61">
        <v>123</v>
      </c>
      <c r="J25" s="56">
        <v>0</v>
      </c>
      <c r="K25" s="60">
        <v>0</v>
      </c>
      <c r="L25" s="61">
        <v>0</v>
      </c>
      <c r="M25" s="61">
        <v>0</v>
      </c>
      <c r="N25" s="61">
        <v>0</v>
      </c>
      <c r="O25" s="61">
        <v>1</v>
      </c>
      <c r="P25" s="61">
        <v>0</v>
      </c>
      <c r="Q25" s="61">
        <v>0</v>
      </c>
      <c r="R25" s="56">
        <v>4</v>
      </c>
      <c r="S25" s="87">
        <v>33</v>
      </c>
      <c r="T25" s="60">
        <v>65</v>
      </c>
      <c r="U25" s="61">
        <v>0</v>
      </c>
      <c r="V25" s="61">
        <v>0</v>
      </c>
      <c r="W25" s="61">
        <v>0</v>
      </c>
      <c r="X25" s="56">
        <v>65</v>
      </c>
      <c r="Y25" s="60">
        <v>367</v>
      </c>
      <c r="Z25" s="56">
        <v>134</v>
      </c>
      <c r="AA25" s="60">
        <v>361</v>
      </c>
      <c r="AB25" s="56">
        <v>127</v>
      </c>
      <c r="AC25" s="60">
        <v>398</v>
      </c>
      <c r="AD25" s="56">
        <v>130</v>
      </c>
      <c r="AE25" s="60">
        <v>23</v>
      </c>
      <c r="AF25" s="61">
        <v>3</v>
      </c>
      <c r="AG25" s="56">
        <v>39</v>
      </c>
      <c r="AH25" s="57">
        <v>-1.6348773841961851E-2</v>
      </c>
      <c r="AI25" s="58">
        <v>8.4468664850136238E-2</v>
      </c>
      <c r="AJ25" s="58">
        <v>0.10249307479224377</v>
      </c>
      <c r="AK25" s="58">
        <v>-5.2238805970149252E-2</v>
      </c>
      <c r="AL25" s="58">
        <v>-2.9850746268656716E-2</v>
      </c>
      <c r="AM25" s="58">
        <v>2.3622047244094488E-2</v>
      </c>
      <c r="AN25" s="88">
        <v>3.2357723577235773</v>
      </c>
      <c r="AO25" s="58">
        <v>1.056910569105691</v>
      </c>
      <c r="AP25" s="58">
        <v>2.4390243902439025E-2</v>
      </c>
      <c r="AQ25" s="58">
        <v>0.31707317073170732</v>
      </c>
      <c r="AR25" s="58">
        <v>3.1496062992125984E-2</v>
      </c>
      <c r="AS25" s="57">
        <v>0.26829268292682928</v>
      </c>
      <c r="AT25" s="59">
        <v>-0.26016260162601629</v>
      </c>
      <c r="AU25" s="60">
        <v>76</v>
      </c>
      <c r="AV25" s="61">
        <v>85</v>
      </c>
      <c r="AW25" s="56">
        <v>76</v>
      </c>
      <c r="AX25" s="57">
        <v>0.11842105263157894</v>
      </c>
      <c r="AY25" s="58">
        <v>0</v>
      </c>
      <c r="AZ25" s="59">
        <v>-0.10588235294117647</v>
      </c>
      <c r="BA25" s="60">
        <v>78</v>
      </c>
      <c r="BB25" s="56">
        <v>69</v>
      </c>
      <c r="BC25" s="60">
        <v>12</v>
      </c>
      <c r="BD25" s="56">
        <v>7</v>
      </c>
      <c r="BE25" s="60">
        <v>356</v>
      </c>
      <c r="BF25" s="61">
        <v>398</v>
      </c>
      <c r="BG25" s="58">
        <v>0.89447236180904521</v>
      </c>
      <c r="BH25" s="61">
        <v>65</v>
      </c>
      <c r="BI25" s="61">
        <v>76</v>
      </c>
      <c r="BJ25" s="59">
        <v>0.85526315789473684</v>
      </c>
    </row>
    <row r="26" spans="1:62" x14ac:dyDescent="0.25">
      <c r="A26" s="116"/>
      <c r="B26" s="117"/>
      <c r="C26" s="117"/>
      <c r="D26" s="117" t="s">
        <v>127</v>
      </c>
      <c r="E26" s="118"/>
      <c r="F26" s="89">
        <v>128</v>
      </c>
      <c r="G26" s="66">
        <v>123</v>
      </c>
      <c r="H26" s="67">
        <v>0</v>
      </c>
      <c r="I26" s="67">
        <v>123</v>
      </c>
      <c r="J26" s="62">
        <v>0</v>
      </c>
      <c r="K26" s="66">
        <v>0</v>
      </c>
      <c r="L26" s="67">
        <v>0</v>
      </c>
      <c r="M26" s="67">
        <v>0</v>
      </c>
      <c r="N26" s="67">
        <v>0</v>
      </c>
      <c r="O26" s="67">
        <v>1</v>
      </c>
      <c r="P26" s="67">
        <v>0</v>
      </c>
      <c r="Q26" s="67">
        <v>0</v>
      </c>
      <c r="R26" s="62">
        <v>4</v>
      </c>
      <c r="S26" s="89">
        <v>33</v>
      </c>
      <c r="T26" s="66">
        <v>65</v>
      </c>
      <c r="U26" s="67">
        <v>0</v>
      </c>
      <c r="V26" s="67">
        <v>0</v>
      </c>
      <c r="W26" s="67">
        <v>0</v>
      </c>
      <c r="X26" s="62">
        <v>65</v>
      </c>
      <c r="Y26" s="66">
        <v>367</v>
      </c>
      <c r="Z26" s="62">
        <v>134</v>
      </c>
      <c r="AA26" s="66">
        <v>361</v>
      </c>
      <c r="AB26" s="62">
        <v>127</v>
      </c>
      <c r="AC26" s="66">
        <v>398</v>
      </c>
      <c r="AD26" s="62">
        <v>130</v>
      </c>
      <c r="AE26" s="66">
        <v>23</v>
      </c>
      <c r="AF26" s="67">
        <v>3</v>
      </c>
      <c r="AG26" s="62">
        <v>39</v>
      </c>
      <c r="AH26" s="63">
        <v>-1.6348773841961851E-2</v>
      </c>
      <c r="AI26" s="64">
        <v>8.4468664850136238E-2</v>
      </c>
      <c r="AJ26" s="64">
        <v>0.10249307479224377</v>
      </c>
      <c r="AK26" s="64">
        <v>-5.2238805970149252E-2</v>
      </c>
      <c r="AL26" s="64">
        <v>-2.9850746268656716E-2</v>
      </c>
      <c r="AM26" s="64">
        <v>2.3622047244094488E-2</v>
      </c>
      <c r="AN26" s="90">
        <v>3.2357723577235773</v>
      </c>
      <c r="AO26" s="64">
        <v>1.056910569105691</v>
      </c>
      <c r="AP26" s="64">
        <v>2.4390243902439025E-2</v>
      </c>
      <c r="AQ26" s="64">
        <v>0.31707317073170732</v>
      </c>
      <c r="AR26" s="64">
        <v>3.1496062992125984E-2</v>
      </c>
      <c r="AS26" s="63">
        <v>0.26829268292682928</v>
      </c>
      <c r="AT26" s="65">
        <v>-0.26016260162601629</v>
      </c>
      <c r="AU26" s="66">
        <v>76</v>
      </c>
      <c r="AV26" s="67">
        <v>85</v>
      </c>
      <c r="AW26" s="62">
        <v>76</v>
      </c>
      <c r="AX26" s="63">
        <v>0.11842105263157894</v>
      </c>
      <c r="AY26" s="64">
        <v>0</v>
      </c>
      <c r="AZ26" s="65">
        <v>-0.10588235294117647</v>
      </c>
      <c r="BA26" s="66">
        <v>78</v>
      </c>
      <c r="BB26" s="62">
        <v>69</v>
      </c>
      <c r="BC26" s="66">
        <v>12</v>
      </c>
      <c r="BD26" s="62">
        <v>7</v>
      </c>
      <c r="BE26" s="66">
        <v>356</v>
      </c>
      <c r="BF26" s="67">
        <v>398</v>
      </c>
      <c r="BG26" s="64">
        <v>0.89447236180904521</v>
      </c>
      <c r="BH26" s="67">
        <v>65</v>
      </c>
      <c r="BI26" s="67">
        <v>76</v>
      </c>
      <c r="BJ26" s="65">
        <v>0.85526315789473684</v>
      </c>
    </row>
    <row r="27" spans="1:62" x14ac:dyDescent="0.25">
      <c r="A27" s="119"/>
      <c r="B27" s="120"/>
      <c r="C27" s="120"/>
      <c r="D27" s="120"/>
      <c r="E27" s="121" t="s">
        <v>128</v>
      </c>
      <c r="F27" s="94">
        <v>28</v>
      </c>
      <c r="G27" s="91">
        <v>27</v>
      </c>
      <c r="H27" s="92">
        <v>0</v>
      </c>
      <c r="I27" s="92">
        <v>27</v>
      </c>
      <c r="J27" s="93">
        <v>0</v>
      </c>
      <c r="K27" s="91">
        <v>0</v>
      </c>
      <c r="L27" s="92">
        <v>0</v>
      </c>
      <c r="M27" s="92">
        <v>0</v>
      </c>
      <c r="N27" s="92">
        <v>0</v>
      </c>
      <c r="O27" s="92">
        <v>0</v>
      </c>
      <c r="P27" s="92">
        <v>0</v>
      </c>
      <c r="Q27" s="92">
        <v>0</v>
      </c>
      <c r="R27" s="93">
        <v>1</v>
      </c>
      <c r="S27" s="94">
        <v>0</v>
      </c>
      <c r="T27" s="91">
        <v>65</v>
      </c>
      <c r="U27" s="92">
        <v>0</v>
      </c>
      <c r="V27" s="92">
        <v>0</v>
      </c>
      <c r="W27" s="92">
        <v>0</v>
      </c>
      <c r="X27" s="93">
        <v>65</v>
      </c>
      <c r="Y27" s="91">
        <v>267</v>
      </c>
      <c r="Z27" s="93">
        <v>107</v>
      </c>
      <c r="AA27" s="91">
        <v>188</v>
      </c>
      <c r="AB27" s="93">
        <v>80</v>
      </c>
      <c r="AC27" s="91">
        <v>93</v>
      </c>
      <c r="AD27" s="93">
        <v>46</v>
      </c>
      <c r="AE27" s="91">
        <v>6</v>
      </c>
      <c r="AF27" s="92">
        <v>2</v>
      </c>
      <c r="AG27" s="93">
        <v>6</v>
      </c>
      <c r="AH27" s="95">
        <v>-0.29588014981273408</v>
      </c>
      <c r="AI27" s="96">
        <v>-0.651685393258427</v>
      </c>
      <c r="AJ27" s="96">
        <v>-0.50531914893617025</v>
      </c>
      <c r="AK27" s="96">
        <v>-0.25233644859813081</v>
      </c>
      <c r="AL27" s="96">
        <v>-0.57009345794392519</v>
      </c>
      <c r="AM27" s="96">
        <v>-0.42499999999999999</v>
      </c>
      <c r="AN27" s="97">
        <v>3.4444444444444446</v>
      </c>
      <c r="AO27" s="96">
        <v>1.7037037037037037</v>
      </c>
      <c r="AP27" s="96">
        <v>7.407407407407407E-2</v>
      </c>
      <c r="AQ27" s="96">
        <v>0.22222222222222221</v>
      </c>
      <c r="AR27" s="96">
        <v>3.5714285714285712E-2</v>
      </c>
      <c r="AS27" s="95">
        <v>0</v>
      </c>
      <c r="AT27" s="98">
        <v>-2.4074074074074074</v>
      </c>
      <c r="AU27" s="91">
        <v>55</v>
      </c>
      <c r="AV27" s="92">
        <v>63</v>
      </c>
      <c r="AW27" s="68">
        <v>33</v>
      </c>
      <c r="AX27" s="69">
        <v>0.14545454545454545</v>
      </c>
      <c r="AY27" s="70">
        <v>-0.4</v>
      </c>
      <c r="AZ27" s="71">
        <v>-0.47619047619047616</v>
      </c>
      <c r="BA27" s="72">
        <v>80</v>
      </c>
      <c r="BB27" s="68">
        <v>77</v>
      </c>
      <c r="BC27" s="72">
        <v>7</v>
      </c>
      <c r="BD27" s="68">
        <v>7</v>
      </c>
      <c r="BE27" s="72">
        <v>89</v>
      </c>
      <c r="BF27" s="73">
        <v>93</v>
      </c>
      <c r="BG27" s="70">
        <v>0.956989247311828</v>
      </c>
      <c r="BH27" s="73">
        <v>30</v>
      </c>
      <c r="BI27" s="73">
        <v>33</v>
      </c>
      <c r="BJ27" s="98">
        <v>0.90909090909090906</v>
      </c>
    </row>
    <row r="28" spans="1:62" x14ac:dyDescent="0.25">
      <c r="A28" s="119"/>
      <c r="B28" s="120"/>
      <c r="C28" s="120"/>
      <c r="D28" s="120"/>
      <c r="E28" s="121" t="s">
        <v>68</v>
      </c>
      <c r="F28" s="94">
        <v>87</v>
      </c>
      <c r="G28" s="91">
        <v>84</v>
      </c>
      <c r="H28" s="92">
        <v>0</v>
      </c>
      <c r="I28" s="92">
        <v>84</v>
      </c>
      <c r="J28" s="93">
        <v>0</v>
      </c>
      <c r="K28" s="91">
        <v>0</v>
      </c>
      <c r="L28" s="92">
        <v>0</v>
      </c>
      <c r="M28" s="92">
        <v>0</v>
      </c>
      <c r="N28" s="92">
        <v>0</v>
      </c>
      <c r="O28" s="92">
        <v>0</v>
      </c>
      <c r="P28" s="92">
        <v>0</v>
      </c>
      <c r="Q28" s="92">
        <v>0</v>
      </c>
      <c r="R28" s="93">
        <v>3</v>
      </c>
      <c r="S28" s="94">
        <v>20</v>
      </c>
      <c r="T28" s="91"/>
      <c r="U28" s="92"/>
      <c r="V28" s="92"/>
      <c r="W28" s="92"/>
      <c r="X28" s="93"/>
      <c r="Y28" s="91">
        <v>100</v>
      </c>
      <c r="Z28" s="93">
        <v>27</v>
      </c>
      <c r="AA28" s="91">
        <v>173</v>
      </c>
      <c r="AB28" s="93">
        <v>47</v>
      </c>
      <c r="AC28" s="91">
        <v>247</v>
      </c>
      <c r="AD28" s="93">
        <v>71</v>
      </c>
      <c r="AE28" s="91">
        <v>17</v>
      </c>
      <c r="AF28" s="92">
        <v>1</v>
      </c>
      <c r="AG28" s="93">
        <v>24</v>
      </c>
      <c r="AH28" s="95">
        <v>0.73</v>
      </c>
      <c r="AI28" s="96">
        <v>1.47</v>
      </c>
      <c r="AJ28" s="96">
        <v>0.4277456647398844</v>
      </c>
      <c r="AK28" s="96">
        <v>0.7407407407407407</v>
      </c>
      <c r="AL28" s="96">
        <v>1.6296296296296295</v>
      </c>
      <c r="AM28" s="96">
        <v>0.51063829787234039</v>
      </c>
      <c r="AN28" s="97">
        <v>2.9404761904761907</v>
      </c>
      <c r="AO28" s="96">
        <v>0.84523809523809523</v>
      </c>
      <c r="AP28" s="96">
        <v>1.1904761904761904E-2</v>
      </c>
      <c r="AQ28" s="96">
        <v>0.2857142857142857</v>
      </c>
      <c r="AR28" s="96">
        <v>3.4482758620689655E-2</v>
      </c>
      <c r="AS28" s="95">
        <v>0.23809523809523808</v>
      </c>
      <c r="AT28" s="98">
        <v>0.23809523809523808</v>
      </c>
      <c r="AU28" s="91">
        <v>48</v>
      </c>
      <c r="AV28" s="92">
        <v>59</v>
      </c>
      <c r="AW28" s="68">
        <v>70</v>
      </c>
      <c r="AX28" s="69">
        <v>0.22916666666666666</v>
      </c>
      <c r="AY28" s="70">
        <v>0.45833333333333331</v>
      </c>
      <c r="AZ28" s="71">
        <v>0.1864406779661017</v>
      </c>
      <c r="BA28" s="72">
        <v>78</v>
      </c>
      <c r="BB28" s="68">
        <v>69</v>
      </c>
      <c r="BC28" s="72">
        <v>12</v>
      </c>
      <c r="BD28" s="68">
        <v>7</v>
      </c>
      <c r="BE28" s="72">
        <v>218</v>
      </c>
      <c r="BF28" s="73">
        <v>247</v>
      </c>
      <c r="BG28" s="70">
        <v>0.88259109311740891</v>
      </c>
      <c r="BH28" s="73">
        <v>59</v>
      </c>
      <c r="BI28" s="73">
        <v>70</v>
      </c>
      <c r="BJ28" s="98">
        <v>0.84285714285714286</v>
      </c>
    </row>
    <row r="29" spans="1:62" x14ac:dyDescent="0.25">
      <c r="A29" s="113"/>
      <c r="B29" s="114"/>
      <c r="C29" s="114" t="s">
        <v>129</v>
      </c>
      <c r="D29" s="114"/>
      <c r="E29" s="115"/>
      <c r="F29" s="87">
        <v>414</v>
      </c>
      <c r="G29" s="60">
        <v>388</v>
      </c>
      <c r="H29" s="61">
        <v>0</v>
      </c>
      <c r="I29" s="61">
        <v>388</v>
      </c>
      <c r="J29" s="56">
        <v>0</v>
      </c>
      <c r="K29" s="60">
        <v>0</v>
      </c>
      <c r="L29" s="61">
        <v>0</v>
      </c>
      <c r="M29" s="61">
        <v>4</v>
      </c>
      <c r="N29" s="61">
        <v>0</v>
      </c>
      <c r="O29" s="61">
        <v>0</v>
      </c>
      <c r="P29" s="61">
        <v>0</v>
      </c>
      <c r="Q29" s="61">
        <v>0</v>
      </c>
      <c r="R29" s="56">
        <v>20</v>
      </c>
      <c r="S29" s="87">
        <v>254</v>
      </c>
      <c r="T29" s="60">
        <v>160</v>
      </c>
      <c r="U29" s="61">
        <v>0</v>
      </c>
      <c r="V29" s="61">
        <v>0</v>
      </c>
      <c r="W29" s="61">
        <v>3</v>
      </c>
      <c r="X29" s="56">
        <v>157</v>
      </c>
      <c r="Y29" s="60">
        <v>1570</v>
      </c>
      <c r="Z29" s="56">
        <v>540</v>
      </c>
      <c r="AA29" s="60">
        <v>1668</v>
      </c>
      <c r="AB29" s="56">
        <v>551</v>
      </c>
      <c r="AC29" s="60">
        <v>1059</v>
      </c>
      <c r="AD29" s="56">
        <v>445</v>
      </c>
      <c r="AE29" s="60">
        <v>100</v>
      </c>
      <c r="AF29" s="61">
        <v>63</v>
      </c>
      <c r="AG29" s="56">
        <v>95</v>
      </c>
      <c r="AH29" s="57">
        <v>6.2420382165605096E-2</v>
      </c>
      <c r="AI29" s="58">
        <v>-0.32547770700636941</v>
      </c>
      <c r="AJ29" s="58">
        <v>-0.36510791366906475</v>
      </c>
      <c r="AK29" s="58">
        <v>2.0370370370370372E-2</v>
      </c>
      <c r="AL29" s="58">
        <v>-0.17592592592592593</v>
      </c>
      <c r="AM29" s="58">
        <v>-0.19237749546279492</v>
      </c>
      <c r="AN29" s="88">
        <v>2.7293814432989691</v>
      </c>
      <c r="AO29" s="58">
        <v>1.1469072164948453</v>
      </c>
      <c r="AP29" s="58">
        <v>0.16237113402061856</v>
      </c>
      <c r="AQ29" s="58">
        <v>0.24484536082474226</v>
      </c>
      <c r="AR29" s="58">
        <v>4.9019607843137254E-2</v>
      </c>
      <c r="AS29" s="57">
        <v>0.65463917525773196</v>
      </c>
      <c r="AT29" s="59">
        <v>0.2422680412371134</v>
      </c>
      <c r="AU29" s="60">
        <v>260</v>
      </c>
      <c r="AV29" s="61">
        <v>182</v>
      </c>
      <c r="AW29" s="56">
        <v>145</v>
      </c>
      <c r="AX29" s="57">
        <v>-0.3</v>
      </c>
      <c r="AY29" s="58">
        <v>-0.44230769230769229</v>
      </c>
      <c r="AZ29" s="59">
        <v>-0.2032967032967033</v>
      </c>
      <c r="BA29" s="60">
        <v>65</v>
      </c>
      <c r="BB29" s="56">
        <v>57</v>
      </c>
      <c r="BC29" s="60">
        <v>9</v>
      </c>
      <c r="BD29" s="56">
        <v>6</v>
      </c>
      <c r="BE29" s="60">
        <v>890</v>
      </c>
      <c r="BF29" s="61">
        <v>1059</v>
      </c>
      <c r="BG29" s="58">
        <v>0.84041548630783758</v>
      </c>
      <c r="BH29" s="61">
        <v>109</v>
      </c>
      <c r="BI29" s="61">
        <v>145</v>
      </c>
      <c r="BJ29" s="59">
        <v>0.75172413793103443</v>
      </c>
    </row>
    <row r="30" spans="1:62" x14ac:dyDescent="0.25">
      <c r="A30" s="116"/>
      <c r="B30" s="117"/>
      <c r="C30" s="117"/>
      <c r="D30" s="117" t="s">
        <v>130</v>
      </c>
      <c r="E30" s="118"/>
      <c r="F30" s="89">
        <v>207</v>
      </c>
      <c r="G30" s="66">
        <v>188</v>
      </c>
      <c r="H30" s="67">
        <v>0</v>
      </c>
      <c r="I30" s="67">
        <v>188</v>
      </c>
      <c r="J30" s="62">
        <v>0</v>
      </c>
      <c r="K30" s="66">
        <v>0</v>
      </c>
      <c r="L30" s="67">
        <v>0</v>
      </c>
      <c r="M30" s="67">
        <v>4</v>
      </c>
      <c r="N30" s="67">
        <v>0</v>
      </c>
      <c r="O30" s="67">
        <v>0</v>
      </c>
      <c r="P30" s="67">
        <v>0</v>
      </c>
      <c r="Q30" s="67">
        <v>0</v>
      </c>
      <c r="R30" s="62">
        <v>15</v>
      </c>
      <c r="S30" s="89">
        <v>54</v>
      </c>
      <c r="T30" s="66">
        <v>74</v>
      </c>
      <c r="U30" s="67">
        <v>0</v>
      </c>
      <c r="V30" s="67">
        <v>0</v>
      </c>
      <c r="W30" s="67">
        <v>3</v>
      </c>
      <c r="X30" s="62">
        <v>71</v>
      </c>
      <c r="Y30" s="66">
        <v>858</v>
      </c>
      <c r="Z30" s="62">
        <v>234</v>
      </c>
      <c r="AA30" s="66">
        <v>921</v>
      </c>
      <c r="AB30" s="62">
        <v>216</v>
      </c>
      <c r="AC30" s="66">
        <v>656</v>
      </c>
      <c r="AD30" s="62">
        <v>186</v>
      </c>
      <c r="AE30" s="66">
        <v>49</v>
      </c>
      <c r="AF30" s="67">
        <v>16</v>
      </c>
      <c r="AG30" s="62">
        <v>56</v>
      </c>
      <c r="AH30" s="63">
        <v>7.3426573426573424E-2</v>
      </c>
      <c r="AI30" s="64">
        <v>-0.23543123543123542</v>
      </c>
      <c r="AJ30" s="64">
        <v>-0.28773072747014117</v>
      </c>
      <c r="AK30" s="64">
        <v>-7.6923076923076927E-2</v>
      </c>
      <c r="AL30" s="64">
        <v>-0.20512820512820512</v>
      </c>
      <c r="AM30" s="64">
        <v>-0.1388888888888889</v>
      </c>
      <c r="AN30" s="90">
        <v>3.4893617021276597</v>
      </c>
      <c r="AO30" s="64">
        <v>0.98936170212765961</v>
      </c>
      <c r="AP30" s="64">
        <v>8.5106382978723402E-2</v>
      </c>
      <c r="AQ30" s="64">
        <v>0.2978723404255319</v>
      </c>
      <c r="AR30" s="64">
        <v>7.3891625615763554E-2</v>
      </c>
      <c r="AS30" s="63">
        <v>0.28723404255319152</v>
      </c>
      <c r="AT30" s="65">
        <v>-0.10638297872340426</v>
      </c>
      <c r="AU30" s="66">
        <v>165</v>
      </c>
      <c r="AV30" s="67">
        <v>133</v>
      </c>
      <c r="AW30" s="62">
        <v>129</v>
      </c>
      <c r="AX30" s="63">
        <v>-0.19393939393939394</v>
      </c>
      <c r="AY30" s="64">
        <v>-0.21818181818181817</v>
      </c>
      <c r="AZ30" s="65">
        <v>-3.007518796992481E-2</v>
      </c>
      <c r="BA30" s="66">
        <v>68</v>
      </c>
      <c r="BB30" s="62">
        <v>58.5</v>
      </c>
      <c r="BC30" s="66">
        <v>7</v>
      </c>
      <c r="BD30" s="62">
        <v>6</v>
      </c>
      <c r="BE30" s="66">
        <v>552</v>
      </c>
      <c r="BF30" s="67">
        <v>656</v>
      </c>
      <c r="BG30" s="64">
        <v>0.84146341463414631</v>
      </c>
      <c r="BH30" s="67">
        <v>96</v>
      </c>
      <c r="BI30" s="67">
        <v>129</v>
      </c>
      <c r="BJ30" s="65">
        <v>0.7441860465116279</v>
      </c>
    </row>
    <row r="31" spans="1:62" x14ac:dyDescent="0.25">
      <c r="A31" s="119"/>
      <c r="B31" s="120"/>
      <c r="C31" s="120"/>
      <c r="D31" s="120"/>
      <c r="E31" s="121" t="s">
        <v>68</v>
      </c>
      <c r="F31" s="94">
        <v>199</v>
      </c>
      <c r="G31" s="91">
        <v>180</v>
      </c>
      <c r="H31" s="92">
        <v>0</v>
      </c>
      <c r="I31" s="92">
        <v>180</v>
      </c>
      <c r="J31" s="93">
        <v>0</v>
      </c>
      <c r="K31" s="91">
        <v>0</v>
      </c>
      <c r="L31" s="92">
        <v>0</v>
      </c>
      <c r="M31" s="92">
        <v>4</v>
      </c>
      <c r="N31" s="92">
        <v>0</v>
      </c>
      <c r="O31" s="92">
        <v>0</v>
      </c>
      <c r="P31" s="92">
        <v>0</v>
      </c>
      <c r="Q31" s="92">
        <v>0</v>
      </c>
      <c r="R31" s="93">
        <v>15</v>
      </c>
      <c r="S31" s="94">
        <v>46</v>
      </c>
      <c r="T31" s="91">
        <v>74</v>
      </c>
      <c r="U31" s="92">
        <v>0</v>
      </c>
      <c r="V31" s="92">
        <v>0</v>
      </c>
      <c r="W31" s="92">
        <v>3</v>
      </c>
      <c r="X31" s="93">
        <v>71</v>
      </c>
      <c r="Y31" s="91">
        <v>858</v>
      </c>
      <c r="Z31" s="93">
        <v>234</v>
      </c>
      <c r="AA31" s="91">
        <v>921</v>
      </c>
      <c r="AB31" s="93">
        <v>216</v>
      </c>
      <c r="AC31" s="91">
        <v>635</v>
      </c>
      <c r="AD31" s="93">
        <v>178</v>
      </c>
      <c r="AE31" s="91">
        <v>49</v>
      </c>
      <c r="AF31" s="92">
        <v>16</v>
      </c>
      <c r="AG31" s="93">
        <v>53</v>
      </c>
      <c r="AH31" s="95">
        <v>7.3426573426573424E-2</v>
      </c>
      <c r="AI31" s="96">
        <v>-0.25990675990675993</v>
      </c>
      <c r="AJ31" s="96">
        <v>-0.31053203040173727</v>
      </c>
      <c r="AK31" s="96">
        <v>-7.6923076923076927E-2</v>
      </c>
      <c r="AL31" s="96">
        <v>-0.23931623931623933</v>
      </c>
      <c r="AM31" s="96">
        <v>-0.17592592592592593</v>
      </c>
      <c r="AN31" s="97">
        <v>3.5277777777777777</v>
      </c>
      <c r="AO31" s="96">
        <v>0.98888888888888893</v>
      </c>
      <c r="AP31" s="96">
        <v>8.8888888888888892E-2</v>
      </c>
      <c r="AQ31" s="96">
        <v>0.29444444444444445</v>
      </c>
      <c r="AR31" s="96">
        <v>7.6923076923076927E-2</v>
      </c>
      <c r="AS31" s="95">
        <v>0.25555555555555554</v>
      </c>
      <c r="AT31" s="98">
        <v>-0.15555555555555556</v>
      </c>
      <c r="AU31" s="91">
        <v>165</v>
      </c>
      <c r="AV31" s="92">
        <v>133</v>
      </c>
      <c r="AW31" s="68">
        <v>128</v>
      </c>
      <c r="AX31" s="69">
        <v>-0.19393939393939394</v>
      </c>
      <c r="AY31" s="70">
        <v>-0.22424242424242424</v>
      </c>
      <c r="AZ31" s="71">
        <v>-3.7593984962406013E-2</v>
      </c>
      <c r="BA31" s="72">
        <v>68</v>
      </c>
      <c r="BB31" s="68">
        <v>59</v>
      </c>
      <c r="BC31" s="72">
        <v>7</v>
      </c>
      <c r="BD31" s="68">
        <v>5.5</v>
      </c>
      <c r="BE31" s="72">
        <v>536</v>
      </c>
      <c r="BF31" s="73">
        <v>635</v>
      </c>
      <c r="BG31" s="70">
        <v>0.84409448818897637</v>
      </c>
      <c r="BH31" s="73">
        <v>95</v>
      </c>
      <c r="BI31" s="73">
        <v>128</v>
      </c>
      <c r="BJ31" s="98">
        <v>0.7421875</v>
      </c>
    </row>
    <row r="32" spans="1:62" x14ac:dyDescent="0.25">
      <c r="A32" s="116"/>
      <c r="B32" s="117"/>
      <c r="C32" s="117"/>
      <c r="D32" s="117" t="s">
        <v>131</v>
      </c>
      <c r="E32" s="118"/>
      <c r="F32" s="89">
        <v>207</v>
      </c>
      <c r="G32" s="66">
        <v>200</v>
      </c>
      <c r="H32" s="67">
        <v>0</v>
      </c>
      <c r="I32" s="67">
        <v>200</v>
      </c>
      <c r="J32" s="62">
        <v>0</v>
      </c>
      <c r="K32" s="66">
        <v>0</v>
      </c>
      <c r="L32" s="67">
        <v>0</v>
      </c>
      <c r="M32" s="67">
        <v>0</v>
      </c>
      <c r="N32" s="67">
        <v>0</v>
      </c>
      <c r="O32" s="67">
        <v>0</v>
      </c>
      <c r="P32" s="67">
        <v>0</v>
      </c>
      <c r="Q32" s="67">
        <v>0</v>
      </c>
      <c r="R32" s="62">
        <v>5</v>
      </c>
      <c r="S32" s="89">
        <v>200</v>
      </c>
      <c r="T32" s="66">
        <v>86</v>
      </c>
      <c r="U32" s="67">
        <v>0</v>
      </c>
      <c r="V32" s="67">
        <v>0</v>
      </c>
      <c r="W32" s="67">
        <v>0</v>
      </c>
      <c r="X32" s="62">
        <v>86</v>
      </c>
      <c r="Y32" s="66">
        <v>712</v>
      </c>
      <c r="Z32" s="62">
        <v>306</v>
      </c>
      <c r="AA32" s="66">
        <v>747</v>
      </c>
      <c r="AB32" s="62">
        <v>335</v>
      </c>
      <c r="AC32" s="66">
        <v>403</v>
      </c>
      <c r="AD32" s="62">
        <v>259</v>
      </c>
      <c r="AE32" s="66">
        <v>51</v>
      </c>
      <c r="AF32" s="67">
        <v>47</v>
      </c>
      <c r="AG32" s="62">
        <v>39</v>
      </c>
      <c r="AH32" s="63">
        <v>4.9157303370786519E-2</v>
      </c>
      <c r="AI32" s="64">
        <v>-0.4339887640449438</v>
      </c>
      <c r="AJ32" s="64">
        <v>-0.4605087014725569</v>
      </c>
      <c r="AK32" s="64">
        <v>9.4771241830065356E-2</v>
      </c>
      <c r="AL32" s="64">
        <v>-0.15359477124183007</v>
      </c>
      <c r="AM32" s="64">
        <v>-0.22686567164179106</v>
      </c>
      <c r="AN32" s="90">
        <v>2.0150000000000001</v>
      </c>
      <c r="AO32" s="64">
        <v>1.2949999999999999</v>
      </c>
      <c r="AP32" s="64">
        <v>0.23499999999999999</v>
      </c>
      <c r="AQ32" s="64">
        <v>0.19500000000000001</v>
      </c>
      <c r="AR32" s="64">
        <v>2.4390243902439025E-2</v>
      </c>
      <c r="AS32" s="63">
        <v>1</v>
      </c>
      <c r="AT32" s="65">
        <v>0.56999999999999995</v>
      </c>
      <c r="AU32" s="66">
        <v>131</v>
      </c>
      <c r="AV32" s="67">
        <v>93</v>
      </c>
      <c r="AW32" s="62">
        <v>44</v>
      </c>
      <c r="AX32" s="63">
        <v>-0.29007633587786258</v>
      </c>
      <c r="AY32" s="64">
        <v>-0.66412213740458015</v>
      </c>
      <c r="AZ32" s="65">
        <v>-0.5268817204301075</v>
      </c>
      <c r="BA32" s="66">
        <v>64</v>
      </c>
      <c r="BB32" s="62">
        <v>59.5</v>
      </c>
      <c r="BC32" s="66">
        <v>13</v>
      </c>
      <c r="BD32" s="62">
        <v>9</v>
      </c>
      <c r="BE32" s="66">
        <v>338</v>
      </c>
      <c r="BF32" s="67">
        <v>403</v>
      </c>
      <c r="BG32" s="64">
        <v>0.83870967741935487</v>
      </c>
      <c r="BH32" s="67">
        <v>37</v>
      </c>
      <c r="BI32" s="67">
        <v>44</v>
      </c>
      <c r="BJ32" s="65">
        <v>0.84090909090909094</v>
      </c>
    </row>
    <row r="33" spans="1:62" x14ac:dyDescent="0.25">
      <c r="A33" s="119"/>
      <c r="B33" s="120"/>
      <c r="C33" s="120"/>
      <c r="D33" s="120"/>
      <c r="E33" s="121" t="s">
        <v>68</v>
      </c>
      <c r="F33" s="94">
        <v>131</v>
      </c>
      <c r="G33" s="91">
        <v>124</v>
      </c>
      <c r="H33" s="92">
        <v>0</v>
      </c>
      <c r="I33" s="92">
        <v>124</v>
      </c>
      <c r="J33" s="93">
        <v>0</v>
      </c>
      <c r="K33" s="91">
        <v>0</v>
      </c>
      <c r="L33" s="92">
        <v>0</v>
      </c>
      <c r="M33" s="92">
        <v>0</v>
      </c>
      <c r="N33" s="92">
        <v>0</v>
      </c>
      <c r="O33" s="92">
        <v>0</v>
      </c>
      <c r="P33" s="92">
        <v>0</v>
      </c>
      <c r="Q33" s="92">
        <v>0</v>
      </c>
      <c r="R33" s="93">
        <v>5</v>
      </c>
      <c r="S33" s="94">
        <v>124</v>
      </c>
      <c r="T33" s="91">
        <v>86</v>
      </c>
      <c r="U33" s="92">
        <v>0</v>
      </c>
      <c r="V33" s="92">
        <v>0</v>
      </c>
      <c r="W33" s="92">
        <v>0</v>
      </c>
      <c r="X33" s="93">
        <v>86</v>
      </c>
      <c r="Y33" s="91">
        <v>712</v>
      </c>
      <c r="Z33" s="93">
        <v>306</v>
      </c>
      <c r="AA33" s="91">
        <v>747</v>
      </c>
      <c r="AB33" s="93">
        <v>335</v>
      </c>
      <c r="AC33" s="91">
        <v>330</v>
      </c>
      <c r="AD33" s="93">
        <v>199</v>
      </c>
      <c r="AE33" s="91">
        <v>43</v>
      </c>
      <c r="AF33" s="92">
        <v>39</v>
      </c>
      <c r="AG33" s="93">
        <v>33</v>
      </c>
      <c r="AH33" s="95">
        <v>4.9157303370786519E-2</v>
      </c>
      <c r="AI33" s="96">
        <v>-0.5365168539325843</v>
      </c>
      <c r="AJ33" s="96">
        <v>-0.55823293172690758</v>
      </c>
      <c r="AK33" s="96">
        <v>9.4771241830065356E-2</v>
      </c>
      <c r="AL33" s="96">
        <v>-0.34967320261437906</v>
      </c>
      <c r="AM33" s="96">
        <v>-0.40597014925373132</v>
      </c>
      <c r="AN33" s="97">
        <v>2.661290322580645</v>
      </c>
      <c r="AO33" s="96">
        <v>1.6048387096774193</v>
      </c>
      <c r="AP33" s="96">
        <v>0.31451612903225806</v>
      </c>
      <c r="AQ33" s="96">
        <v>0.2661290322580645</v>
      </c>
      <c r="AR33" s="96">
        <v>3.875968992248062E-2</v>
      </c>
      <c r="AS33" s="95">
        <v>1</v>
      </c>
      <c r="AT33" s="98">
        <v>0.30645161290322581</v>
      </c>
      <c r="AU33" s="91">
        <v>129</v>
      </c>
      <c r="AV33" s="92">
        <v>93</v>
      </c>
      <c r="AW33" s="68">
        <v>42</v>
      </c>
      <c r="AX33" s="69">
        <v>-0.27906976744186046</v>
      </c>
      <c r="AY33" s="70">
        <v>-0.67441860465116277</v>
      </c>
      <c r="AZ33" s="71">
        <v>-0.54838709677419351</v>
      </c>
      <c r="BA33" s="72">
        <v>64</v>
      </c>
      <c r="BB33" s="68">
        <v>60</v>
      </c>
      <c r="BC33" s="72">
        <v>13</v>
      </c>
      <c r="BD33" s="68">
        <v>9</v>
      </c>
      <c r="BE33" s="72">
        <v>267</v>
      </c>
      <c r="BF33" s="73">
        <v>330</v>
      </c>
      <c r="BG33" s="70">
        <v>0.80909090909090908</v>
      </c>
      <c r="BH33" s="73">
        <v>35</v>
      </c>
      <c r="BI33" s="73">
        <v>42</v>
      </c>
      <c r="BJ33" s="98">
        <v>0.83333333333333337</v>
      </c>
    </row>
    <row r="34" spans="1:62" x14ac:dyDescent="0.25">
      <c r="A34" s="113"/>
      <c r="B34" s="114"/>
      <c r="C34" s="114" t="s">
        <v>95</v>
      </c>
      <c r="D34" s="114"/>
      <c r="E34" s="115"/>
      <c r="F34" s="87">
        <v>381</v>
      </c>
      <c r="G34" s="60">
        <v>306</v>
      </c>
      <c r="H34" s="61">
        <v>0</v>
      </c>
      <c r="I34" s="61">
        <v>306</v>
      </c>
      <c r="J34" s="56">
        <v>0</v>
      </c>
      <c r="K34" s="60">
        <v>0</v>
      </c>
      <c r="L34" s="61">
        <v>0</v>
      </c>
      <c r="M34" s="61">
        <v>5</v>
      </c>
      <c r="N34" s="61">
        <v>0</v>
      </c>
      <c r="O34" s="61">
        <v>0</v>
      </c>
      <c r="P34" s="61">
        <v>0</v>
      </c>
      <c r="Q34" s="61">
        <v>1</v>
      </c>
      <c r="R34" s="56">
        <v>23</v>
      </c>
      <c r="S34" s="87">
        <v>70</v>
      </c>
      <c r="T34" s="60">
        <v>119</v>
      </c>
      <c r="U34" s="61">
        <v>0</v>
      </c>
      <c r="V34" s="61">
        <v>2</v>
      </c>
      <c r="W34" s="61">
        <v>4</v>
      </c>
      <c r="X34" s="56">
        <v>113</v>
      </c>
      <c r="Y34" s="60">
        <v>2259</v>
      </c>
      <c r="Z34" s="56">
        <v>526</v>
      </c>
      <c r="AA34" s="60">
        <v>2102</v>
      </c>
      <c r="AB34" s="56">
        <v>459</v>
      </c>
      <c r="AC34" s="60">
        <v>1220</v>
      </c>
      <c r="AD34" s="56">
        <v>322</v>
      </c>
      <c r="AE34" s="60">
        <v>60</v>
      </c>
      <c r="AF34" s="61">
        <v>16</v>
      </c>
      <c r="AG34" s="56">
        <v>101</v>
      </c>
      <c r="AH34" s="57">
        <v>-6.9499778663125275E-2</v>
      </c>
      <c r="AI34" s="58">
        <v>-0.45993802567507747</v>
      </c>
      <c r="AJ34" s="58">
        <v>-0.41960038058991439</v>
      </c>
      <c r="AK34" s="58">
        <v>-0.12737642585551331</v>
      </c>
      <c r="AL34" s="58">
        <v>-0.38783269961977185</v>
      </c>
      <c r="AM34" s="58">
        <v>-0.29847494553376908</v>
      </c>
      <c r="AN34" s="88">
        <v>3.9869281045751634</v>
      </c>
      <c r="AO34" s="58">
        <v>1.0522875816993464</v>
      </c>
      <c r="AP34" s="58">
        <v>5.2287581699346407E-2</v>
      </c>
      <c r="AQ34" s="58">
        <v>0.33006535947712418</v>
      </c>
      <c r="AR34" s="58">
        <v>6.9908814589665649E-2</v>
      </c>
      <c r="AS34" s="57">
        <v>0.22875816993464052</v>
      </c>
      <c r="AT34" s="59">
        <v>-0.16013071895424835</v>
      </c>
      <c r="AU34" s="60">
        <v>278</v>
      </c>
      <c r="AV34" s="61">
        <v>253</v>
      </c>
      <c r="AW34" s="56">
        <v>183</v>
      </c>
      <c r="AX34" s="57">
        <v>-8.9928057553956831E-2</v>
      </c>
      <c r="AY34" s="58">
        <v>-0.34172661870503596</v>
      </c>
      <c r="AZ34" s="59">
        <v>-0.27667984189723321</v>
      </c>
      <c r="BA34" s="60">
        <v>70</v>
      </c>
      <c r="BB34" s="56">
        <v>57</v>
      </c>
      <c r="BC34" s="60">
        <v>9</v>
      </c>
      <c r="BD34" s="56">
        <v>7</v>
      </c>
      <c r="BE34" s="60">
        <v>950</v>
      </c>
      <c r="BF34" s="61">
        <v>1220</v>
      </c>
      <c r="BG34" s="58">
        <v>0.77868852459016391</v>
      </c>
      <c r="BH34" s="61">
        <v>143</v>
      </c>
      <c r="BI34" s="61">
        <v>183</v>
      </c>
      <c r="BJ34" s="59">
        <v>0.78142076502732238</v>
      </c>
    </row>
    <row r="35" spans="1:62" x14ac:dyDescent="0.25">
      <c r="A35" s="119"/>
      <c r="B35" s="120"/>
      <c r="C35" s="120"/>
      <c r="D35" s="120"/>
      <c r="E35" s="121" t="s">
        <v>68</v>
      </c>
      <c r="F35" s="94">
        <v>379</v>
      </c>
      <c r="G35" s="91">
        <v>304</v>
      </c>
      <c r="H35" s="92">
        <v>0</v>
      </c>
      <c r="I35" s="92">
        <v>304</v>
      </c>
      <c r="J35" s="93">
        <v>0</v>
      </c>
      <c r="K35" s="91">
        <v>0</v>
      </c>
      <c r="L35" s="92">
        <v>0</v>
      </c>
      <c r="M35" s="92">
        <v>5</v>
      </c>
      <c r="N35" s="92">
        <v>0</v>
      </c>
      <c r="O35" s="92">
        <v>0</v>
      </c>
      <c r="P35" s="92">
        <v>0</v>
      </c>
      <c r="Q35" s="92">
        <v>1</v>
      </c>
      <c r="R35" s="93">
        <v>23</v>
      </c>
      <c r="S35" s="94">
        <v>68</v>
      </c>
      <c r="T35" s="91">
        <v>119</v>
      </c>
      <c r="U35" s="92">
        <v>0</v>
      </c>
      <c r="V35" s="92">
        <v>2</v>
      </c>
      <c r="W35" s="92">
        <v>4</v>
      </c>
      <c r="X35" s="93">
        <v>113</v>
      </c>
      <c r="Y35" s="91">
        <v>2259</v>
      </c>
      <c r="Z35" s="93">
        <v>526</v>
      </c>
      <c r="AA35" s="91">
        <v>2102</v>
      </c>
      <c r="AB35" s="93">
        <v>459</v>
      </c>
      <c r="AC35" s="91">
        <v>1211</v>
      </c>
      <c r="AD35" s="93">
        <v>320</v>
      </c>
      <c r="AE35" s="91">
        <v>60</v>
      </c>
      <c r="AF35" s="92">
        <v>16</v>
      </c>
      <c r="AG35" s="93">
        <v>101</v>
      </c>
      <c r="AH35" s="95">
        <v>-6.9499778663125275E-2</v>
      </c>
      <c r="AI35" s="96">
        <v>-0.46392208942009738</v>
      </c>
      <c r="AJ35" s="96">
        <v>-0.42388201712654616</v>
      </c>
      <c r="AK35" s="96">
        <v>-0.12737642585551331</v>
      </c>
      <c r="AL35" s="96">
        <v>-0.39163498098859317</v>
      </c>
      <c r="AM35" s="96">
        <v>-0.30283224400871461</v>
      </c>
      <c r="AN35" s="97">
        <v>3.9835526315789473</v>
      </c>
      <c r="AO35" s="96">
        <v>1.0526315789473684</v>
      </c>
      <c r="AP35" s="96">
        <v>5.2631578947368418E-2</v>
      </c>
      <c r="AQ35" s="96">
        <v>0.33223684210526316</v>
      </c>
      <c r="AR35" s="96">
        <v>7.0336391437308868E-2</v>
      </c>
      <c r="AS35" s="95">
        <v>0.22368421052631579</v>
      </c>
      <c r="AT35" s="98">
        <v>-0.16776315789473684</v>
      </c>
      <c r="AU35" s="91">
        <v>278</v>
      </c>
      <c r="AV35" s="92">
        <v>253</v>
      </c>
      <c r="AW35" s="68">
        <v>183</v>
      </c>
      <c r="AX35" s="69">
        <v>-8.9928057553956831E-2</v>
      </c>
      <c r="AY35" s="70">
        <v>-0.34172661870503596</v>
      </c>
      <c r="AZ35" s="71">
        <v>-0.27667984189723321</v>
      </c>
      <c r="BA35" s="72">
        <v>70</v>
      </c>
      <c r="BB35" s="68">
        <v>57</v>
      </c>
      <c r="BC35" s="72">
        <v>9</v>
      </c>
      <c r="BD35" s="68">
        <v>7</v>
      </c>
      <c r="BE35" s="72">
        <v>945</v>
      </c>
      <c r="BF35" s="73">
        <v>1211</v>
      </c>
      <c r="BG35" s="70">
        <v>0.78034682080924855</v>
      </c>
      <c r="BH35" s="73">
        <v>143</v>
      </c>
      <c r="BI35" s="73">
        <v>183</v>
      </c>
      <c r="BJ35" s="98">
        <v>0.78142076502732238</v>
      </c>
    </row>
    <row r="36" spans="1:62" x14ac:dyDescent="0.25">
      <c r="A36" s="113"/>
      <c r="B36" s="114"/>
      <c r="C36" s="114" t="s">
        <v>132</v>
      </c>
      <c r="D36" s="114"/>
      <c r="E36" s="115"/>
      <c r="F36" s="87">
        <v>74</v>
      </c>
      <c r="G36" s="60">
        <v>58</v>
      </c>
      <c r="H36" s="61">
        <v>0</v>
      </c>
      <c r="I36" s="61">
        <v>58</v>
      </c>
      <c r="J36" s="56">
        <v>0</v>
      </c>
      <c r="K36" s="60">
        <v>0</v>
      </c>
      <c r="L36" s="61">
        <v>0</v>
      </c>
      <c r="M36" s="61">
        <v>1</v>
      </c>
      <c r="N36" s="61">
        <v>0</v>
      </c>
      <c r="O36" s="61">
        <v>8</v>
      </c>
      <c r="P36" s="61">
        <v>0</v>
      </c>
      <c r="Q36" s="61">
        <v>7</v>
      </c>
      <c r="R36" s="56">
        <v>0</v>
      </c>
      <c r="S36" s="87">
        <v>25</v>
      </c>
      <c r="T36" s="60">
        <v>1</v>
      </c>
      <c r="U36" s="61">
        <v>0</v>
      </c>
      <c r="V36" s="61">
        <v>1</v>
      </c>
      <c r="W36" s="61">
        <v>0</v>
      </c>
      <c r="X36" s="56">
        <v>0</v>
      </c>
      <c r="Y36" s="60">
        <v>125</v>
      </c>
      <c r="Z36" s="56">
        <v>31</v>
      </c>
      <c r="AA36" s="60">
        <v>115</v>
      </c>
      <c r="AB36" s="56">
        <v>39</v>
      </c>
      <c r="AC36" s="60">
        <v>105</v>
      </c>
      <c r="AD36" s="56">
        <v>48</v>
      </c>
      <c r="AE36" s="60">
        <v>27</v>
      </c>
      <c r="AF36" s="61">
        <v>20</v>
      </c>
      <c r="AG36" s="56">
        <v>13</v>
      </c>
      <c r="AH36" s="57">
        <v>-0.08</v>
      </c>
      <c r="AI36" s="58">
        <v>-0.16</v>
      </c>
      <c r="AJ36" s="58">
        <v>-8.6956521739130432E-2</v>
      </c>
      <c r="AK36" s="58">
        <v>0.25806451612903225</v>
      </c>
      <c r="AL36" s="58">
        <v>0.54838709677419351</v>
      </c>
      <c r="AM36" s="58">
        <v>0.23076923076923078</v>
      </c>
      <c r="AN36" s="88">
        <v>1.8103448275862069</v>
      </c>
      <c r="AO36" s="58">
        <v>0.82758620689655171</v>
      </c>
      <c r="AP36" s="58">
        <v>0.34482758620689657</v>
      </c>
      <c r="AQ36" s="58">
        <v>0.22413793103448276</v>
      </c>
      <c r="AR36" s="58">
        <v>0</v>
      </c>
      <c r="AS36" s="57">
        <v>0.43103448275862066</v>
      </c>
      <c r="AT36" s="59">
        <v>0.41379310344827586</v>
      </c>
      <c r="AU36" s="60">
        <v>57</v>
      </c>
      <c r="AV36" s="61">
        <v>48</v>
      </c>
      <c r="AW36" s="56">
        <v>55</v>
      </c>
      <c r="AX36" s="57">
        <v>-0.15789473684210525</v>
      </c>
      <c r="AY36" s="58">
        <v>-3.5087719298245612E-2</v>
      </c>
      <c r="AZ36" s="59">
        <v>0.14583333333333334</v>
      </c>
      <c r="BA36" s="60">
        <v>15</v>
      </c>
      <c r="BB36" s="56">
        <v>16</v>
      </c>
      <c r="BC36" s="60">
        <v>4</v>
      </c>
      <c r="BD36" s="56">
        <v>4</v>
      </c>
      <c r="BE36" s="60">
        <v>93</v>
      </c>
      <c r="BF36" s="61">
        <v>105</v>
      </c>
      <c r="BG36" s="58">
        <v>0.88571428571428568</v>
      </c>
      <c r="BH36" s="61">
        <v>47</v>
      </c>
      <c r="BI36" s="61">
        <v>55</v>
      </c>
      <c r="BJ36" s="59">
        <v>0.8545454545454545</v>
      </c>
    </row>
    <row r="37" spans="1:62" x14ac:dyDescent="0.25">
      <c r="A37" s="119"/>
      <c r="B37" s="120"/>
      <c r="C37" s="120"/>
      <c r="D37" s="120"/>
      <c r="E37" s="121" t="s">
        <v>68</v>
      </c>
      <c r="F37" s="94">
        <v>74</v>
      </c>
      <c r="G37" s="91">
        <v>58</v>
      </c>
      <c r="H37" s="92">
        <v>0</v>
      </c>
      <c r="I37" s="92">
        <v>58</v>
      </c>
      <c r="J37" s="93">
        <v>0</v>
      </c>
      <c r="K37" s="91">
        <v>0</v>
      </c>
      <c r="L37" s="92">
        <v>0</v>
      </c>
      <c r="M37" s="92">
        <v>1</v>
      </c>
      <c r="N37" s="92">
        <v>0</v>
      </c>
      <c r="O37" s="92">
        <v>8</v>
      </c>
      <c r="P37" s="92">
        <v>0</v>
      </c>
      <c r="Q37" s="92">
        <v>7</v>
      </c>
      <c r="R37" s="93">
        <v>0</v>
      </c>
      <c r="S37" s="94">
        <v>25</v>
      </c>
      <c r="T37" s="91">
        <v>1</v>
      </c>
      <c r="U37" s="92">
        <v>0</v>
      </c>
      <c r="V37" s="92">
        <v>1</v>
      </c>
      <c r="W37" s="92">
        <v>0</v>
      </c>
      <c r="X37" s="93">
        <v>0</v>
      </c>
      <c r="Y37" s="91">
        <v>125</v>
      </c>
      <c r="Z37" s="93">
        <v>31</v>
      </c>
      <c r="AA37" s="91">
        <v>115</v>
      </c>
      <c r="AB37" s="93">
        <v>39</v>
      </c>
      <c r="AC37" s="91">
        <v>105</v>
      </c>
      <c r="AD37" s="93">
        <v>48</v>
      </c>
      <c r="AE37" s="91">
        <v>27</v>
      </c>
      <c r="AF37" s="92">
        <v>20</v>
      </c>
      <c r="AG37" s="93">
        <v>13</v>
      </c>
      <c r="AH37" s="95">
        <v>-0.08</v>
      </c>
      <c r="AI37" s="96">
        <v>-0.16</v>
      </c>
      <c r="AJ37" s="96">
        <v>-8.6956521739130432E-2</v>
      </c>
      <c r="AK37" s="96">
        <v>0.25806451612903225</v>
      </c>
      <c r="AL37" s="96">
        <v>0.54838709677419351</v>
      </c>
      <c r="AM37" s="96">
        <v>0.23076923076923078</v>
      </c>
      <c r="AN37" s="97">
        <v>1.8103448275862069</v>
      </c>
      <c r="AO37" s="96">
        <v>0.82758620689655171</v>
      </c>
      <c r="AP37" s="96">
        <v>0.34482758620689657</v>
      </c>
      <c r="AQ37" s="96">
        <v>0.22413793103448276</v>
      </c>
      <c r="AR37" s="96">
        <v>0</v>
      </c>
      <c r="AS37" s="95">
        <v>0.43103448275862066</v>
      </c>
      <c r="AT37" s="98">
        <v>0.41379310344827586</v>
      </c>
      <c r="AU37" s="91">
        <v>57</v>
      </c>
      <c r="AV37" s="92">
        <v>48</v>
      </c>
      <c r="AW37" s="68">
        <v>55</v>
      </c>
      <c r="AX37" s="69">
        <v>-0.15789473684210525</v>
      </c>
      <c r="AY37" s="70">
        <v>-3.5087719298245612E-2</v>
      </c>
      <c r="AZ37" s="71">
        <v>0.14583333333333334</v>
      </c>
      <c r="BA37" s="72">
        <v>15</v>
      </c>
      <c r="BB37" s="68">
        <v>16</v>
      </c>
      <c r="BC37" s="72">
        <v>4</v>
      </c>
      <c r="BD37" s="68">
        <v>4</v>
      </c>
      <c r="BE37" s="72">
        <v>93</v>
      </c>
      <c r="BF37" s="73">
        <v>105</v>
      </c>
      <c r="BG37" s="70">
        <v>0.88571428571428568</v>
      </c>
      <c r="BH37" s="73">
        <v>47</v>
      </c>
      <c r="BI37" s="73">
        <v>55</v>
      </c>
      <c r="BJ37" s="98">
        <v>0.8545454545454545</v>
      </c>
    </row>
    <row r="38" spans="1:62" x14ac:dyDescent="0.25">
      <c r="A38" s="122" t="s">
        <v>64</v>
      </c>
      <c r="B38" s="123"/>
      <c r="C38" s="123"/>
      <c r="D38" s="123"/>
      <c r="E38" s="124"/>
      <c r="F38" s="99">
        <v>3288</v>
      </c>
      <c r="G38" s="78">
        <v>2152</v>
      </c>
      <c r="H38" s="79">
        <v>0</v>
      </c>
      <c r="I38" s="79">
        <v>2152</v>
      </c>
      <c r="J38" s="74">
        <v>0</v>
      </c>
      <c r="K38" s="78">
        <v>0</v>
      </c>
      <c r="L38" s="79">
        <v>78</v>
      </c>
      <c r="M38" s="79">
        <v>181</v>
      </c>
      <c r="N38" s="79">
        <v>73</v>
      </c>
      <c r="O38" s="79">
        <v>57</v>
      </c>
      <c r="P38" s="79">
        <v>0</v>
      </c>
      <c r="Q38" s="79">
        <v>27</v>
      </c>
      <c r="R38" s="74">
        <v>716</v>
      </c>
      <c r="S38" s="99">
        <v>492</v>
      </c>
      <c r="T38" s="78">
        <v>297</v>
      </c>
      <c r="U38" s="79">
        <v>0</v>
      </c>
      <c r="V38" s="79">
        <v>25</v>
      </c>
      <c r="W38" s="79">
        <v>107</v>
      </c>
      <c r="X38" s="74">
        <v>165</v>
      </c>
      <c r="Y38" s="78">
        <v>14594</v>
      </c>
      <c r="Z38" s="74">
        <v>2626</v>
      </c>
      <c r="AA38" s="78">
        <v>14149</v>
      </c>
      <c r="AB38" s="74">
        <v>2727</v>
      </c>
      <c r="AC38" s="78">
        <v>11833</v>
      </c>
      <c r="AD38" s="74">
        <v>2445</v>
      </c>
      <c r="AE38" s="78">
        <v>976</v>
      </c>
      <c r="AF38" s="79">
        <v>506</v>
      </c>
      <c r="AG38" s="74">
        <v>1621</v>
      </c>
      <c r="AH38" s="75">
        <v>-3.0491983006715087E-2</v>
      </c>
      <c r="AI38" s="76">
        <v>-0.18918733726188844</v>
      </c>
      <c r="AJ38" s="76">
        <v>-0.16368647960986643</v>
      </c>
      <c r="AK38" s="76">
        <v>3.8461538461538464E-2</v>
      </c>
      <c r="AL38" s="76">
        <v>-6.8926123381568921E-2</v>
      </c>
      <c r="AM38" s="76">
        <v>-0.1034103410341034</v>
      </c>
      <c r="AN38" s="100">
        <v>5.4986059479553901</v>
      </c>
      <c r="AO38" s="76">
        <v>1.1361524163568772</v>
      </c>
      <c r="AP38" s="76">
        <v>0.23513011152416358</v>
      </c>
      <c r="AQ38" s="76">
        <v>0.75325278810408924</v>
      </c>
      <c r="AR38" s="76">
        <v>0.24965132496513251</v>
      </c>
      <c r="AS38" s="75">
        <v>0.22862453531598512</v>
      </c>
      <c r="AT38" s="77">
        <v>9.0613382899628253E-2</v>
      </c>
      <c r="AU38" s="78">
        <v>1088</v>
      </c>
      <c r="AV38" s="79">
        <v>1048</v>
      </c>
      <c r="AW38" s="74">
        <v>1104</v>
      </c>
      <c r="AX38" s="75">
        <v>-3.6764705882352942E-2</v>
      </c>
      <c r="AY38" s="76">
        <v>1.4705882352941176E-2</v>
      </c>
      <c r="AZ38" s="77">
        <v>5.3435114503816793E-2</v>
      </c>
      <c r="BA38" s="78">
        <v>10</v>
      </c>
      <c r="BB38" s="74">
        <v>11</v>
      </c>
      <c r="BC38" s="78">
        <v>1</v>
      </c>
      <c r="BD38" s="74">
        <v>2</v>
      </c>
      <c r="BE38" s="78">
        <v>11244</v>
      </c>
      <c r="BF38" s="79">
        <v>11845</v>
      </c>
      <c r="BG38" s="76">
        <v>0.94926129168425499</v>
      </c>
      <c r="BH38" s="79">
        <v>992</v>
      </c>
      <c r="BI38" s="79">
        <v>1104</v>
      </c>
      <c r="BJ38" s="77">
        <v>0.89855072463768115</v>
      </c>
    </row>
    <row r="39" spans="1:62" x14ac:dyDescent="0.25">
      <c r="A39" s="110"/>
      <c r="B39" s="111" t="s">
        <v>65</v>
      </c>
      <c r="C39" s="111"/>
      <c r="D39" s="111"/>
      <c r="E39" s="112"/>
      <c r="F39" s="85">
        <v>670</v>
      </c>
      <c r="G39" s="54">
        <v>381</v>
      </c>
      <c r="H39" s="55">
        <v>0</v>
      </c>
      <c r="I39" s="55">
        <v>381</v>
      </c>
      <c r="J39" s="50">
        <v>0</v>
      </c>
      <c r="K39" s="54">
        <v>0</v>
      </c>
      <c r="L39" s="55">
        <v>22</v>
      </c>
      <c r="M39" s="55">
        <v>47</v>
      </c>
      <c r="N39" s="55">
        <v>15</v>
      </c>
      <c r="O39" s="55">
        <v>19</v>
      </c>
      <c r="P39" s="55">
        <v>0</v>
      </c>
      <c r="Q39" s="55">
        <v>3</v>
      </c>
      <c r="R39" s="50">
        <v>183</v>
      </c>
      <c r="S39" s="85">
        <v>92</v>
      </c>
      <c r="T39" s="54">
        <v>91</v>
      </c>
      <c r="U39" s="55">
        <v>0</v>
      </c>
      <c r="V39" s="55">
        <v>3</v>
      </c>
      <c r="W39" s="55">
        <v>33</v>
      </c>
      <c r="X39" s="50">
        <v>55</v>
      </c>
      <c r="Y39" s="54">
        <v>3211</v>
      </c>
      <c r="Z39" s="50">
        <v>679</v>
      </c>
      <c r="AA39" s="54">
        <v>3436</v>
      </c>
      <c r="AB39" s="50">
        <v>554</v>
      </c>
      <c r="AC39" s="54">
        <v>2166</v>
      </c>
      <c r="AD39" s="50">
        <v>518</v>
      </c>
      <c r="AE39" s="54">
        <v>194</v>
      </c>
      <c r="AF39" s="55">
        <v>115</v>
      </c>
      <c r="AG39" s="50">
        <v>380</v>
      </c>
      <c r="AH39" s="51">
        <v>7.0071628776082223E-2</v>
      </c>
      <c r="AI39" s="52">
        <v>-0.32544378698224852</v>
      </c>
      <c r="AJ39" s="52">
        <v>-0.36961583236321305</v>
      </c>
      <c r="AK39" s="52">
        <v>-0.18409425625920472</v>
      </c>
      <c r="AL39" s="52">
        <v>-0.23711340206185566</v>
      </c>
      <c r="AM39" s="52">
        <v>-6.4981949458483748E-2</v>
      </c>
      <c r="AN39" s="86">
        <v>5.6850393700787398</v>
      </c>
      <c r="AO39" s="52">
        <v>1.3595800524934383</v>
      </c>
      <c r="AP39" s="52">
        <v>0.30183727034120733</v>
      </c>
      <c r="AQ39" s="52">
        <v>0.99737532808398954</v>
      </c>
      <c r="AR39" s="52">
        <v>0.32446808510638298</v>
      </c>
      <c r="AS39" s="51">
        <v>0.24146981627296588</v>
      </c>
      <c r="AT39" s="53">
        <v>2.6246719160104987E-3</v>
      </c>
      <c r="AU39" s="54">
        <v>551</v>
      </c>
      <c r="AV39" s="55">
        <v>527</v>
      </c>
      <c r="AW39" s="50">
        <v>473</v>
      </c>
      <c r="AX39" s="51">
        <v>-4.3557168784029036E-2</v>
      </c>
      <c r="AY39" s="52">
        <v>-0.14156079854809436</v>
      </c>
      <c r="AZ39" s="53">
        <v>-0.10246679316888045</v>
      </c>
      <c r="BA39" s="54">
        <v>7</v>
      </c>
      <c r="BB39" s="50">
        <v>9</v>
      </c>
      <c r="BC39" s="54">
        <v>1</v>
      </c>
      <c r="BD39" s="50">
        <v>1</v>
      </c>
      <c r="BE39" s="54">
        <v>2019</v>
      </c>
      <c r="BF39" s="55">
        <v>2167</v>
      </c>
      <c r="BG39" s="52">
        <v>0.93170281495154594</v>
      </c>
      <c r="BH39" s="55">
        <v>435</v>
      </c>
      <c r="BI39" s="55">
        <v>473</v>
      </c>
      <c r="BJ39" s="53">
        <v>0.91966173361522197</v>
      </c>
    </row>
    <row r="40" spans="1:62" x14ac:dyDescent="0.25">
      <c r="A40" s="113"/>
      <c r="B40" s="114"/>
      <c r="C40" s="114" t="s">
        <v>70</v>
      </c>
      <c r="D40" s="114"/>
      <c r="E40" s="115"/>
      <c r="F40" s="87">
        <v>393</v>
      </c>
      <c r="G40" s="60">
        <v>177</v>
      </c>
      <c r="H40" s="61">
        <v>0</v>
      </c>
      <c r="I40" s="61">
        <v>177</v>
      </c>
      <c r="J40" s="56">
        <v>0</v>
      </c>
      <c r="K40" s="60">
        <v>0</v>
      </c>
      <c r="L40" s="61">
        <v>11</v>
      </c>
      <c r="M40" s="61">
        <v>27</v>
      </c>
      <c r="N40" s="61">
        <v>11</v>
      </c>
      <c r="O40" s="61">
        <v>17</v>
      </c>
      <c r="P40" s="61">
        <v>0</v>
      </c>
      <c r="Q40" s="61">
        <v>3</v>
      </c>
      <c r="R40" s="56">
        <v>147</v>
      </c>
      <c r="S40" s="87">
        <v>39</v>
      </c>
      <c r="T40" s="60">
        <v>38</v>
      </c>
      <c r="U40" s="61">
        <v>0</v>
      </c>
      <c r="V40" s="61">
        <v>3</v>
      </c>
      <c r="W40" s="61">
        <v>18</v>
      </c>
      <c r="X40" s="56">
        <v>17</v>
      </c>
      <c r="Y40" s="60">
        <v>1914</v>
      </c>
      <c r="Z40" s="56">
        <v>374</v>
      </c>
      <c r="AA40" s="60">
        <v>2168</v>
      </c>
      <c r="AB40" s="56">
        <v>303</v>
      </c>
      <c r="AC40" s="60">
        <v>1231</v>
      </c>
      <c r="AD40" s="56">
        <v>255</v>
      </c>
      <c r="AE40" s="60">
        <v>147</v>
      </c>
      <c r="AF40" s="61">
        <v>88</v>
      </c>
      <c r="AG40" s="56">
        <v>249</v>
      </c>
      <c r="AH40" s="57">
        <v>0.13270637408568442</v>
      </c>
      <c r="AI40" s="58">
        <v>-0.35684430512016718</v>
      </c>
      <c r="AJ40" s="58">
        <v>-0.43219557195571956</v>
      </c>
      <c r="AK40" s="58">
        <v>-0.18983957219251338</v>
      </c>
      <c r="AL40" s="58">
        <v>-0.31818181818181818</v>
      </c>
      <c r="AM40" s="58">
        <v>-0.15841584158415842</v>
      </c>
      <c r="AN40" s="88">
        <v>6.9548022598870061</v>
      </c>
      <c r="AO40" s="58">
        <v>1.4406779661016949</v>
      </c>
      <c r="AP40" s="58">
        <v>0.49717514124293788</v>
      </c>
      <c r="AQ40" s="58">
        <v>1.4067796610169492</v>
      </c>
      <c r="AR40" s="58">
        <v>0.45370370370370372</v>
      </c>
      <c r="AS40" s="57">
        <v>0.22033898305084745</v>
      </c>
      <c r="AT40" s="59">
        <v>5.6497175141242938E-3</v>
      </c>
      <c r="AU40" s="60">
        <v>350</v>
      </c>
      <c r="AV40" s="61">
        <v>355</v>
      </c>
      <c r="AW40" s="56">
        <v>314</v>
      </c>
      <c r="AX40" s="57">
        <v>1.4285714285714285E-2</v>
      </c>
      <c r="AY40" s="58">
        <v>-0.10285714285714286</v>
      </c>
      <c r="AZ40" s="59">
        <v>-0.11549295774647887</v>
      </c>
      <c r="BA40" s="60">
        <v>7</v>
      </c>
      <c r="BB40" s="56">
        <v>9</v>
      </c>
      <c r="BC40" s="60">
        <v>1</v>
      </c>
      <c r="BD40" s="56">
        <v>1</v>
      </c>
      <c r="BE40" s="60">
        <v>1126</v>
      </c>
      <c r="BF40" s="61">
        <v>1231</v>
      </c>
      <c r="BG40" s="58">
        <v>0.91470349309504473</v>
      </c>
      <c r="BH40" s="61">
        <v>292</v>
      </c>
      <c r="BI40" s="61">
        <v>314</v>
      </c>
      <c r="BJ40" s="59">
        <v>0.92993630573248409</v>
      </c>
    </row>
    <row r="41" spans="1:62" x14ac:dyDescent="0.25">
      <c r="A41" s="119"/>
      <c r="B41" s="120"/>
      <c r="C41" s="120"/>
      <c r="D41" s="120"/>
      <c r="E41" s="121" t="s">
        <v>68</v>
      </c>
      <c r="F41" s="94">
        <v>393</v>
      </c>
      <c r="G41" s="91">
        <v>177</v>
      </c>
      <c r="H41" s="92">
        <v>0</v>
      </c>
      <c r="I41" s="92">
        <v>177</v>
      </c>
      <c r="J41" s="93">
        <v>0</v>
      </c>
      <c r="K41" s="91">
        <v>0</v>
      </c>
      <c r="L41" s="92">
        <v>11</v>
      </c>
      <c r="M41" s="92">
        <v>27</v>
      </c>
      <c r="N41" s="92">
        <v>11</v>
      </c>
      <c r="O41" s="92">
        <v>17</v>
      </c>
      <c r="P41" s="92">
        <v>0</v>
      </c>
      <c r="Q41" s="92">
        <v>3</v>
      </c>
      <c r="R41" s="93">
        <v>147</v>
      </c>
      <c r="S41" s="94">
        <v>39</v>
      </c>
      <c r="T41" s="91">
        <v>38</v>
      </c>
      <c r="U41" s="92">
        <v>0</v>
      </c>
      <c r="V41" s="92">
        <v>3</v>
      </c>
      <c r="W41" s="92">
        <v>18</v>
      </c>
      <c r="X41" s="93">
        <v>17</v>
      </c>
      <c r="Y41" s="91">
        <v>1914</v>
      </c>
      <c r="Z41" s="93">
        <v>374</v>
      </c>
      <c r="AA41" s="91">
        <v>2168</v>
      </c>
      <c r="AB41" s="93">
        <v>303</v>
      </c>
      <c r="AC41" s="91">
        <v>1231</v>
      </c>
      <c r="AD41" s="93">
        <v>255</v>
      </c>
      <c r="AE41" s="91">
        <v>147</v>
      </c>
      <c r="AF41" s="92">
        <v>88</v>
      </c>
      <c r="AG41" s="93">
        <v>249</v>
      </c>
      <c r="AH41" s="95">
        <v>0.13270637408568442</v>
      </c>
      <c r="AI41" s="96">
        <v>-0.35684430512016718</v>
      </c>
      <c r="AJ41" s="96">
        <v>-0.43219557195571956</v>
      </c>
      <c r="AK41" s="96">
        <v>-0.18983957219251338</v>
      </c>
      <c r="AL41" s="96">
        <v>-0.31818181818181818</v>
      </c>
      <c r="AM41" s="96">
        <v>-0.15841584158415842</v>
      </c>
      <c r="AN41" s="97">
        <v>6.9548022598870061</v>
      </c>
      <c r="AO41" s="96">
        <v>1.4406779661016949</v>
      </c>
      <c r="AP41" s="96">
        <v>0.49717514124293788</v>
      </c>
      <c r="AQ41" s="96">
        <v>1.4067796610169492</v>
      </c>
      <c r="AR41" s="96">
        <v>0.45370370370370372</v>
      </c>
      <c r="AS41" s="95">
        <v>0.22033898305084745</v>
      </c>
      <c r="AT41" s="98">
        <v>5.6497175141242938E-3</v>
      </c>
      <c r="AU41" s="91">
        <v>350</v>
      </c>
      <c r="AV41" s="92">
        <v>355</v>
      </c>
      <c r="AW41" s="68">
        <v>314</v>
      </c>
      <c r="AX41" s="69">
        <v>1.4285714285714285E-2</v>
      </c>
      <c r="AY41" s="70">
        <v>-0.10285714285714286</v>
      </c>
      <c r="AZ41" s="71">
        <v>-0.11549295774647887</v>
      </c>
      <c r="BA41" s="72">
        <v>7</v>
      </c>
      <c r="BB41" s="68">
        <v>9</v>
      </c>
      <c r="BC41" s="72">
        <v>1</v>
      </c>
      <c r="BD41" s="68">
        <v>1</v>
      </c>
      <c r="BE41" s="72">
        <v>1126</v>
      </c>
      <c r="BF41" s="73">
        <v>1231</v>
      </c>
      <c r="BG41" s="70">
        <v>0.91470349309504473</v>
      </c>
      <c r="BH41" s="73">
        <v>292</v>
      </c>
      <c r="BI41" s="73">
        <v>314</v>
      </c>
      <c r="BJ41" s="98">
        <v>0.92993630573248409</v>
      </c>
    </row>
    <row r="42" spans="1:62" x14ac:dyDescent="0.25">
      <c r="A42" s="113"/>
      <c r="B42" s="114"/>
      <c r="C42" s="114" t="s">
        <v>71</v>
      </c>
      <c r="D42" s="114"/>
      <c r="E42" s="115"/>
      <c r="F42" s="87">
        <v>164</v>
      </c>
      <c r="G42" s="60">
        <v>121</v>
      </c>
      <c r="H42" s="61">
        <v>0</v>
      </c>
      <c r="I42" s="61">
        <v>121</v>
      </c>
      <c r="J42" s="56">
        <v>0</v>
      </c>
      <c r="K42" s="60">
        <v>0</v>
      </c>
      <c r="L42" s="61">
        <v>6</v>
      </c>
      <c r="M42" s="61">
        <v>12</v>
      </c>
      <c r="N42" s="61">
        <v>2</v>
      </c>
      <c r="O42" s="61">
        <v>0</v>
      </c>
      <c r="P42" s="61">
        <v>0</v>
      </c>
      <c r="Q42" s="61">
        <v>0</v>
      </c>
      <c r="R42" s="56">
        <v>23</v>
      </c>
      <c r="S42" s="87">
        <v>33</v>
      </c>
      <c r="T42" s="60">
        <v>40</v>
      </c>
      <c r="U42" s="61">
        <v>0</v>
      </c>
      <c r="V42" s="61">
        <v>0</v>
      </c>
      <c r="W42" s="61">
        <v>10</v>
      </c>
      <c r="X42" s="56">
        <v>30</v>
      </c>
      <c r="Y42" s="60">
        <v>966</v>
      </c>
      <c r="Z42" s="56">
        <v>197</v>
      </c>
      <c r="AA42" s="60">
        <v>954</v>
      </c>
      <c r="AB42" s="56">
        <v>179</v>
      </c>
      <c r="AC42" s="60">
        <v>645</v>
      </c>
      <c r="AD42" s="56">
        <v>165</v>
      </c>
      <c r="AE42" s="60">
        <v>30</v>
      </c>
      <c r="AF42" s="61">
        <v>20</v>
      </c>
      <c r="AG42" s="56">
        <v>77</v>
      </c>
      <c r="AH42" s="57">
        <v>-1.2422360248447204E-2</v>
      </c>
      <c r="AI42" s="58">
        <v>-0.33229813664596275</v>
      </c>
      <c r="AJ42" s="58">
        <v>-0.32389937106918237</v>
      </c>
      <c r="AK42" s="58">
        <v>-9.1370558375634514E-2</v>
      </c>
      <c r="AL42" s="58">
        <v>-0.16243654822335024</v>
      </c>
      <c r="AM42" s="58">
        <v>-7.8212290502793297E-2</v>
      </c>
      <c r="AN42" s="88">
        <v>5.330578512396694</v>
      </c>
      <c r="AO42" s="58">
        <v>1.3636363636363635</v>
      </c>
      <c r="AP42" s="58">
        <v>0.16528925619834711</v>
      </c>
      <c r="AQ42" s="58">
        <v>0.63636363636363635</v>
      </c>
      <c r="AR42" s="58">
        <v>0.15972222222222221</v>
      </c>
      <c r="AS42" s="57">
        <v>0.27272727272727271</v>
      </c>
      <c r="AT42" s="59">
        <v>-5.7851239669421489E-2</v>
      </c>
      <c r="AU42" s="60">
        <v>357</v>
      </c>
      <c r="AV42" s="61">
        <v>320</v>
      </c>
      <c r="AW42" s="56">
        <v>256</v>
      </c>
      <c r="AX42" s="57">
        <v>-0.10364145658263306</v>
      </c>
      <c r="AY42" s="58">
        <v>-0.28291316526610644</v>
      </c>
      <c r="AZ42" s="59">
        <v>-0.2</v>
      </c>
      <c r="BA42" s="60">
        <v>8</v>
      </c>
      <c r="BB42" s="56">
        <v>9</v>
      </c>
      <c r="BC42" s="60">
        <v>1</v>
      </c>
      <c r="BD42" s="56">
        <v>1</v>
      </c>
      <c r="BE42" s="60">
        <v>616</v>
      </c>
      <c r="BF42" s="61">
        <v>645</v>
      </c>
      <c r="BG42" s="58">
        <v>0.95503875968992247</v>
      </c>
      <c r="BH42" s="61">
        <v>238</v>
      </c>
      <c r="BI42" s="61">
        <v>256</v>
      </c>
      <c r="BJ42" s="59">
        <v>0.9296875</v>
      </c>
    </row>
    <row r="43" spans="1:62" x14ac:dyDescent="0.25">
      <c r="A43" s="119"/>
      <c r="B43" s="120"/>
      <c r="C43" s="120"/>
      <c r="D43" s="120"/>
      <c r="E43" s="121" t="s">
        <v>68</v>
      </c>
      <c r="F43" s="94">
        <v>164</v>
      </c>
      <c r="G43" s="91">
        <v>121</v>
      </c>
      <c r="H43" s="92">
        <v>0</v>
      </c>
      <c r="I43" s="92">
        <v>121</v>
      </c>
      <c r="J43" s="93">
        <v>0</v>
      </c>
      <c r="K43" s="91">
        <v>0</v>
      </c>
      <c r="L43" s="92">
        <v>6</v>
      </c>
      <c r="M43" s="92">
        <v>12</v>
      </c>
      <c r="N43" s="92">
        <v>2</v>
      </c>
      <c r="O43" s="92">
        <v>0</v>
      </c>
      <c r="P43" s="92">
        <v>0</v>
      </c>
      <c r="Q43" s="92">
        <v>0</v>
      </c>
      <c r="R43" s="93">
        <v>23</v>
      </c>
      <c r="S43" s="94">
        <v>33</v>
      </c>
      <c r="T43" s="91">
        <v>40</v>
      </c>
      <c r="U43" s="92">
        <v>0</v>
      </c>
      <c r="V43" s="92">
        <v>0</v>
      </c>
      <c r="W43" s="92">
        <v>10</v>
      </c>
      <c r="X43" s="93">
        <v>30</v>
      </c>
      <c r="Y43" s="91">
        <v>966</v>
      </c>
      <c r="Z43" s="93">
        <v>197</v>
      </c>
      <c r="AA43" s="91">
        <v>954</v>
      </c>
      <c r="AB43" s="93">
        <v>179</v>
      </c>
      <c r="AC43" s="91">
        <v>645</v>
      </c>
      <c r="AD43" s="93">
        <v>165</v>
      </c>
      <c r="AE43" s="91">
        <v>30</v>
      </c>
      <c r="AF43" s="92">
        <v>20</v>
      </c>
      <c r="AG43" s="93">
        <v>77</v>
      </c>
      <c r="AH43" s="95">
        <v>-1.2422360248447204E-2</v>
      </c>
      <c r="AI43" s="96">
        <v>-0.33229813664596275</v>
      </c>
      <c r="AJ43" s="96">
        <v>-0.32389937106918237</v>
      </c>
      <c r="AK43" s="96">
        <v>-9.1370558375634514E-2</v>
      </c>
      <c r="AL43" s="96">
        <v>-0.16243654822335024</v>
      </c>
      <c r="AM43" s="96">
        <v>-7.8212290502793297E-2</v>
      </c>
      <c r="AN43" s="97">
        <v>5.330578512396694</v>
      </c>
      <c r="AO43" s="96">
        <v>1.3636363636363635</v>
      </c>
      <c r="AP43" s="96">
        <v>0.16528925619834711</v>
      </c>
      <c r="AQ43" s="96">
        <v>0.63636363636363635</v>
      </c>
      <c r="AR43" s="96">
        <v>0.15972222222222221</v>
      </c>
      <c r="AS43" s="95">
        <v>0.27272727272727271</v>
      </c>
      <c r="AT43" s="98">
        <v>-5.7851239669421489E-2</v>
      </c>
      <c r="AU43" s="91">
        <v>317</v>
      </c>
      <c r="AV43" s="92">
        <v>302</v>
      </c>
      <c r="AW43" s="68">
        <v>256</v>
      </c>
      <c r="AX43" s="69">
        <v>-4.7318611987381701E-2</v>
      </c>
      <c r="AY43" s="70">
        <v>-0.19242902208201892</v>
      </c>
      <c r="AZ43" s="71">
        <v>-0.15231788079470199</v>
      </c>
      <c r="BA43" s="72">
        <v>8</v>
      </c>
      <c r="BB43" s="68">
        <v>9</v>
      </c>
      <c r="BC43" s="72">
        <v>1</v>
      </c>
      <c r="BD43" s="68">
        <v>1</v>
      </c>
      <c r="BE43" s="72">
        <v>616</v>
      </c>
      <c r="BF43" s="73">
        <v>645</v>
      </c>
      <c r="BG43" s="70">
        <v>0.95503875968992247</v>
      </c>
      <c r="BH43" s="73">
        <v>238</v>
      </c>
      <c r="BI43" s="73">
        <v>256</v>
      </c>
      <c r="BJ43" s="98">
        <v>0.9296875</v>
      </c>
    </row>
    <row r="44" spans="1:62" x14ac:dyDescent="0.25">
      <c r="A44" s="113"/>
      <c r="B44" s="114"/>
      <c r="C44" s="114" t="s">
        <v>73</v>
      </c>
      <c r="D44" s="114"/>
      <c r="E44" s="115"/>
      <c r="F44" s="87">
        <v>70</v>
      </c>
      <c r="G44" s="60">
        <v>53</v>
      </c>
      <c r="H44" s="61">
        <v>0</v>
      </c>
      <c r="I44" s="61">
        <v>53</v>
      </c>
      <c r="J44" s="56">
        <v>0</v>
      </c>
      <c r="K44" s="60">
        <v>0</v>
      </c>
      <c r="L44" s="61">
        <v>4</v>
      </c>
      <c r="M44" s="61">
        <v>3</v>
      </c>
      <c r="N44" s="61">
        <v>0</v>
      </c>
      <c r="O44" s="61">
        <v>2</v>
      </c>
      <c r="P44" s="61">
        <v>0</v>
      </c>
      <c r="Q44" s="61">
        <v>0</v>
      </c>
      <c r="R44" s="56">
        <v>8</v>
      </c>
      <c r="S44" s="87">
        <v>9</v>
      </c>
      <c r="T44" s="60">
        <v>11</v>
      </c>
      <c r="U44" s="61">
        <v>0</v>
      </c>
      <c r="V44" s="61">
        <v>0</v>
      </c>
      <c r="W44" s="61">
        <v>3</v>
      </c>
      <c r="X44" s="56">
        <v>8</v>
      </c>
      <c r="Y44" s="60">
        <v>274</v>
      </c>
      <c r="Z44" s="56">
        <v>90</v>
      </c>
      <c r="AA44" s="60">
        <v>253</v>
      </c>
      <c r="AB44" s="56">
        <v>64</v>
      </c>
      <c r="AC44" s="60">
        <v>164</v>
      </c>
      <c r="AD44" s="56">
        <v>57</v>
      </c>
      <c r="AE44" s="60">
        <v>15</v>
      </c>
      <c r="AF44" s="61">
        <v>6</v>
      </c>
      <c r="AG44" s="56">
        <v>30</v>
      </c>
      <c r="AH44" s="57">
        <v>-7.6642335766423361E-2</v>
      </c>
      <c r="AI44" s="58">
        <v>-0.40145985401459855</v>
      </c>
      <c r="AJ44" s="58">
        <v>-0.35177865612648224</v>
      </c>
      <c r="AK44" s="58">
        <v>-0.28888888888888886</v>
      </c>
      <c r="AL44" s="58">
        <v>-0.36666666666666664</v>
      </c>
      <c r="AM44" s="58">
        <v>-0.109375</v>
      </c>
      <c r="AN44" s="88">
        <v>3.0943396226415096</v>
      </c>
      <c r="AO44" s="58">
        <v>1.0754716981132075</v>
      </c>
      <c r="AP44" s="58">
        <v>0.11320754716981132</v>
      </c>
      <c r="AQ44" s="58">
        <v>0.56603773584905659</v>
      </c>
      <c r="AR44" s="58">
        <v>0.13114754098360656</v>
      </c>
      <c r="AS44" s="57">
        <v>0.16981132075471697</v>
      </c>
      <c r="AT44" s="59">
        <v>-3.7735849056603772E-2</v>
      </c>
      <c r="AU44" s="60">
        <v>137</v>
      </c>
      <c r="AV44" s="61">
        <v>115</v>
      </c>
      <c r="AW44" s="56">
        <v>103</v>
      </c>
      <c r="AX44" s="57">
        <v>-0.16058394160583941</v>
      </c>
      <c r="AY44" s="58">
        <v>-0.24817518248175183</v>
      </c>
      <c r="AZ44" s="59">
        <v>-0.10434782608695652</v>
      </c>
      <c r="BA44" s="60">
        <v>7</v>
      </c>
      <c r="BB44" s="56">
        <v>8</v>
      </c>
      <c r="BC44" s="60">
        <v>1</v>
      </c>
      <c r="BD44" s="56">
        <v>1</v>
      </c>
      <c r="BE44" s="60">
        <v>157</v>
      </c>
      <c r="BF44" s="61">
        <v>164</v>
      </c>
      <c r="BG44" s="58">
        <v>0.95731707317073167</v>
      </c>
      <c r="BH44" s="61">
        <v>100</v>
      </c>
      <c r="BI44" s="61">
        <v>103</v>
      </c>
      <c r="BJ44" s="59">
        <v>0.970873786407767</v>
      </c>
    </row>
    <row r="45" spans="1:62" x14ac:dyDescent="0.25">
      <c r="A45" s="119"/>
      <c r="B45" s="120"/>
      <c r="C45" s="120"/>
      <c r="D45" s="120"/>
      <c r="E45" s="121" t="s">
        <v>68</v>
      </c>
      <c r="F45" s="94">
        <v>68</v>
      </c>
      <c r="G45" s="91">
        <v>51</v>
      </c>
      <c r="H45" s="92">
        <v>0</v>
      </c>
      <c r="I45" s="92">
        <v>51</v>
      </c>
      <c r="J45" s="93">
        <v>0</v>
      </c>
      <c r="K45" s="91">
        <v>0</v>
      </c>
      <c r="L45" s="92">
        <v>4</v>
      </c>
      <c r="M45" s="92">
        <v>3</v>
      </c>
      <c r="N45" s="92">
        <v>0</v>
      </c>
      <c r="O45" s="92">
        <v>2</v>
      </c>
      <c r="P45" s="92">
        <v>0</v>
      </c>
      <c r="Q45" s="92">
        <v>0</v>
      </c>
      <c r="R45" s="93">
        <v>8</v>
      </c>
      <c r="S45" s="94">
        <v>9</v>
      </c>
      <c r="T45" s="91">
        <v>11</v>
      </c>
      <c r="U45" s="92">
        <v>0</v>
      </c>
      <c r="V45" s="92">
        <v>0</v>
      </c>
      <c r="W45" s="92">
        <v>3</v>
      </c>
      <c r="X45" s="93">
        <v>8</v>
      </c>
      <c r="Y45" s="91">
        <v>266</v>
      </c>
      <c r="Z45" s="93">
        <v>88</v>
      </c>
      <c r="AA45" s="91">
        <v>250</v>
      </c>
      <c r="AB45" s="93">
        <v>62</v>
      </c>
      <c r="AC45" s="91">
        <v>155</v>
      </c>
      <c r="AD45" s="93">
        <v>55</v>
      </c>
      <c r="AE45" s="91">
        <v>15</v>
      </c>
      <c r="AF45" s="92">
        <v>6</v>
      </c>
      <c r="AG45" s="93">
        <v>29</v>
      </c>
      <c r="AH45" s="95">
        <v>-6.0150375939849621E-2</v>
      </c>
      <c r="AI45" s="96">
        <v>-0.41729323308270677</v>
      </c>
      <c r="AJ45" s="96">
        <v>-0.38</v>
      </c>
      <c r="AK45" s="96">
        <v>-0.29545454545454547</v>
      </c>
      <c r="AL45" s="96">
        <v>-0.375</v>
      </c>
      <c r="AM45" s="96">
        <v>-0.11290322580645161</v>
      </c>
      <c r="AN45" s="97">
        <v>3.0392156862745097</v>
      </c>
      <c r="AO45" s="96">
        <v>1.0784313725490196</v>
      </c>
      <c r="AP45" s="96">
        <v>0.11764705882352941</v>
      </c>
      <c r="AQ45" s="96">
        <v>0.56862745098039214</v>
      </c>
      <c r="AR45" s="96">
        <v>0.13559322033898305</v>
      </c>
      <c r="AS45" s="95">
        <v>0.17647058823529413</v>
      </c>
      <c r="AT45" s="98">
        <v>-3.9215686274509803E-2</v>
      </c>
      <c r="AU45" s="91">
        <v>135</v>
      </c>
      <c r="AV45" s="92">
        <v>114</v>
      </c>
      <c r="AW45" s="68">
        <v>98</v>
      </c>
      <c r="AX45" s="69">
        <v>-0.15555555555555556</v>
      </c>
      <c r="AY45" s="70">
        <v>-0.27407407407407408</v>
      </c>
      <c r="AZ45" s="71">
        <v>-0.14035087719298245</v>
      </c>
      <c r="BA45" s="72">
        <v>7</v>
      </c>
      <c r="BB45" s="68">
        <v>8</v>
      </c>
      <c r="BC45" s="72">
        <v>1</v>
      </c>
      <c r="BD45" s="68">
        <v>1</v>
      </c>
      <c r="BE45" s="72">
        <v>149</v>
      </c>
      <c r="BF45" s="73">
        <v>155</v>
      </c>
      <c r="BG45" s="70">
        <v>0.96129032258064517</v>
      </c>
      <c r="BH45" s="73">
        <v>95</v>
      </c>
      <c r="BI45" s="73">
        <v>98</v>
      </c>
      <c r="BJ45" s="98">
        <v>0.96938775510204078</v>
      </c>
    </row>
    <row r="46" spans="1:62" x14ac:dyDescent="0.25">
      <c r="A46" s="113"/>
      <c r="B46" s="114"/>
      <c r="C46" s="114" t="s">
        <v>74</v>
      </c>
      <c r="D46" s="114"/>
      <c r="E46" s="115"/>
      <c r="F46" s="87">
        <v>41</v>
      </c>
      <c r="G46" s="60">
        <v>29</v>
      </c>
      <c r="H46" s="61">
        <v>0</v>
      </c>
      <c r="I46" s="61">
        <v>29</v>
      </c>
      <c r="J46" s="56">
        <v>0</v>
      </c>
      <c r="K46" s="60">
        <v>0</v>
      </c>
      <c r="L46" s="61">
        <v>1</v>
      </c>
      <c r="M46" s="61">
        <v>5</v>
      </c>
      <c r="N46" s="61">
        <v>1</v>
      </c>
      <c r="O46" s="61">
        <v>0</v>
      </c>
      <c r="P46" s="61">
        <v>0</v>
      </c>
      <c r="Q46" s="61">
        <v>0</v>
      </c>
      <c r="R46" s="56">
        <v>5</v>
      </c>
      <c r="S46" s="87">
        <v>11</v>
      </c>
      <c r="T46" s="60">
        <v>2</v>
      </c>
      <c r="U46" s="61">
        <v>0</v>
      </c>
      <c r="V46" s="61">
        <v>0</v>
      </c>
      <c r="W46" s="61">
        <v>2</v>
      </c>
      <c r="X46" s="56">
        <v>0</v>
      </c>
      <c r="Y46" s="60">
        <v>34</v>
      </c>
      <c r="Z46" s="56">
        <v>8</v>
      </c>
      <c r="AA46" s="60">
        <v>61</v>
      </c>
      <c r="AB46" s="56">
        <v>8</v>
      </c>
      <c r="AC46" s="60">
        <v>124</v>
      </c>
      <c r="AD46" s="56">
        <v>40</v>
      </c>
      <c r="AE46" s="60">
        <v>1</v>
      </c>
      <c r="AF46" s="61">
        <v>0</v>
      </c>
      <c r="AG46" s="56">
        <v>24</v>
      </c>
      <c r="AH46" s="57">
        <v>0.79411764705882348</v>
      </c>
      <c r="AI46" s="58">
        <v>2.6470588235294117</v>
      </c>
      <c r="AJ46" s="58">
        <v>1.0327868852459017</v>
      </c>
      <c r="AK46" s="58">
        <v>0</v>
      </c>
      <c r="AL46" s="58">
        <v>4</v>
      </c>
      <c r="AM46" s="58">
        <v>4</v>
      </c>
      <c r="AN46" s="88">
        <v>4.2758620689655169</v>
      </c>
      <c r="AO46" s="58">
        <v>1.3793103448275863</v>
      </c>
      <c r="AP46" s="58">
        <v>0</v>
      </c>
      <c r="AQ46" s="58">
        <v>0.82758620689655171</v>
      </c>
      <c r="AR46" s="58">
        <v>0.14705882352941177</v>
      </c>
      <c r="AS46" s="57">
        <v>0.37931034482758619</v>
      </c>
      <c r="AT46" s="59">
        <v>0.31034482758620691</v>
      </c>
      <c r="AU46" s="60">
        <v>30</v>
      </c>
      <c r="AV46" s="61">
        <v>47</v>
      </c>
      <c r="AW46" s="56">
        <v>79</v>
      </c>
      <c r="AX46" s="57">
        <v>0.56666666666666665</v>
      </c>
      <c r="AY46" s="58">
        <v>1.6333333333333333</v>
      </c>
      <c r="AZ46" s="59">
        <v>0.68085106382978722</v>
      </c>
      <c r="BA46" s="60">
        <v>6</v>
      </c>
      <c r="BB46" s="56">
        <v>7</v>
      </c>
      <c r="BC46" s="60">
        <v>1</v>
      </c>
      <c r="BD46" s="56">
        <v>1</v>
      </c>
      <c r="BE46" s="60">
        <v>117</v>
      </c>
      <c r="BF46" s="61">
        <v>124</v>
      </c>
      <c r="BG46" s="58">
        <v>0.94354838709677424</v>
      </c>
      <c r="BH46" s="61">
        <v>75</v>
      </c>
      <c r="BI46" s="61">
        <v>79</v>
      </c>
      <c r="BJ46" s="59">
        <v>0.94936708860759489</v>
      </c>
    </row>
    <row r="47" spans="1:62" x14ac:dyDescent="0.25">
      <c r="A47" s="119"/>
      <c r="B47" s="120"/>
      <c r="C47" s="120"/>
      <c r="D47" s="120"/>
      <c r="E47" s="121" t="s">
        <v>68</v>
      </c>
      <c r="F47" s="94">
        <v>39</v>
      </c>
      <c r="G47" s="91">
        <v>28</v>
      </c>
      <c r="H47" s="92">
        <v>0</v>
      </c>
      <c r="I47" s="92">
        <v>28</v>
      </c>
      <c r="J47" s="93">
        <v>0</v>
      </c>
      <c r="K47" s="91">
        <v>0</v>
      </c>
      <c r="L47" s="92">
        <v>1</v>
      </c>
      <c r="M47" s="92">
        <v>4</v>
      </c>
      <c r="N47" s="92">
        <v>1</v>
      </c>
      <c r="O47" s="92">
        <v>0</v>
      </c>
      <c r="P47" s="92">
        <v>0</v>
      </c>
      <c r="Q47" s="92">
        <v>0</v>
      </c>
      <c r="R47" s="93">
        <v>5</v>
      </c>
      <c r="S47" s="94">
        <v>11</v>
      </c>
      <c r="T47" s="91">
        <v>1</v>
      </c>
      <c r="U47" s="92">
        <v>0</v>
      </c>
      <c r="V47" s="92">
        <v>0</v>
      </c>
      <c r="W47" s="92">
        <v>1</v>
      </c>
      <c r="X47" s="93">
        <v>0</v>
      </c>
      <c r="Y47" s="91">
        <v>28</v>
      </c>
      <c r="Z47" s="93">
        <v>7</v>
      </c>
      <c r="AA47" s="91">
        <v>53</v>
      </c>
      <c r="AB47" s="93">
        <v>7</v>
      </c>
      <c r="AC47" s="91">
        <v>121</v>
      </c>
      <c r="AD47" s="93">
        <v>38</v>
      </c>
      <c r="AE47" s="91">
        <v>1</v>
      </c>
      <c r="AF47" s="92">
        <v>0</v>
      </c>
      <c r="AG47" s="93">
        <v>24</v>
      </c>
      <c r="AH47" s="95">
        <v>0.8928571428571429</v>
      </c>
      <c r="AI47" s="96">
        <v>3.3214285714285716</v>
      </c>
      <c r="AJ47" s="96">
        <v>1.2830188679245282</v>
      </c>
      <c r="AK47" s="96">
        <v>0</v>
      </c>
      <c r="AL47" s="96">
        <v>4.4285714285714288</v>
      </c>
      <c r="AM47" s="96">
        <v>4.4285714285714288</v>
      </c>
      <c r="AN47" s="97">
        <v>4.3214285714285712</v>
      </c>
      <c r="AO47" s="96">
        <v>1.3571428571428572</v>
      </c>
      <c r="AP47" s="96">
        <v>0</v>
      </c>
      <c r="AQ47" s="96">
        <v>0.8571428571428571</v>
      </c>
      <c r="AR47" s="96">
        <v>0.15151515151515152</v>
      </c>
      <c r="AS47" s="95">
        <v>0.39285714285714285</v>
      </c>
      <c r="AT47" s="98">
        <v>0.35714285714285715</v>
      </c>
      <c r="AU47" s="91">
        <v>24</v>
      </c>
      <c r="AV47" s="92">
        <v>41</v>
      </c>
      <c r="AW47" s="68">
        <v>78</v>
      </c>
      <c r="AX47" s="69">
        <v>0.70833333333333337</v>
      </c>
      <c r="AY47" s="70">
        <v>2.25</v>
      </c>
      <c r="AZ47" s="71">
        <v>0.90243902439024393</v>
      </c>
      <c r="BA47" s="72">
        <v>6</v>
      </c>
      <c r="BB47" s="68">
        <v>7</v>
      </c>
      <c r="BC47" s="72">
        <v>1</v>
      </c>
      <c r="BD47" s="68">
        <v>1</v>
      </c>
      <c r="BE47" s="72">
        <v>114</v>
      </c>
      <c r="BF47" s="73">
        <v>121</v>
      </c>
      <c r="BG47" s="70">
        <v>0.94214876033057848</v>
      </c>
      <c r="BH47" s="73">
        <v>74</v>
      </c>
      <c r="BI47" s="73">
        <v>78</v>
      </c>
      <c r="BJ47" s="98">
        <v>0.94871794871794868</v>
      </c>
    </row>
    <row r="48" spans="1:62" x14ac:dyDescent="0.25">
      <c r="A48" s="110"/>
      <c r="B48" s="111" t="s">
        <v>78</v>
      </c>
      <c r="C48" s="111"/>
      <c r="D48" s="111"/>
      <c r="E48" s="112"/>
      <c r="F48" s="85">
        <v>830</v>
      </c>
      <c r="G48" s="54">
        <v>489</v>
      </c>
      <c r="H48" s="55">
        <v>0</v>
      </c>
      <c r="I48" s="55">
        <v>489</v>
      </c>
      <c r="J48" s="50">
        <v>0</v>
      </c>
      <c r="K48" s="54">
        <v>0</v>
      </c>
      <c r="L48" s="55">
        <v>27</v>
      </c>
      <c r="M48" s="55">
        <v>62</v>
      </c>
      <c r="N48" s="55">
        <v>38</v>
      </c>
      <c r="O48" s="55">
        <v>1</v>
      </c>
      <c r="P48" s="55">
        <v>0</v>
      </c>
      <c r="Q48" s="55">
        <v>10</v>
      </c>
      <c r="R48" s="50">
        <v>202</v>
      </c>
      <c r="S48" s="85">
        <v>128</v>
      </c>
      <c r="T48" s="54">
        <v>73</v>
      </c>
      <c r="U48" s="55">
        <v>0</v>
      </c>
      <c r="V48" s="55">
        <v>9</v>
      </c>
      <c r="W48" s="55">
        <v>30</v>
      </c>
      <c r="X48" s="50">
        <v>34</v>
      </c>
      <c r="Y48" s="54">
        <v>4511</v>
      </c>
      <c r="Z48" s="50">
        <v>611</v>
      </c>
      <c r="AA48" s="54">
        <v>4477</v>
      </c>
      <c r="AB48" s="50">
        <v>851</v>
      </c>
      <c r="AC48" s="54">
        <v>4183</v>
      </c>
      <c r="AD48" s="50">
        <v>658</v>
      </c>
      <c r="AE48" s="54">
        <v>217</v>
      </c>
      <c r="AF48" s="55">
        <v>122</v>
      </c>
      <c r="AG48" s="50">
        <v>471</v>
      </c>
      <c r="AH48" s="51">
        <v>-7.5371314564398138E-3</v>
      </c>
      <c r="AI48" s="52">
        <v>-7.2711150520948786E-2</v>
      </c>
      <c r="AJ48" s="52">
        <v>-6.5668974759883855E-2</v>
      </c>
      <c r="AK48" s="52">
        <v>0.39279869067103107</v>
      </c>
      <c r="AL48" s="52">
        <v>7.6923076923076927E-2</v>
      </c>
      <c r="AM48" s="52">
        <v>-0.22679200940070504</v>
      </c>
      <c r="AN48" s="86">
        <v>8.5541922290388541</v>
      </c>
      <c r="AO48" s="52">
        <v>1.3456032719836402</v>
      </c>
      <c r="AP48" s="52">
        <v>0.24948875255623723</v>
      </c>
      <c r="AQ48" s="52">
        <v>0.96319018404907975</v>
      </c>
      <c r="AR48" s="52">
        <v>0.29232995658465993</v>
      </c>
      <c r="AS48" s="51">
        <v>0.26175869120654399</v>
      </c>
      <c r="AT48" s="53">
        <v>0.11247443762781185</v>
      </c>
      <c r="AU48" s="54">
        <v>658</v>
      </c>
      <c r="AV48" s="55">
        <v>666</v>
      </c>
      <c r="AW48" s="50">
        <v>718</v>
      </c>
      <c r="AX48" s="51">
        <v>1.2158054711246201E-2</v>
      </c>
      <c r="AY48" s="52">
        <v>9.1185410334346503E-2</v>
      </c>
      <c r="AZ48" s="53">
        <v>7.8078078078078081E-2</v>
      </c>
      <c r="BA48" s="54">
        <v>11</v>
      </c>
      <c r="BB48" s="50">
        <v>11</v>
      </c>
      <c r="BC48" s="54">
        <v>2</v>
      </c>
      <c r="BD48" s="50">
        <v>2</v>
      </c>
      <c r="BE48" s="54">
        <v>3985</v>
      </c>
      <c r="BF48" s="55">
        <v>4183</v>
      </c>
      <c r="BG48" s="52">
        <v>0.95266555103992345</v>
      </c>
      <c r="BH48" s="55">
        <v>653</v>
      </c>
      <c r="BI48" s="55">
        <v>718</v>
      </c>
      <c r="BJ48" s="53">
        <v>0.90947075208913652</v>
      </c>
    </row>
    <row r="49" spans="1:62" x14ac:dyDescent="0.25">
      <c r="A49" s="113"/>
      <c r="B49" s="114"/>
      <c r="C49" s="114" t="s">
        <v>79</v>
      </c>
      <c r="D49" s="114"/>
      <c r="E49" s="115"/>
      <c r="F49" s="87">
        <v>272</v>
      </c>
      <c r="G49" s="60">
        <v>84</v>
      </c>
      <c r="H49" s="61">
        <v>0</v>
      </c>
      <c r="I49" s="61">
        <v>84</v>
      </c>
      <c r="J49" s="56">
        <v>0</v>
      </c>
      <c r="K49" s="60">
        <v>0</v>
      </c>
      <c r="L49" s="61">
        <v>3</v>
      </c>
      <c r="M49" s="61">
        <v>11</v>
      </c>
      <c r="N49" s="61">
        <v>7</v>
      </c>
      <c r="O49" s="61">
        <v>0</v>
      </c>
      <c r="P49" s="61">
        <v>0</v>
      </c>
      <c r="Q49" s="61">
        <v>4</v>
      </c>
      <c r="R49" s="56">
        <v>163</v>
      </c>
      <c r="S49" s="87">
        <v>22</v>
      </c>
      <c r="T49" s="60">
        <v>19</v>
      </c>
      <c r="U49" s="61">
        <v>0</v>
      </c>
      <c r="V49" s="61">
        <v>4</v>
      </c>
      <c r="W49" s="61">
        <v>5</v>
      </c>
      <c r="X49" s="56">
        <v>10</v>
      </c>
      <c r="Y49" s="60">
        <v>4511</v>
      </c>
      <c r="Z49" s="56">
        <v>611</v>
      </c>
      <c r="AA49" s="60">
        <v>3328</v>
      </c>
      <c r="AB49" s="56">
        <v>510</v>
      </c>
      <c r="AC49" s="60">
        <v>960</v>
      </c>
      <c r="AD49" s="56">
        <v>154</v>
      </c>
      <c r="AE49" s="60">
        <v>169</v>
      </c>
      <c r="AF49" s="61">
        <v>116</v>
      </c>
      <c r="AG49" s="56">
        <v>234</v>
      </c>
      <c r="AH49" s="57">
        <v>-0.26224783861671469</v>
      </c>
      <c r="AI49" s="58">
        <v>-0.78718687652405228</v>
      </c>
      <c r="AJ49" s="58">
        <v>-0.71153846153846156</v>
      </c>
      <c r="AK49" s="58">
        <v>-0.16530278232405893</v>
      </c>
      <c r="AL49" s="58">
        <v>-0.74795417348608839</v>
      </c>
      <c r="AM49" s="58">
        <v>-0.69803921568627447</v>
      </c>
      <c r="AN49" s="88">
        <v>11.428571428571429</v>
      </c>
      <c r="AO49" s="58">
        <v>1.8333333333333333</v>
      </c>
      <c r="AP49" s="58">
        <v>1.3809523809523809</v>
      </c>
      <c r="AQ49" s="58">
        <v>2.7857142857142856</v>
      </c>
      <c r="AR49" s="58">
        <v>0.65991902834008098</v>
      </c>
      <c r="AS49" s="57">
        <v>0.26190476190476192</v>
      </c>
      <c r="AT49" s="59">
        <v>3.5714285714285712E-2</v>
      </c>
      <c r="AU49" s="60">
        <v>658</v>
      </c>
      <c r="AV49" s="61">
        <v>579</v>
      </c>
      <c r="AW49" s="56">
        <v>327</v>
      </c>
      <c r="AX49" s="57">
        <v>-0.12006079027355623</v>
      </c>
      <c r="AY49" s="58">
        <v>-0.50303951367781152</v>
      </c>
      <c r="AZ49" s="59">
        <v>-0.43523316062176165</v>
      </c>
      <c r="BA49" s="60">
        <v>10</v>
      </c>
      <c r="BB49" s="56">
        <v>10</v>
      </c>
      <c r="BC49" s="60">
        <v>2</v>
      </c>
      <c r="BD49" s="56">
        <v>2</v>
      </c>
      <c r="BE49" s="60">
        <v>924</v>
      </c>
      <c r="BF49" s="61">
        <v>960</v>
      </c>
      <c r="BG49" s="58">
        <v>0.96250000000000002</v>
      </c>
      <c r="BH49" s="61">
        <v>306</v>
      </c>
      <c r="BI49" s="61">
        <v>327</v>
      </c>
      <c r="BJ49" s="59">
        <v>0.93577981651376152</v>
      </c>
    </row>
    <row r="50" spans="1:62" x14ac:dyDescent="0.25">
      <c r="A50" s="119"/>
      <c r="B50" s="120"/>
      <c r="C50" s="120"/>
      <c r="D50" s="120"/>
      <c r="E50" s="121" t="s">
        <v>68</v>
      </c>
      <c r="F50" s="94">
        <v>272</v>
      </c>
      <c r="G50" s="91">
        <v>84</v>
      </c>
      <c r="H50" s="92">
        <v>0</v>
      </c>
      <c r="I50" s="92">
        <v>84</v>
      </c>
      <c r="J50" s="93">
        <v>0</v>
      </c>
      <c r="K50" s="91">
        <v>0</v>
      </c>
      <c r="L50" s="92">
        <v>3</v>
      </c>
      <c r="M50" s="92">
        <v>11</v>
      </c>
      <c r="N50" s="92">
        <v>7</v>
      </c>
      <c r="O50" s="92">
        <v>0</v>
      </c>
      <c r="P50" s="92">
        <v>0</v>
      </c>
      <c r="Q50" s="92">
        <v>4</v>
      </c>
      <c r="R50" s="93">
        <v>163</v>
      </c>
      <c r="S50" s="94">
        <v>22</v>
      </c>
      <c r="T50" s="91">
        <v>19</v>
      </c>
      <c r="U50" s="92">
        <v>0</v>
      </c>
      <c r="V50" s="92">
        <v>4</v>
      </c>
      <c r="W50" s="92">
        <v>5</v>
      </c>
      <c r="X50" s="93">
        <v>10</v>
      </c>
      <c r="Y50" s="91">
        <v>4511</v>
      </c>
      <c r="Z50" s="93">
        <v>611</v>
      </c>
      <c r="AA50" s="91">
        <v>3328</v>
      </c>
      <c r="AB50" s="93">
        <v>510</v>
      </c>
      <c r="AC50" s="91">
        <v>960</v>
      </c>
      <c r="AD50" s="93">
        <v>154</v>
      </c>
      <c r="AE50" s="91">
        <v>169</v>
      </c>
      <c r="AF50" s="92">
        <v>116</v>
      </c>
      <c r="AG50" s="93">
        <v>234</v>
      </c>
      <c r="AH50" s="95">
        <v>-0.26224783861671469</v>
      </c>
      <c r="AI50" s="96">
        <v>-0.78718687652405228</v>
      </c>
      <c r="AJ50" s="96">
        <v>-0.71153846153846156</v>
      </c>
      <c r="AK50" s="96">
        <v>-0.16530278232405893</v>
      </c>
      <c r="AL50" s="96">
        <v>-0.74795417348608839</v>
      </c>
      <c r="AM50" s="96">
        <v>-0.69803921568627447</v>
      </c>
      <c r="AN50" s="97">
        <v>11.428571428571429</v>
      </c>
      <c r="AO50" s="96">
        <v>1.8333333333333333</v>
      </c>
      <c r="AP50" s="96">
        <v>1.3809523809523809</v>
      </c>
      <c r="AQ50" s="96">
        <v>2.7857142857142856</v>
      </c>
      <c r="AR50" s="96">
        <v>0.65991902834008098</v>
      </c>
      <c r="AS50" s="95">
        <v>0.26190476190476192</v>
      </c>
      <c r="AT50" s="98">
        <v>3.5714285714285712E-2</v>
      </c>
      <c r="AU50" s="91">
        <v>658</v>
      </c>
      <c r="AV50" s="92">
        <v>579</v>
      </c>
      <c r="AW50" s="68">
        <v>327</v>
      </c>
      <c r="AX50" s="69">
        <v>-0.12006079027355623</v>
      </c>
      <c r="AY50" s="70">
        <v>-0.50303951367781152</v>
      </c>
      <c r="AZ50" s="71">
        <v>-0.43523316062176165</v>
      </c>
      <c r="BA50" s="72">
        <v>10</v>
      </c>
      <c r="BB50" s="68">
        <v>10</v>
      </c>
      <c r="BC50" s="72">
        <v>2</v>
      </c>
      <c r="BD50" s="68">
        <v>2</v>
      </c>
      <c r="BE50" s="72">
        <v>924</v>
      </c>
      <c r="BF50" s="73">
        <v>960</v>
      </c>
      <c r="BG50" s="70">
        <v>0.96250000000000002</v>
      </c>
      <c r="BH50" s="73">
        <v>306</v>
      </c>
      <c r="BI50" s="73">
        <v>327</v>
      </c>
      <c r="BJ50" s="98">
        <v>0.93577981651376152</v>
      </c>
    </row>
    <row r="51" spans="1:62" x14ac:dyDescent="0.25">
      <c r="A51" s="113"/>
      <c r="B51" s="114"/>
      <c r="C51" s="114" t="s">
        <v>133</v>
      </c>
      <c r="D51" s="114"/>
      <c r="E51" s="115"/>
      <c r="F51" s="87">
        <v>41</v>
      </c>
      <c r="G51" s="60">
        <v>27</v>
      </c>
      <c r="H51" s="61">
        <v>0</v>
      </c>
      <c r="I51" s="61">
        <v>27</v>
      </c>
      <c r="J51" s="56">
        <v>0</v>
      </c>
      <c r="K51" s="60">
        <v>0</v>
      </c>
      <c r="L51" s="61">
        <v>3</v>
      </c>
      <c r="M51" s="61">
        <v>3</v>
      </c>
      <c r="N51" s="61">
        <v>3</v>
      </c>
      <c r="O51" s="61">
        <v>0</v>
      </c>
      <c r="P51" s="61">
        <v>0</v>
      </c>
      <c r="Q51" s="61">
        <v>0</v>
      </c>
      <c r="R51" s="56">
        <v>5</v>
      </c>
      <c r="S51" s="87">
        <v>7</v>
      </c>
      <c r="T51" s="60">
        <v>3</v>
      </c>
      <c r="U51" s="61">
        <v>0</v>
      </c>
      <c r="V51" s="61">
        <v>0</v>
      </c>
      <c r="W51" s="61">
        <v>2</v>
      </c>
      <c r="X51" s="56">
        <v>1</v>
      </c>
      <c r="Y51" s="60">
        <v>0</v>
      </c>
      <c r="Z51" s="56">
        <v>0</v>
      </c>
      <c r="AA51" s="60">
        <v>155</v>
      </c>
      <c r="AB51" s="56">
        <v>40</v>
      </c>
      <c r="AC51" s="60">
        <v>277</v>
      </c>
      <c r="AD51" s="56">
        <v>34</v>
      </c>
      <c r="AE51" s="60">
        <v>4</v>
      </c>
      <c r="AF51" s="61">
        <v>0</v>
      </c>
      <c r="AG51" s="56">
        <v>20</v>
      </c>
      <c r="AH51" s="57" t="e">
        <v>#DIV/0!</v>
      </c>
      <c r="AI51" s="58" t="e">
        <v>#DIV/0!</v>
      </c>
      <c r="AJ51" s="58">
        <v>0.7870967741935484</v>
      </c>
      <c r="AK51" s="58" t="e">
        <v>#DIV/0!</v>
      </c>
      <c r="AL51" s="58" t="e">
        <v>#DIV/0!</v>
      </c>
      <c r="AM51" s="58">
        <v>-0.15</v>
      </c>
      <c r="AN51" s="88">
        <v>10.25925925925926</v>
      </c>
      <c r="AO51" s="58">
        <v>1.2592592592592593</v>
      </c>
      <c r="AP51" s="58">
        <v>0</v>
      </c>
      <c r="AQ51" s="58">
        <v>0.7407407407407407</v>
      </c>
      <c r="AR51" s="58">
        <v>0.15625</v>
      </c>
      <c r="AS51" s="57">
        <v>0.25925925925925924</v>
      </c>
      <c r="AT51" s="59">
        <v>0.14814814814814814</v>
      </c>
      <c r="AU51" s="60">
        <v>0</v>
      </c>
      <c r="AV51" s="61">
        <v>76</v>
      </c>
      <c r="AW51" s="56">
        <v>138</v>
      </c>
      <c r="AX51" s="57" t="e">
        <v>#DIV/0!</v>
      </c>
      <c r="AY51" s="58" t="e">
        <v>#DIV/0!</v>
      </c>
      <c r="AZ51" s="59">
        <v>0.81578947368421051</v>
      </c>
      <c r="BA51" s="60">
        <v>11</v>
      </c>
      <c r="BB51" s="56">
        <v>10</v>
      </c>
      <c r="BC51" s="60">
        <v>2</v>
      </c>
      <c r="BD51" s="56">
        <v>2</v>
      </c>
      <c r="BE51" s="60">
        <v>272</v>
      </c>
      <c r="BF51" s="61">
        <v>277</v>
      </c>
      <c r="BG51" s="58">
        <v>0.98194945848375448</v>
      </c>
      <c r="BH51" s="61">
        <v>133</v>
      </c>
      <c r="BI51" s="61">
        <v>138</v>
      </c>
      <c r="BJ51" s="59">
        <v>0.96376811594202894</v>
      </c>
    </row>
    <row r="52" spans="1:62" x14ac:dyDescent="0.25">
      <c r="A52" s="119"/>
      <c r="B52" s="120"/>
      <c r="C52" s="120"/>
      <c r="D52" s="120"/>
      <c r="E52" s="121" t="s">
        <v>68</v>
      </c>
      <c r="F52" s="94">
        <v>40</v>
      </c>
      <c r="G52" s="91">
        <v>26</v>
      </c>
      <c r="H52" s="92">
        <v>0</v>
      </c>
      <c r="I52" s="92">
        <v>26</v>
      </c>
      <c r="J52" s="93">
        <v>0</v>
      </c>
      <c r="K52" s="91">
        <v>0</v>
      </c>
      <c r="L52" s="92">
        <v>3</v>
      </c>
      <c r="M52" s="92">
        <v>3</v>
      </c>
      <c r="N52" s="92">
        <v>3</v>
      </c>
      <c r="O52" s="92">
        <v>0</v>
      </c>
      <c r="P52" s="92">
        <v>0</v>
      </c>
      <c r="Q52" s="92">
        <v>0</v>
      </c>
      <c r="R52" s="93">
        <v>5</v>
      </c>
      <c r="S52" s="94">
        <v>6</v>
      </c>
      <c r="T52" s="91">
        <v>3</v>
      </c>
      <c r="U52" s="92">
        <v>0</v>
      </c>
      <c r="V52" s="92">
        <v>0</v>
      </c>
      <c r="W52" s="92">
        <v>2</v>
      </c>
      <c r="X52" s="93">
        <v>1</v>
      </c>
      <c r="Y52" s="91">
        <v>0</v>
      </c>
      <c r="Z52" s="93">
        <v>0</v>
      </c>
      <c r="AA52" s="91">
        <v>155</v>
      </c>
      <c r="AB52" s="93">
        <v>40</v>
      </c>
      <c r="AC52" s="91">
        <v>275</v>
      </c>
      <c r="AD52" s="93">
        <v>33</v>
      </c>
      <c r="AE52" s="91">
        <v>4</v>
      </c>
      <c r="AF52" s="92">
        <v>0</v>
      </c>
      <c r="AG52" s="93">
        <v>20</v>
      </c>
      <c r="AH52" s="95" t="e">
        <v>#DIV/0!</v>
      </c>
      <c r="AI52" s="96" t="e">
        <v>#DIV/0!</v>
      </c>
      <c r="AJ52" s="96">
        <v>0.77419354838709675</v>
      </c>
      <c r="AK52" s="96" t="e">
        <v>#DIV/0!</v>
      </c>
      <c r="AL52" s="96" t="e">
        <v>#DIV/0!</v>
      </c>
      <c r="AM52" s="96">
        <v>-0.17499999999999999</v>
      </c>
      <c r="AN52" s="97">
        <v>10.576923076923077</v>
      </c>
      <c r="AO52" s="96">
        <v>1.2692307692307692</v>
      </c>
      <c r="AP52" s="96">
        <v>0</v>
      </c>
      <c r="AQ52" s="96">
        <v>0.76923076923076927</v>
      </c>
      <c r="AR52" s="96">
        <v>0.16129032258064516</v>
      </c>
      <c r="AS52" s="95">
        <v>0.23076923076923078</v>
      </c>
      <c r="AT52" s="98">
        <v>0.11538461538461539</v>
      </c>
      <c r="AU52" s="91">
        <v>0</v>
      </c>
      <c r="AV52" s="92">
        <v>76</v>
      </c>
      <c r="AW52" s="68">
        <v>138</v>
      </c>
      <c r="AX52" s="69" t="e">
        <v>#DIV/0!</v>
      </c>
      <c r="AY52" s="70" t="e">
        <v>#DIV/0!</v>
      </c>
      <c r="AZ52" s="71">
        <v>0.81578947368421051</v>
      </c>
      <c r="BA52" s="72">
        <v>11</v>
      </c>
      <c r="BB52" s="68">
        <v>10</v>
      </c>
      <c r="BC52" s="72">
        <v>2</v>
      </c>
      <c r="BD52" s="68">
        <v>2</v>
      </c>
      <c r="BE52" s="72">
        <v>270</v>
      </c>
      <c r="BF52" s="73">
        <v>275</v>
      </c>
      <c r="BG52" s="70">
        <v>0.98181818181818181</v>
      </c>
      <c r="BH52" s="73">
        <v>133</v>
      </c>
      <c r="BI52" s="73">
        <v>138</v>
      </c>
      <c r="BJ52" s="98">
        <v>0.96376811594202894</v>
      </c>
    </row>
    <row r="53" spans="1:62" x14ac:dyDescent="0.25">
      <c r="A53" s="113"/>
      <c r="B53" s="114"/>
      <c r="C53" s="114" t="s">
        <v>134</v>
      </c>
      <c r="D53" s="114"/>
      <c r="E53" s="115"/>
      <c r="F53" s="87">
        <v>142</v>
      </c>
      <c r="G53" s="60">
        <v>114</v>
      </c>
      <c r="H53" s="61">
        <v>0</v>
      </c>
      <c r="I53" s="61">
        <v>114</v>
      </c>
      <c r="J53" s="56">
        <v>0</v>
      </c>
      <c r="K53" s="60">
        <v>0</v>
      </c>
      <c r="L53" s="61">
        <v>4</v>
      </c>
      <c r="M53" s="61">
        <v>5</v>
      </c>
      <c r="N53" s="61">
        <v>4</v>
      </c>
      <c r="O53" s="61">
        <v>1</v>
      </c>
      <c r="P53" s="61">
        <v>0</v>
      </c>
      <c r="Q53" s="61">
        <v>5</v>
      </c>
      <c r="R53" s="56">
        <v>8</v>
      </c>
      <c r="S53" s="87">
        <v>36</v>
      </c>
      <c r="T53" s="60">
        <v>21</v>
      </c>
      <c r="U53" s="61">
        <v>0</v>
      </c>
      <c r="V53" s="61">
        <v>4</v>
      </c>
      <c r="W53" s="61">
        <v>1</v>
      </c>
      <c r="X53" s="56">
        <v>16</v>
      </c>
      <c r="Y53" s="60">
        <v>0</v>
      </c>
      <c r="Z53" s="56">
        <v>0</v>
      </c>
      <c r="AA53" s="60">
        <v>98</v>
      </c>
      <c r="AB53" s="56">
        <v>40</v>
      </c>
      <c r="AC53" s="60">
        <v>808</v>
      </c>
      <c r="AD53" s="56">
        <v>136</v>
      </c>
      <c r="AE53" s="60">
        <v>10</v>
      </c>
      <c r="AF53" s="61">
        <v>6</v>
      </c>
      <c r="AG53" s="56">
        <v>47</v>
      </c>
      <c r="AH53" s="57" t="e">
        <v>#DIV/0!</v>
      </c>
      <c r="AI53" s="58" t="e">
        <v>#DIV/0!</v>
      </c>
      <c r="AJ53" s="58">
        <v>7.2448979591836737</v>
      </c>
      <c r="AK53" s="58" t="e">
        <v>#DIV/0!</v>
      </c>
      <c r="AL53" s="58" t="e">
        <v>#DIV/0!</v>
      </c>
      <c r="AM53" s="58">
        <v>2.4</v>
      </c>
      <c r="AN53" s="88">
        <v>7.0877192982456139</v>
      </c>
      <c r="AO53" s="58">
        <v>1.1929824561403508</v>
      </c>
      <c r="AP53" s="58">
        <v>5.2631578947368418E-2</v>
      </c>
      <c r="AQ53" s="58">
        <v>0.41228070175438597</v>
      </c>
      <c r="AR53" s="58">
        <v>6.5573770491803282E-2</v>
      </c>
      <c r="AS53" s="57">
        <v>0.31578947368421051</v>
      </c>
      <c r="AT53" s="59">
        <v>0.13157894736842105</v>
      </c>
      <c r="AU53" s="60">
        <v>0</v>
      </c>
      <c r="AV53" s="61">
        <v>35</v>
      </c>
      <c r="AW53" s="56">
        <v>210</v>
      </c>
      <c r="AX53" s="57" t="e">
        <v>#DIV/0!</v>
      </c>
      <c r="AY53" s="58" t="e">
        <v>#DIV/0!</v>
      </c>
      <c r="AZ53" s="59">
        <v>5</v>
      </c>
      <c r="BA53" s="60">
        <v>11</v>
      </c>
      <c r="BB53" s="56">
        <v>11</v>
      </c>
      <c r="BC53" s="60">
        <v>1</v>
      </c>
      <c r="BD53" s="56">
        <v>1</v>
      </c>
      <c r="BE53" s="60">
        <v>787</v>
      </c>
      <c r="BF53" s="61">
        <v>808</v>
      </c>
      <c r="BG53" s="58">
        <v>0.97400990099009899</v>
      </c>
      <c r="BH53" s="61">
        <v>201</v>
      </c>
      <c r="BI53" s="61">
        <v>210</v>
      </c>
      <c r="BJ53" s="59">
        <v>0.95714285714285718</v>
      </c>
    </row>
    <row r="54" spans="1:62" x14ac:dyDescent="0.25">
      <c r="A54" s="119"/>
      <c r="B54" s="120"/>
      <c r="C54" s="120"/>
      <c r="D54" s="120"/>
      <c r="E54" s="121" t="s">
        <v>68</v>
      </c>
      <c r="F54" s="94">
        <v>142</v>
      </c>
      <c r="G54" s="91">
        <v>114</v>
      </c>
      <c r="H54" s="92">
        <v>0</v>
      </c>
      <c r="I54" s="92">
        <v>114</v>
      </c>
      <c r="J54" s="93">
        <v>0</v>
      </c>
      <c r="K54" s="91">
        <v>0</v>
      </c>
      <c r="L54" s="92">
        <v>4</v>
      </c>
      <c r="M54" s="92">
        <v>5</v>
      </c>
      <c r="N54" s="92">
        <v>4</v>
      </c>
      <c r="O54" s="92">
        <v>1</v>
      </c>
      <c r="P54" s="92">
        <v>0</v>
      </c>
      <c r="Q54" s="92">
        <v>5</v>
      </c>
      <c r="R54" s="93">
        <v>8</v>
      </c>
      <c r="S54" s="94">
        <v>36</v>
      </c>
      <c r="T54" s="91">
        <v>21</v>
      </c>
      <c r="U54" s="92">
        <v>0</v>
      </c>
      <c r="V54" s="92">
        <v>4</v>
      </c>
      <c r="W54" s="92">
        <v>1</v>
      </c>
      <c r="X54" s="93">
        <v>16</v>
      </c>
      <c r="Y54" s="91">
        <v>0</v>
      </c>
      <c r="Z54" s="93">
        <v>0</v>
      </c>
      <c r="AA54" s="91">
        <v>98</v>
      </c>
      <c r="AB54" s="93">
        <v>40</v>
      </c>
      <c r="AC54" s="91">
        <v>808</v>
      </c>
      <c r="AD54" s="93">
        <v>136</v>
      </c>
      <c r="AE54" s="91">
        <v>10</v>
      </c>
      <c r="AF54" s="92">
        <v>6</v>
      </c>
      <c r="AG54" s="93">
        <v>47</v>
      </c>
      <c r="AH54" s="95" t="e">
        <v>#DIV/0!</v>
      </c>
      <c r="AI54" s="96" t="e">
        <v>#DIV/0!</v>
      </c>
      <c r="AJ54" s="96">
        <v>7.2448979591836737</v>
      </c>
      <c r="AK54" s="96" t="e">
        <v>#DIV/0!</v>
      </c>
      <c r="AL54" s="96" t="e">
        <v>#DIV/0!</v>
      </c>
      <c r="AM54" s="96">
        <v>2.4</v>
      </c>
      <c r="AN54" s="97">
        <v>7.0877192982456139</v>
      </c>
      <c r="AO54" s="96">
        <v>1.1929824561403508</v>
      </c>
      <c r="AP54" s="96">
        <v>5.2631578947368418E-2</v>
      </c>
      <c r="AQ54" s="96">
        <v>0.41228070175438597</v>
      </c>
      <c r="AR54" s="96">
        <v>6.5573770491803282E-2</v>
      </c>
      <c r="AS54" s="95">
        <v>0.31578947368421051</v>
      </c>
      <c r="AT54" s="98">
        <v>0.13157894736842105</v>
      </c>
      <c r="AU54" s="91">
        <v>0</v>
      </c>
      <c r="AV54" s="92">
        <v>35</v>
      </c>
      <c r="AW54" s="68">
        <v>210</v>
      </c>
      <c r="AX54" s="69" t="e">
        <v>#DIV/0!</v>
      </c>
      <c r="AY54" s="70" t="e">
        <v>#DIV/0!</v>
      </c>
      <c r="AZ54" s="71">
        <v>5</v>
      </c>
      <c r="BA54" s="72">
        <v>11</v>
      </c>
      <c r="BB54" s="68">
        <v>11</v>
      </c>
      <c r="BC54" s="72">
        <v>1</v>
      </c>
      <c r="BD54" s="68">
        <v>1</v>
      </c>
      <c r="BE54" s="72">
        <v>787</v>
      </c>
      <c r="BF54" s="73">
        <v>808</v>
      </c>
      <c r="BG54" s="70">
        <v>0.97400990099009899</v>
      </c>
      <c r="BH54" s="73">
        <v>201</v>
      </c>
      <c r="BI54" s="73">
        <v>210</v>
      </c>
      <c r="BJ54" s="98">
        <v>0.95714285714285718</v>
      </c>
    </row>
    <row r="55" spans="1:62" x14ac:dyDescent="0.25">
      <c r="A55" s="113"/>
      <c r="B55" s="114"/>
      <c r="C55" s="114" t="s">
        <v>135</v>
      </c>
      <c r="D55" s="114"/>
      <c r="E55" s="115"/>
      <c r="F55" s="87">
        <v>47</v>
      </c>
      <c r="G55" s="60">
        <v>29</v>
      </c>
      <c r="H55" s="61">
        <v>0</v>
      </c>
      <c r="I55" s="61">
        <v>29</v>
      </c>
      <c r="J55" s="56">
        <v>0</v>
      </c>
      <c r="K55" s="60">
        <v>0</v>
      </c>
      <c r="L55" s="61">
        <v>3</v>
      </c>
      <c r="M55" s="61">
        <v>2</v>
      </c>
      <c r="N55" s="61">
        <v>3</v>
      </c>
      <c r="O55" s="61">
        <v>0</v>
      </c>
      <c r="P55" s="61">
        <v>0</v>
      </c>
      <c r="Q55" s="61">
        <v>0</v>
      </c>
      <c r="R55" s="56">
        <v>10</v>
      </c>
      <c r="S55" s="87">
        <v>17</v>
      </c>
      <c r="T55" s="60">
        <v>1</v>
      </c>
      <c r="U55" s="61">
        <v>0</v>
      </c>
      <c r="V55" s="61">
        <v>0</v>
      </c>
      <c r="W55" s="61">
        <v>1</v>
      </c>
      <c r="X55" s="56">
        <v>0</v>
      </c>
      <c r="Y55" s="60">
        <v>0</v>
      </c>
      <c r="Z55" s="56">
        <v>0</v>
      </c>
      <c r="AA55" s="60">
        <v>97</v>
      </c>
      <c r="AB55" s="56">
        <v>29</v>
      </c>
      <c r="AC55" s="60">
        <v>176</v>
      </c>
      <c r="AD55" s="56">
        <v>39</v>
      </c>
      <c r="AE55" s="60">
        <v>7</v>
      </c>
      <c r="AF55" s="61">
        <v>0</v>
      </c>
      <c r="AG55" s="56">
        <v>29</v>
      </c>
      <c r="AH55" s="57" t="e">
        <v>#DIV/0!</v>
      </c>
      <c r="AI55" s="58" t="e">
        <v>#DIV/0!</v>
      </c>
      <c r="AJ55" s="58">
        <v>0.81443298969072164</v>
      </c>
      <c r="AK55" s="58" t="e">
        <v>#DIV/0!</v>
      </c>
      <c r="AL55" s="58" t="e">
        <v>#DIV/0!</v>
      </c>
      <c r="AM55" s="58">
        <v>0.34482758620689657</v>
      </c>
      <c r="AN55" s="88">
        <v>6.068965517241379</v>
      </c>
      <c r="AO55" s="58">
        <v>1.3448275862068966</v>
      </c>
      <c r="AP55" s="58">
        <v>0</v>
      </c>
      <c r="AQ55" s="58">
        <v>1</v>
      </c>
      <c r="AR55" s="58">
        <v>0.25641025641025639</v>
      </c>
      <c r="AS55" s="57">
        <v>0.58620689655172409</v>
      </c>
      <c r="AT55" s="59">
        <v>0.55172413793103448</v>
      </c>
      <c r="AU55" s="60">
        <v>0</v>
      </c>
      <c r="AV55" s="61">
        <v>56</v>
      </c>
      <c r="AW55" s="56">
        <v>98</v>
      </c>
      <c r="AX55" s="57" t="e">
        <v>#DIV/0!</v>
      </c>
      <c r="AY55" s="58" t="e">
        <v>#DIV/0!</v>
      </c>
      <c r="AZ55" s="59">
        <v>0.75</v>
      </c>
      <c r="BA55" s="60">
        <v>7</v>
      </c>
      <c r="BB55" s="56">
        <v>8</v>
      </c>
      <c r="BC55" s="60">
        <v>1</v>
      </c>
      <c r="BD55" s="56">
        <v>1</v>
      </c>
      <c r="BE55" s="60">
        <v>151</v>
      </c>
      <c r="BF55" s="61">
        <v>176</v>
      </c>
      <c r="BG55" s="58">
        <v>0.85795454545454541</v>
      </c>
      <c r="BH55" s="61">
        <v>89</v>
      </c>
      <c r="BI55" s="61">
        <v>98</v>
      </c>
      <c r="BJ55" s="59">
        <v>0.90816326530612246</v>
      </c>
    </row>
    <row r="56" spans="1:62" x14ac:dyDescent="0.25">
      <c r="A56" s="119"/>
      <c r="B56" s="120"/>
      <c r="C56" s="120"/>
      <c r="D56" s="120"/>
      <c r="E56" s="121" t="s">
        <v>68</v>
      </c>
      <c r="F56" s="94">
        <v>47</v>
      </c>
      <c r="G56" s="91">
        <v>29</v>
      </c>
      <c r="H56" s="92">
        <v>0</v>
      </c>
      <c r="I56" s="92">
        <v>29</v>
      </c>
      <c r="J56" s="93">
        <v>0</v>
      </c>
      <c r="K56" s="91">
        <v>0</v>
      </c>
      <c r="L56" s="92">
        <v>3</v>
      </c>
      <c r="M56" s="92">
        <v>2</v>
      </c>
      <c r="N56" s="92">
        <v>3</v>
      </c>
      <c r="O56" s="92">
        <v>0</v>
      </c>
      <c r="P56" s="92">
        <v>0</v>
      </c>
      <c r="Q56" s="92">
        <v>0</v>
      </c>
      <c r="R56" s="93">
        <v>10</v>
      </c>
      <c r="S56" s="94">
        <v>17</v>
      </c>
      <c r="T56" s="91">
        <v>1</v>
      </c>
      <c r="U56" s="92">
        <v>0</v>
      </c>
      <c r="V56" s="92">
        <v>0</v>
      </c>
      <c r="W56" s="92">
        <v>1</v>
      </c>
      <c r="X56" s="93">
        <v>0</v>
      </c>
      <c r="Y56" s="91">
        <v>0</v>
      </c>
      <c r="Z56" s="93">
        <v>0</v>
      </c>
      <c r="AA56" s="91">
        <v>97</v>
      </c>
      <c r="AB56" s="93">
        <v>29</v>
      </c>
      <c r="AC56" s="91">
        <v>176</v>
      </c>
      <c r="AD56" s="93">
        <v>39</v>
      </c>
      <c r="AE56" s="91">
        <v>7</v>
      </c>
      <c r="AF56" s="92">
        <v>0</v>
      </c>
      <c r="AG56" s="93">
        <v>29</v>
      </c>
      <c r="AH56" s="95" t="e">
        <v>#DIV/0!</v>
      </c>
      <c r="AI56" s="96" t="e">
        <v>#DIV/0!</v>
      </c>
      <c r="AJ56" s="96">
        <v>0.81443298969072164</v>
      </c>
      <c r="AK56" s="96" t="e">
        <v>#DIV/0!</v>
      </c>
      <c r="AL56" s="96" t="e">
        <v>#DIV/0!</v>
      </c>
      <c r="AM56" s="96">
        <v>0.34482758620689657</v>
      </c>
      <c r="AN56" s="97">
        <v>6.068965517241379</v>
      </c>
      <c r="AO56" s="96">
        <v>1.3448275862068966</v>
      </c>
      <c r="AP56" s="96">
        <v>0</v>
      </c>
      <c r="AQ56" s="96">
        <v>1</v>
      </c>
      <c r="AR56" s="96">
        <v>0.25641025641025639</v>
      </c>
      <c r="AS56" s="95">
        <v>0.58620689655172409</v>
      </c>
      <c r="AT56" s="98">
        <v>0.55172413793103448</v>
      </c>
      <c r="AU56" s="91">
        <v>0</v>
      </c>
      <c r="AV56" s="92">
        <v>56</v>
      </c>
      <c r="AW56" s="68">
        <v>98</v>
      </c>
      <c r="AX56" s="69" t="e">
        <v>#DIV/0!</v>
      </c>
      <c r="AY56" s="70" t="e">
        <v>#DIV/0!</v>
      </c>
      <c r="AZ56" s="71">
        <v>0.75</v>
      </c>
      <c r="BA56" s="72">
        <v>7</v>
      </c>
      <c r="BB56" s="68">
        <v>8</v>
      </c>
      <c r="BC56" s="72">
        <v>1</v>
      </c>
      <c r="BD56" s="68">
        <v>1</v>
      </c>
      <c r="BE56" s="72">
        <v>151</v>
      </c>
      <c r="BF56" s="73">
        <v>176</v>
      </c>
      <c r="BG56" s="70">
        <v>0.85795454545454541</v>
      </c>
      <c r="BH56" s="73">
        <v>89</v>
      </c>
      <c r="BI56" s="73">
        <v>98</v>
      </c>
      <c r="BJ56" s="98">
        <v>0.90816326530612246</v>
      </c>
    </row>
    <row r="57" spans="1:62" x14ac:dyDescent="0.25">
      <c r="A57" s="113"/>
      <c r="B57" s="114"/>
      <c r="C57" s="114" t="s">
        <v>136</v>
      </c>
      <c r="D57" s="114"/>
      <c r="E57" s="115"/>
      <c r="F57" s="87">
        <v>328</v>
      </c>
      <c r="G57" s="60">
        <v>235</v>
      </c>
      <c r="H57" s="61">
        <v>0</v>
      </c>
      <c r="I57" s="61">
        <v>235</v>
      </c>
      <c r="J57" s="56">
        <v>0</v>
      </c>
      <c r="K57" s="60">
        <v>0</v>
      </c>
      <c r="L57" s="61">
        <v>14</v>
      </c>
      <c r="M57" s="61">
        <v>41</v>
      </c>
      <c r="N57" s="61">
        <v>21</v>
      </c>
      <c r="O57" s="61">
        <v>0</v>
      </c>
      <c r="P57" s="61">
        <v>0</v>
      </c>
      <c r="Q57" s="61">
        <v>1</v>
      </c>
      <c r="R57" s="56">
        <v>16</v>
      </c>
      <c r="S57" s="87">
        <v>46</v>
      </c>
      <c r="T57" s="60">
        <v>29</v>
      </c>
      <c r="U57" s="61">
        <v>0</v>
      </c>
      <c r="V57" s="61">
        <v>1</v>
      </c>
      <c r="W57" s="61">
        <v>21</v>
      </c>
      <c r="X57" s="56">
        <v>7</v>
      </c>
      <c r="Y57" s="60">
        <v>0</v>
      </c>
      <c r="Z57" s="56">
        <v>0</v>
      </c>
      <c r="AA57" s="60">
        <v>799</v>
      </c>
      <c r="AB57" s="56">
        <v>232</v>
      </c>
      <c r="AC57" s="60">
        <v>1962</v>
      </c>
      <c r="AD57" s="56">
        <v>295</v>
      </c>
      <c r="AE57" s="60">
        <v>27</v>
      </c>
      <c r="AF57" s="61">
        <v>0</v>
      </c>
      <c r="AG57" s="56">
        <v>141</v>
      </c>
      <c r="AH57" s="57" t="e">
        <v>#DIV/0!</v>
      </c>
      <c r="AI57" s="58" t="e">
        <v>#DIV/0!</v>
      </c>
      <c r="AJ57" s="58">
        <v>1.4555694618272841</v>
      </c>
      <c r="AK57" s="58" t="e">
        <v>#DIV/0!</v>
      </c>
      <c r="AL57" s="58" t="e">
        <v>#DIV/0!</v>
      </c>
      <c r="AM57" s="58">
        <v>0.27155172413793105</v>
      </c>
      <c r="AN57" s="88">
        <v>8.3489361702127667</v>
      </c>
      <c r="AO57" s="58">
        <v>1.2553191489361701</v>
      </c>
      <c r="AP57" s="58">
        <v>0</v>
      </c>
      <c r="AQ57" s="58">
        <v>0.6</v>
      </c>
      <c r="AR57" s="58">
        <v>6.3745019920318724E-2</v>
      </c>
      <c r="AS57" s="57">
        <v>0.19574468085106383</v>
      </c>
      <c r="AT57" s="59">
        <v>7.2340425531914887E-2</v>
      </c>
      <c r="AU57" s="60">
        <v>0</v>
      </c>
      <c r="AV57" s="61">
        <v>211</v>
      </c>
      <c r="AW57" s="56">
        <v>457</v>
      </c>
      <c r="AX57" s="57" t="e">
        <v>#DIV/0!</v>
      </c>
      <c r="AY57" s="58" t="e">
        <v>#DIV/0!</v>
      </c>
      <c r="AZ57" s="59">
        <v>1.1658767772511849</v>
      </c>
      <c r="BA57" s="60">
        <v>11</v>
      </c>
      <c r="BB57" s="56">
        <v>11</v>
      </c>
      <c r="BC57" s="60">
        <v>2</v>
      </c>
      <c r="BD57" s="56">
        <v>2</v>
      </c>
      <c r="BE57" s="60">
        <v>1851</v>
      </c>
      <c r="BF57" s="61">
        <v>1962</v>
      </c>
      <c r="BG57" s="58">
        <v>0.94342507645259943</v>
      </c>
      <c r="BH57" s="61">
        <v>423</v>
      </c>
      <c r="BI57" s="61">
        <v>457</v>
      </c>
      <c r="BJ57" s="59">
        <v>0.92560175054704596</v>
      </c>
    </row>
    <row r="58" spans="1:62" x14ac:dyDescent="0.25">
      <c r="A58" s="119"/>
      <c r="B58" s="120"/>
      <c r="C58" s="120"/>
      <c r="D58" s="120"/>
      <c r="E58" s="121" t="s">
        <v>68</v>
      </c>
      <c r="F58" s="94">
        <v>328</v>
      </c>
      <c r="G58" s="91">
        <v>235</v>
      </c>
      <c r="H58" s="92">
        <v>0</v>
      </c>
      <c r="I58" s="92">
        <v>235</v>
      </c>
      <c r="J58" s="93">
        <v>0</v>
      </c>
      <c r="K58" s="91">
        <v>0</v>
      </c>
      <c r="L58" s="92">
        <v>14</v>
      </c>
      <c r="M58" s="92">
        <v>41</v>
      </c>
      <c r="N58" s="92">
        <v>21</v>
      </c>
      <c r="O58" s="92">
        <v>0</v>
      </c>
      <c r="P58" s="92">
        <v>0</v>
      </c>
      <c r="Q58" s="92">
        <v>1</v>
      </c>
      <c r="R58" s="93">
        <v>16</v>
      </c>
      <c r="S58" s="94">
        <v>46</v>
      </c>
      <c r="T58" s="91">
        <v>29</v>
      </c>
      <c r="U58" s="92">
        <v>0</v>
      </c>
      <c r="V58" s="92">
        <v>1</v>
      </c>
      <c r="W58" s="92">
        <v>21</v>
      </c>
      <c r="X58" s="93">
        <v>7</v>
      </c>
      <c r="Y58" s="91">
        <v>0</v>
      </c>
      <c r="Z58" s="93">
        <v>0</v>
      </c>
      <c r="AA58" s="91">
        <v>799</v>
      </c>
      <c r="AB58" s="93">
        <v>232</v>
      </c>
      <c r="AC58" s="91">
        <v>1962</v>
      </c>
      <c r="AD58" s="93">
        <v>295</v>
      </c>
      <c r="AE58" s="91">
        <v>27</v>
      </c>
      <c r="AF58" s="92">
        <v>0</v>
      </c>
      <c r="AG58" s="93">
        <v>141</v>
      </c>
      <c r="AH58" s="95" t="e">
        <v>#DIV/0!</v>
      </c>
      <c r="AI58" s="96" t="e">
        <v>#DIV/0!</v>
      </c>
      <c r="AJ58" s="96">
        <v>1.4555694618272841</v>
      </c>
      <c r="AK58" s="96" t="e">
        <v>#DIV/0!</v>
      </c>
      <c r="AL58" s="96" t="e">
        <v>#DIV/0!</v>
      </c>
      <c r="AM58" s="96">
        <v>0.27155172413793105</v>
      </c>
      <c r="AN58" s="97">
        <v>8.3489361702127667</v>
      </c>
      <c r="AO58" s="96">
        <v>1.2553191489361701</v>
      </c>
      <c r="AP58" s="96">
        <v>0</v>
      </c>
      <c r="AQ58" s="96">
        <v>0.6</v>
      </c>
      <c r="AR58" s="96">
        <v>6.3745019920318724E-2</v>
      </c>
      <c r="AS58" s="95">
        <v>0.19574468085106383</v>
      </c>
      <c r="AT58" s="98">
        <v>7.2340425531914887E-2</v>
      </c>
      <c r="AU58" s="91">
        <v>0</v>
      </c>
      <c r="AV58" s="92">
        <v>211</v>
      </c>
      <c r="AW58" s="68">
        <v>457</v>
      </c>
      <c r="AX58" s="69" t="e">
        <v>#DIV/0!</v>
      </c>
      <c r="AY58" s="70" t="e">
        <v>#DIV/0!</v>
      </c>
      <c r="AZ58" s="71">
        <v>1.1658767772511849</v>
      </c>
      <c r="BA58" s="72">
        <v>11</v>
      </c>
      <c r="BB58" s="68">
        <v>11</v>
      </c>
      <c r="BC58" s="72">
        <v>2</v>
      </c>
      <c r="BD58" s="68">
        <v>2</v>
      </c>
      <c r="BE58" s="72">
        <v>1851</v>
      </c>
      <c r="BF58" s="73">
        <v>1962</v>
      </c>
      <c r="BG58" s="70">
        <v>0.94342507645259943</v>
      </c>
      <c r="BH58" s="73">
        <v>423</v>
      </c>
      <c r="BI58" s="73">
        <v>457</v>
      </c>
      <c r="BJ58" s="98">
        <v>0.92560175054704596</v>
      </c>
    </row>
    <row r="59" spans="1:62" x14ac:dyDescent="0.25">
      <c r="A59" s="110"/>
      <c r="B59" s="111" t="s">
        <v>137</v>
      </c>
      <c r="C59" s="111"/>
      <c r="D59" s="111"/>
      <c r="E59" s="112"/>
      <c r="F59" s="85">
        <v>584</v>
      </c>
      <c r="G59" s="54">
        <v>364</v>
      </c>
      <c r="H59" s="55">
        <v>0</v>
      </c>
      <c r="I59" s="55">
        <v>364</v>
      </c>
      <c r="J59" s="50">
        <v>0</v>
      </c>
      <c r="K59" s="54">
        <v>0</v>
      </c>
      <c r="L59" s="55">
        <v>13</v>
      </c>
      <c r="M59" s="55">
        <v>26</v>
      </c>
      <c r="N59" s="55">
        <v>3</v>
      </c>
      <c r="O59" s="55">
        <v>15</v>
      </c>
      <c r="P59" s="55">
        <v>0</v>
      </c>
      <c r="Q59" s="55">
        <v>3</v>
      </c>
      <c r="R59" s="50">
        <v>160</v>
      </c>
      <c r="S59" s="85">
        <v>43</v>
      </c>
      <c r="T59" s="54">
        <v>45</v>
      </c>
      <c r="U59" s="55">
        <v>0</v>
      </c>
      <c r="V59" s="55">
        <v>2</v>
      </c>
      <c r="W59" s="55">
        <v>19</v>
      </c>
      <c r="X59" s="50">
        <v>24</v>
      </c>
      <c r="Y59" s="54">
        <v>2212</v>
      </c>
      <c r="Z59" s="50">
        <v>352</v>
      </c>
      <c r="AA59" s="54">
        <v>1927</v>
      </c>
      <c r="AB59" s="50">
        <v>407</v>
      </c>
      <c r="AC59" s="54">
        <v>1395</v>
      </c>
      <c r="AD59" s="50">
        <v>353</v>
      </c>
      <c r="AE59" s="54">
        <v>227</v>
      </c>
      <c r="AF59" s="55">
        <v>119</v>
      </c>
      <c r="AG59" s="50">
        <v>245</v>
      </c>
      <c r="AH59" s="51">
        <v>-0.12884267631103075</v>
      </c>
      <c r="AI59" s="52">
        <v>-0.3693490054249548</v>
      </c>
      <c r="AJ59" s="52">
        <v>-0.2760768033212247</v>
      </c>
      <c r="AK59" s="52">
        <v>0.15625</v>
      </c>
      <c r="AL59" s="52">
        <v>2.840909090909091E-3</v>
      </c>
      <c r="AM59" s="52">
        <v>-0.13267813267813267</v>
      </c>
      <c r="AN59" s="86">
        <v>3.8324175824175826</v>
      </c>
      <c r="AO59" s="52">
        <v>0.96978021978021978</v>
      </c>
      <c r="AP59" s="52">
        <v>0.32692307692307693</v>
      </c>
      <c r="AQ59" s="52">
        <v>0.67307692307692313</v>
      </c>
      <c r="AR59" s="52">
        <v>0.30534351145038169</v>
      </c>
      <c r="AS59" s="51">
        <v>0.11813186813186813</v>
      </c>
      <c r="AT59" s="53">
        <v>-5.4945054945054949E-3</v>
      </c>
      <c r="AU59" s="54">
        <v>404</v>
      </c>
      <c r="AV59" s="55">
        <v>402</v>
      </c>
      <c r="AW59" s="50">
        <v>365</v>
      </c>
      <c r="AX59" s="51">
        <v>-4.9504950495049506E-3</v>
      </c>
      <c r="AY59" s="52">
        <v>-9.6534653465346537E-2</v>
      </c>
      <c r="AZ59" s="53">
        <v>-9.2039800995024873E-2</v>
      </c>
      <c r="BA59" s="54">
        <v>10</v>
      </c>
      <c r="BB59" s="50">
        <v>11</v>
      </c>
      <c r="BC59" s="54">
        <v>1</v>
      </c>
      <c r="BD59" s="50">
        <v>2</v>
      </c>
      <c r="BE59" s="54">
        <v>1305</v>
      </c>
      <c r="BF59" s="55">
        <v>1397</v>
      </c>
      <c r="BG59" s="52">
        <v>0.93414459556191842</v>
      </c>
      <c r="BH59" s="55">
        <v>344</v>
      </c>
      <c r="BI59" s="55">
        <v>365</v>
      </c>
      <c r="BJ59" s="53">
        <v>0.94246575342465755</v>
      </c>
    </row>
    <row r="60" spans="1:62" x14ac:dyDescent="0.25">
      <c r="A60" s="113"/>
      <c r="B60" s="114"/>
      <c r="C60" s="114" t="s">
        <v>138</v>
      </c>
      <c r="D60" s="114"/>
      <c r="E60" s="115"/>
      <c r="F60" s="87">
        <v>340</v>
      </c>
      <c r="G60" s="60">
        <v>204</v>
      </c>
      <c r="H60" s="61">
        <v>0</v>
      </c>
      <c r="I60" s="61">
        <v>204</v>
      </c>
      <c r="J60" s="56">
        <v>0</v>
      </c>
      <c r="K60" s="60">
        <v>0</v>
      </c>
      <c r="L60" s="61">
        <v>8</v>
      </c>
      <c r="M60" s="61">
        <v>22</v>
      </c>
      <c r="N60" s="61">
        <v>3</v>
      </c>
      <c r="O60" s="61">
        <v>2</v>
      </c>
      <c r="P60" s="61">
        <v>0</v>
      </c>
      <c r="Q60" s="61">
        <v>3</v>
      </c>
      <c r="R60" s="56">
        <v>98</v>
      </c>
      <c r="S60" s="87">
        <v>26</v>
      </c>
      <c r="T60" s="60">
        <v>26</v>
      </c>
      <c r="U60" s="61">
        <v>0</v>
      </c>
      <c r="V60" s="61">
        <v>2</v>
      </c>
      <c r="W60" s="61">
        <v>15</v>
      </c>
      <c r="X60" s="56">
        <v>9</v>
      </c>
      <c r="Y60" s="60">
        <v>1492</v>
      </c>
      <c r="Z60" s="56">
        <v>208</v>
      </c>
      <c r="AA60" s="60">
        <v>1262</v>
      </c>
      <c r="AB60" s="56">
        <v>229</v>
      </c>
      <c r="AC60" s="60">
        <v>906</v>
      </c>
      <c r="AD60" s="56">
        <v>203</v>
      </c>
      <c r="AE60" s="60">
        <v>131</v>
      </c>
      <c r="AF60" s="61">
        <v>69</v>
      </c>
      <c r="AG60" s="56">
        <v>162</v>
      </c>
      <c r="AH60" s="57">
        <v>-0.15415549597855227</v>
      </c>
      <c r="AI60" s="58">
        <v>-0.39276139410187666</v>
      </c>
      <c r="AJ60" s="58">
        <v>-0.28209191759112517</v>
      </c>
      <c r="AK60" s="58">
        <v>0.10096153846153846</v>
      </c>
      <c r="AL60" s="58">
        <v>-2.403846153846154E-2</v>
      </c>
      <c r="AM60" s="58">
        <v>-0.11353711790393013</v>
      </c>
      <c r="AN60" s="88">
        <v>4.4411764705882355</v>
      </c>
      <c r="AO60" s="58">
        <v>0.99509803921568629</v>
      </c>
      <c r="AP60" s="58">
        <v>0.33823529411764708</v>
      </c>
      <c r="AQ60" s="58">
        <v>0.79411764705882348</v>
      </c>
      <c r="AR60" s="58">
        <v>0.32450331125827814</v>
      </c>
      <c r="AS60" s="57">
        <v>0.12745098039215685</v>
      </c>
      <c r="AT60" s="59">
        <v>0</v>
      </c>
      <c r="AU60" s="60">
        <v>340</v>
      </c>
      <c r="AV60" s="61">
        <v>326</v>
      </c>
      <c r="AW60" s="56">
        <v>301</v>
      </c>
      <c r="AX60" s="57">
        <v>-4.1176470588235294E-2</v>
      </c>
      <c r="AY60" s="58">
        <v>-0.11470588235294117</v>
      </c>
      <c r="AZ60" s="59">
        <v>-7.6687116564417179E-2</v>
      </c>
      <c r="BA60" s="60">
        <v>10</v>
      </c>
      <c r="BB60" s="56">
        <v>10</v>
      </c>
      <c r="BC60" s="60">
        <v>1</v>
      </c>
      <c r="BD60" s="56">
        <v>2</v>
      </c>
      <c r="BE60" s="60">
        <v>860</v>
      </c>
      <c r="BF60" s="61">
        <v>906</v>
      </c>
      <c r="BG60" s="58">
        <v>0.94922737306843263</v>
      </c>
      <c r="BH60" s="61">
        <v>289</v>
      </c>
      <c r="BI60" s="61">
        <v>301</v>
      </c>
      <c r="BJ60" s="59">
        <v>0.96013289036544847</v>
      </c>
    </row>
    <row r="61" spans="1:62" x14ac:dyDescent="0.25">
      <c r="A61" s="116"/>
      <c r="B61" s="117"/>
      <c r="C61" s="117"/>
      <c r="D61" s="117" t="s">
        <v>139</v>
      </c>
      <c r="E61" s="118"/>
      <c r="F61" s="89">
        <v>245</v>
      </c>
      <c r="G61" s="66">
        <v>124</v>
      </c>
      <c r="H61" s="67">
        <v>0</v>
      </c>
      <c r="I61" s="67">
        <v>124</v>
      </c>
      <c r="J61" s="62">
        <v>0</v>
      </c>
      <c r="K61" s="66">
        <v>0</v>
      </c>
      <c r="L61" s="67">
        <v>8</v>
      </c>
      <c r="M61" s="67">
        <v>11</v>
      </c>
      <c r="N61" s="67">
        <v>3</v>
      </c>
      <c r="O61" s="67">
        <v>0</v>
      </c>
      <c r="P61" s="67">
        <v>0</v>
      </c>
      <c r="Q61" s="67">
        <v>3</v>
      </c>
      <c r="R61" s="62">
        <v>96</v>
      </c>
      <c r="S61" s="89">
        <v>10</v>
      </c>
      <c r="T61" s="66">
        <v>14</v>
      </c>
      <c r="U61" s="67">
        <v>0</v>
      </c>
      <c r="V61" s="67">
        <v>2</v>
      </c>
      <c r="W61" s="67">
        <v>8</v>
      </c>
      <c r="X61" s="62">
        <v>4</v>
      </c>
      <c r="Y61" s="66">
        <v>1080</v>
      </c>
      <c r="Z61" s="62">
        <v>148</v>
      </c>
      <c r="AA61" s="66">
        <v>893</v>
      </c>
      <c r="AB61" s="62">
        <v>158</v>
      </c>
      <c r="AC61" s="66">
        <v>613</v>
      </c>
      <c r="AD61" s="62">
        <v>122</v>
      </c>
      <c r="AE61" s="66">
        <v>116</v>
      </c>
      <c r="AF61" s="67">
        <v>64</v>
      </c>
      <c r="AG61" s="62">
        <v>136</v>
      </c>
      <c r="AH61" s="63">
        <v>-0.17314814814814813</v>
      </c>
      <c r="AI61" s="64">
        <v>-0.43240740740740741</v>
      </c>
      <c r="AJ61" s="64">
        <v>-0.3135498320268757</v>
      </c>
      <c r="AK61" s="64">
        <v>6.7567567567567571E-2</v>
      </c>
      <c r="AL61" s="64">
        <v>-0.17567567567567569</v>
      </c>
      <c r="AM61" s="64">
        <v>-0.22784810126582278</v>
      </c>
      <c r="AN61" s="90">
        <v>4.943548387096774</v>
      </c>
      <c r="AO61" s="64">
        <v>0.9838709677419355</v>
      </c>
      <c r="AP61" s="64">
        <v>0.5161290322580645</v>
      </c>
      <c r="AQ61" s="64">
        <v>1.096774193548387</v>
      </c>
      <c r="AR61" s="64">
        <v>0.43636363636363634</v>
      </c>
      <c r="AS61" s="63">
        <v>8.0645161290322578E-2</v>
      </c>
      <c r="AT61" s="65">
        <v>-3.2258064516129031E-2</v>
      </c>
      <c r="AU61" s="66">
        <v>300</v>
      </c>
      <c r="AV61" s="67">
        <v>287</v>
      </c>
      <c r="AW61" s="62">
        <v>249</v>
      </c>
      <c r="AX61" s="63">
        <v>-4.3333333333333335E-2</v>
      </c>
      <c r="AY61" s="64">
        <v>-0.17</v>
      </c>
      <c r="AZ61" s="65">
        <v>-0.13240418118466898</v>
      </c>
      <c r="BA61" s="66">
        <v>10</v>
      </c>
      <c r="BB61" s="62">
        <v>10</v>
      </c>
      <c r="BC61" s="66">
        <v>1</v>
      </c>
      <c r="BD61" s="62">
        <v>2</v>
      </c>
      <c r="BE61" s="66">
        <v>581</v>
      </c>
      <c r="BF61" s="67">
        <v>613</v>
      </c>
      <c r="BG61" s="64">
        <v>0.94779771615008157</v>
      </c>
      <c r="BH61" s="67">
        <v>238</v>
      </c>
      <c r="BI61" s="67">
        <v>249</v>
      </c>
      <c r="BJ61" s="65">
        <v>0.95582329317269077</v>
      </c>
    </row>
    <row r="62" spans="1:62" x14ac:dyDescent="0.25">
      <c r="A62" s="119"/>
      <c r="B62" s="120"/>
      <c r="C62" s="120"/>
      <c r="D62" s="120"/>
      <c r="E62" s="121" t="s">
        <v>97</v>
      </c>
      <c r="F62" s="94">
        <v>245</v>
      </c>
      <c r="G62" s="91">
        <v>124</v>
      </c>
      <c r="H62" s="92">
        <v>0</v>
      </c>
      <c r="I62" s="92">
        <v>124</v>
      </c>
      <c r="J62" s="93">
        <v>0</v>
      </c>
      <c r="K62" s="91">
        <v>0</v>
      </c>
      <c r="L62" s="92">
        <v>8</v>
      </c>
      <c r="M62" s="92">
        <v>11</v>
      </c>
      <c r="N62" s="92">
        <v>3</v>
      </c>
      <c r="O62" s="92">
        <v>0</v>
      </c>
      <c r="P62" s="92">
        <v>0</v>
      </c>
      <c r="Q62" s="92">
        <v>3</v>
      </c>
      <c r="R62" s="93">
        <v>96</v>
      </c>
      <c r="S62" s="94">
        <v>10</v>
      </c>
      <c r="T62" s="91">
        <v>14</v>
      </c>
      <c r="U62" s="92">
        <v>0</v>
      </c>
      <c r="V62" s="92">
        <v>2</v>
      </c>
      <c r="W62" s="92">
        <v>8</v>
      </c>
      <c r="X62" s="93">
        <v>4</v>
      </c>
      <c r="Y62" s="91">
        <v>1080</v>
      </c>
      <c r="Z62" s="93">
        <v>148</v>
      </c>
      <c r="AA62" s="91">
        <v>893</v>
      </c>
      <c r="AB62" s="93">
        <v>158</v>
      </c>
      <c r="AC62" s="91">
        <v>613</v>
      </c>
      <c r="AD62" s="93">
        <v>122</v>
      </c>
      <c r="AE62" s="91">
        <v>116</v>
      </c>
      <c r="AF62" s="92">
        <v>64</v>
      </c>
      <c r="AG62" s="93">
        <v>136</v>
      </c>
      <c r="AH62" s="95">
        <v>-0.17314814814814813</v>
      </c>
      <c r="AI62" s="96">
        <v>-0.43240740740740741</v>
      </c>
      <c r="AJ62" s="96">
        <v>-0.3135498320268757</v>
      </c>
      <c r="AK62" s="96">
        <v>6.7567567567567571E-2</v>
      </c>
      <c r="AL62" s="96">
        <v>-0.17567567567567569</v>
      </c>
      <c r="AM62" s="96">
        <v>-0.22784810126582278</v>
      </c>
      <c r="AN62" s="97">
        <v>4.943548387096774</v>
      </c>
      <c r="AO62" s="96">
        <v>0.9838709677419355</v>
      </c>
      <c r="AP62" s="96">
        <v>0.5161290322580645</v>
      </c>
      <c r="AQ62" s="96">
        <v>1.096774193548387</v>
      </c>
      <c r="AR62" s="96">
        <v>0.43636363636363634</v>
      </c>
      <c r="AS62" s="95">
        <v>8.0645161290322578E-2</v>
      </c>
      <c r="AT62" s="98">
        <v>-3.2258064516129031E-2</v>
      </c>
      <c r="AU62" s="91">
        <v>300</v>
      </c>
      <c r="AV62" s="92">
        <v>287</v>
      </c>
      <c r="AW62" s="68">
        <v>249</v>
      </c>
      <c r="AX62" s="69">
        <v>-4.3333333333333335E-2</v>
      </c>
      <c r="AY62" s="70">
        <v>-0.17</v>
      </c>
      <c r="AZ62" s="71">
        <v>-0.13240418118466898</v>
      </c>
      <c r="BA62" s="72">
        <v>10</v>
      </c>
      <c r="BB62" s="68">
        <v>10</v>
      </c>
      <c r="BC62" s="72">
        <v>1</v>
      </c>
      <c r="BD62" s="68">
        <v>2</v>
      </c>
      <c r="BE62" s="72">
        <v>581</v>
      </c>
      <c r="BF62" s="73">
        <v>613</v>
      </c>
      <c r="BG62" s="70">
        <v>0.94779771615008157</v>
      </c>
      <c r="BH62" s="73">
        <v>238</v>
      </c>
      <c r="BI62" s="73">
        <v>249</v>
      </c>
      <c r="BJ62" s="98">
        <v>0.95582329317269077</v>
      </c>
    </row>
    <row r="63" spans="1:62" x14ac:dyDescent="0.25">
      <c r="A63" s="116"/>
      <c r="B63" s="117"/>
      <c r="C63" s="117"/>
      <c r="D63" s="117" t="s">
        <v>140</v>
      </c>
      <c r="E63" s="118"/>
      <c r="F63" s="89">
        <v>95</v>
      </c>
      <c r="G63" s="66">
        <v>80</v>
      </c>
      <c r="H63" s="67">
        <v>0</v>
      </c>
      <c r="I63" s="67">
        <v>80</v>
      </c>
      <c r="J63" s="62">
        <v>0</v>
      </c>
      <c r="K63" s="66">
        <v>0</v>
      </c>
      <c r="L63" s="67">
        <v>0</v>
      </c>
      <c r="M63" s="67">
        <v>11</v>
      </c>
      <c r="N63" s="67">
        <v>0</v>
      </c>
      <c r="O63" s="67">
        <v>2</v>
      </c>
      <c r="P63" s="67">
        <v>0</v>
      </c>
      <c r="Q63" s="67">
        <v>0</v>
      </c>
      <c r="R63" s="62">
        <v>2</v>
      </c>
      <c r="S63" s="89">
        <v>16</v>
      </c>
      <c r="T63" s="66">
        <v>12</v>
      </c>
      <c r="U63" s="67">
        <v>0</v>
      </c>
      <c r="V63" s="67">
        <v>0</v>
      </c>
      <c r="W63" s="67">
        <v>7</v>
      </c>
      <c r="X63" s="62">
        <v>5</v>
      </c>
      <c r="Y63" s="66">
        <v>412</v>
      </c>
      <c r="Z63" s="62">
        <v>60</v>
      </c>
      <c r="AA63" s="66">
        <v>369</v>
      </c>
      <c r="AB63" s="62">
        <v>71</v>
      </c>
      <c r="AC63" s="66">
        <v>293</v>
      </c>
      <c r="AD63" s="62">
        <v>81</v>
      </c>
      <c r="AE63" s="66">
        <v>15</v>
      </c>
      <c r="AF63" s="67">
        <v>5</v>
      </c>
      <c r="AG63" s="62">
        <v>26</v>
      </c>
      <c r="AH63" s="63">
        <v>-0.10436893203883495</v>
      </c>
      <c r="AI63" s="64">
        <v>-0.28883495145631066</v>
      </c>
      <c r="AJ63" s="64">
        <v>-0.20596205962059622</v>
      </c>
      <c r="AK63" s="64">
        <v>0.18333333333333332</v>
      </c>
      <c r="AL63" s="64">
        <v>0.35</v>
      </c>
      <c r="AM63" s="64">
        <v>0.14084507042253522</v>
      </c>
      <c r="AN63" s="90">
        <v>3.6625000000000001</v>
      </c>
      <c r="AO63" s="64">
        <v>1.0125</v>
      </c>
      <c r="AP63" s="64">
        <v>6.25E-2</v>
      </c>
      <c r="AQ63" s="64">
        <v>0.32500000000000001</v>
      </c>
      <c r="AR63" s="64">
        <v>2.4390243902439025E-2</v>
      </c>
      <c r="AS63" s="63">
        <v>0.2</v>
      </c>
      <c r="AT63" s="65">
        <v>0.05</v>
      </c>
      <c r="AU63" s="66">
        <v>184</v>
      </c>
      <c r="AV63" s="67">
        <v>176</v>
      </c>
      <c r="AW63" s="62">
        <v>144</v>
      </c>
      <c r="AX63" s="63">
        <v>-4.3478260869565216E-2</v>
      </c>
      <c r="AY63" s="64">
        <v>-0.21739130434782608</v>
      </c>
      <c r="AZ63" s="65">
        <v>-0.18181818181818182</v>
      </c>
      <c r="BA63" s="66">
        <v>8</v>
      </c>
      <c r="BB63" s="62">
        <v>9</v>
      </c>
      <c r="BC63" s="66">
        <v>1</v>
      </c>
      <c r="BD63" s="62">
        <v>1</v>
      </c>
      <c r="BE63" s="66">
        <v>279</v>
      </c>
      <c r="BF63" s="67">
        <v>293</v>
      </c>
      <c r="BG63" s="64">
        <v>0.95221843003412965</v>
      </c>
      <c r="BH63" s="67">
        <v>137</v>
      </c>
      <c r="BI63" s="67">
        <v>144</v>
      </c>
      <c r="BJ63" s="65">
        <v>0.95138888888888884</v>
      </c>
    </row>
    <row r="64" spans="1:62" x14ac:dyDescent="0.25">
      <c r="A64" s="119"/>
      <c r="B64" s="120"/>
      <c r="C64" s="120"/>
      <c r="D64" s="120"/>
      <c r="E64" s="121" t="s">
        <v>97</v>
      </c>
      <c r="F64" s="94">
        <v>94</v>
      </c>
      <c r="G64" s="91">
        <v>79</v>
      </c>
      <c r="H64" s="92">
        <v>0</v>
      </c>
      <c r="I64" s="92">
        <v>79</v>
      </c>
      <c r="J64" s="93">
        <v>0</v>
      </c>
      <c r="K64" s="91">
        <v>0</v>
      </c>
      <c r="L64" s="92">
        <v>0</v>
      </c>
      <c r="M64" s="92">
        <v>11</v>
      </c>
      <c r="N64" s="92">
        <v>0</v>
      </c>
      <c r="O64" s="92">
        <v>2</v>
      </c>
      <c r="P64" s="92">
        <v>0</v>
      </c>
      <c r="Q64" s="92">
        <v>0</v>
      </c>
      <c r="R64" s="93">
        <v>2</v>
      </c>
      <c r="S64" s="94">
        <v>15</v>
      </c>
      <c r="T64" s="91">
        <v>12</v>
      </c>
      <c r="U64" s="92">
        <v>0</v>
      </c>
      <c r="V64" s="92">
        <v>0</v>
      </c>
      <c r="W64" s="92">
        <v>7</v>
      </c>
      <c r="X64" s="93">
        <v>5</v>
      </c>
      <c r="Y64" s="91">
        <v>412</v>
      </c>
      <c r="Z64" s="93">
        <v>60</v>
      </c>
      <c r="AA64" s="91">
        <v>369</v>
      </c>
      <c r="AB64" s="93">
        <v>71</v>
      </c>
      <c r="AC64" s="91">
        <v>288</v>
      </c>
      <c r="AD64" s="93">
        <v>80</v>
      </c>
      <c r="AE64" s="91">
        <v>15</v>
      </c>
      <c r="AF64" s="92">
        <v>5</v>
      </c>
      <c r="AG64" s="93">
        <v>26</v>
      </c>
      <c r="AH64" s="95">
        <v>-0.10436893203883495</v>
      </c>
      <c r="AI64" s="96">
        <v>-0.30097087378640774</v>
      </c>
      <c r="AJ64" s="96">
        <v>-0.21951219512195122</v>
      </c>
      <c r="AK64" s="96">
        <v>0.18333333333333332</v>
      </c>
      <c r="AL64" s="96">
        <v>0.33333333333333331</v>
      </c>
      <c r="AM64" s="96">
        <v>0.12676056338028169</v>
      </c>
      <c r="AN64" s="97">
        <v>3.6455696202531644</v>
      </c>
      <c r="AO64" s="96">
        <v>1.0126582278481013</v>
      </c>
      <c r="AP64" s="96">
        <v>6.3291139240506333E-2</v>
      </c>
      <c r="AQ64" s="96">
        <v>0.32911392405063289</v>
      </c>
      <c r="AR64" s="96">
        <v>2.4691358024691357E-2</v>
      </c>
      <c r="AS64" s="95">
        <v>0.189873417721519</v>
      </c>
      <c r="AT64" s="98">
        <v>3.7974683544303799E-2</v>
      </c>
      <c r="AU64" s="91">
        <v>184</v>
      </c>
      <c r="AV64" s="92">
        <v>176</v>
      </c>
      <c r="AW64" s="68">
        <v>141</v>
      </c>
      <c r="AX64" s="69">
        <v>-4.3478260869565216E-2</v>
      </c>
      <c r="AY64" s="70">
        <v>-0.23369565217391305</v>
      </c>
      <c r="AZ64" s="71">
        <v>-0.19886363636363635</v>
      </c>
      <c r="BA64" s="72">
        <v>8</v>
      </c>
      <c r="BB64" s="68">
        <v>9</v>
      </c>
      <c r="BC64" s="72">
        <v>1</v>
      </c>
      <c r="BD64" s="68">
        <v>1</v>
      </c>
      <c r="BE64" s="72">
        <v>274</v>
      </c>
      <c r="BF64" s="73">
        <v>288</v>
      </c>
      <c r="BG64" s="70">
        <v>0.95138888888888884</v>
      </c>
      <c r="BH64" s="73">
        <v>134</v>
      </c>
      <c r="BI64" s="73">
        <v>141</v>
      </c>
      <c r="BJ64" s="98">
        <v>0.95035460992907805</v>
      </c>
    </row>
    <row r="65" spans="1:62" x14ac:dyDescent="0.25">
      <c r="A65" s="113"/>
      <c r="B65" s="114"/>
      <c r="C65" s="114" t="s">
        <v>80</v>
      </c>
      <c r="D65" s="114"/>
      <c r="E65" s="115"/>
      <c r="F65" s="87">
        <v>93</v>
      </c>
      <c r="G65" s="60">
        <v>78</v>
      </c>
      <c r="H65" s="61">
        <v>0</v>
      </c>
      <c r="I65" s="61">
        <v>78</v>
      </c>
      <c r="J65" s="56">
        <v>0</v>
      </c>
      <c r="K65" s="60">
        <v>0</v>
      </c>
      <c r="L65" s="61">
        <v>1</v>
      </c>
      <c r="M65" s="61">
        <v>2</v>
      </c>
      <c r="N65" s="61">
        <v>0</v>
      </c>
      <c r="O65" s="61">
        <v>5</v>
      </c>
      <c r="P65" s="61">
        <v>0</v>
      </c>
      <c r="Q65" s="61">
        <v>0</v>
      </c>
      <c r="R65" s="56">
        <v>7</v>
      </c>
      <c r="S65" s="87">
        <v>12</v>
      </c>
      <c r="T65" s="60">
        <v>10</v>
      </c>
      <c r="U65" s="61">
        <v>0</v>
      </c>
      <c r="V65" s="61">
        <v>0</v>
      </c>
      <c r="W65" s="61">
        <v>2</v>
      </c>
      <c r="X65" s="56">
        <v>8</v>
      </c>
      <c r="Y65" s="60">
        <v>75</v>
      </c>
      <c r="Z65" s="56">
        <v>43</v>
      </c>
      <c r="AA65" s="60">
        <v>205</v>
      </c>
      <c r="AB65" s="56">
        <v>72</v>
      </c>
      <c r="AC65" s="60">
        <v>137</v>
      </c>
      <c r="AD65" s="56">
        <v>60</v>
      </c>
      <c r="AE65" s="60">
        <v>32</v>
      </c>
      <c r="AF65" s="61">
        <v>15</v>
      </c>
      <c r="AG65" s="56">
        <v>17</v>
      </c>
      <c r="AH65" s="57">
        <v>1.7333333333333334</v>
      </c>
      <c r="AI65" s="58">
        <v>0.82666666666666666</v>
      </c>
      <c r="AJ65" s="58">
        <v>-0.33170731707317075</v>
      </c>
      <c r="AK65" s="58">
        <v>0.67441860465116277</v>
      </c>
      <c r="AL65" s="58">
        <v>0.39534883720930231</v>
      </c>
      <c r="AM65" s="58">
        <v>-0.16666666666666666</v>
      </c>
      <c r="AN65" s="88">
        <v>1.7564102564102564</v>
      </c>
      <c r="AO65" s="58">
        <v>0.76923076923076927</v>
      </c>
      <c r="AP65" s="58">
        <v>0.19230769230769232</v>
      </c>
      <c r="AQ65" s="58">
        <v>0.21794871794871795</v>
      </c>
      <c r="AR65" s="58">
        <v>8.2352941176470587E-2</v>
      </c>
      <c r="AS65" s="57">
        <v>0.15384615384615385</v>
      </c>
      <c r="AT65" s="59">
        <v>2.564102564102564E-2</v>
      </c>
      <c r="AU65" s="60">
        <v>44</v>
      </c>
      <c r="AV65" s="61">
        <v>87</v>
      </c>
      <c r="AW65" s="56">
        <v>78</v>
      </c>
      <c r="AX65" s="57">
        <v>0.97727272727272729</v>
      </c>
      <c r="AY65" s="58">
        <v>0.77272727272727271</v>
      </c>
      <c r="AZ65" s="59">
        <v>-0.10344827586206896</v>
      </c>
      <c r="BA65" s="60">
        <v>9</v>
      </c>
      <c r="BB65" s="56">
        <v>9</v>
      </c>
      <c r="BC65" s="60">
        <v>1</v>
      </c>
      <c r="BD65" s="56">
        <v>1</v>
      </c>
      <c r="BE65" s="60">
        <v>132</v>
      </c>
      <c r="BF65" s="61">
        <v>137</v>
      </c>
      <c r="BG65" s="58">
        <v>0.96350364963503654</v>
      </c>
      <c r="BH65" s="61">
        <v>75</v>
      </c>
      <c r="BI65" s="61">
        <v>78</v>
      </c>
      <c r="BJ65" s="59">
        <v>0.96153846153846156</v>
      </c>
    </row>
    <row r="66" spans="1:62" x14ac:dyDescent="0.25">
      <c r="A66" s="119"/>
      <c r="B66" s="120"/>
      <c r="C66" s="120"/>
      <c r="D66" s="120"/>
      <c r="E66" s="121" t="s">
        <v>97</v>
      </c>
      <c r="F66" s="94">
        <v>93</v>
      </c>
      <c r="G66" s="91">
        <v>78</v>
      </c>
      <c r="H66" s="92">
        <v>0</v>
      </c>
      <c r="I66" s="92">
        <v>78</v>
      </c>
      <c r="J66" s="93">
        <v>0</v>
      </c>
      <c r="K66" s="91">
        <v>0</v>
      </c>
      <c r="L66" s="92">
        <v>1</v>
      </c>
      <c r="M66" s="92">
        <v>2</v>
      </c>
      <c r="N66" s="92">
        <v>0</v>
      </c>
      <c r="O66" s="92">
        <v>5</v>
      </c>
      <c r="P66" s="92">
        <v>0</v>
      </c>
      <c r="Q66" s="92">
        <v>0</v>
      </c>
      <c r="R66" s="93">
        <v>7</v>
      </c>
      <c r="S66" s="94">
        <v>12</v>
      </c>
      <c r="T66" s="91">
        <v>10</v>
      </c>
      <c r="U66" s="92">
        <v>0</v>
      </c>
      <c r="V66" s="92">
        <v>0</v>
      </c>
      <c r="W66" s="92">
        <v>2</v>
      </c>
      <c r="X66" s="93">
        <v>8</v>
      </c>
      <c r="Y66" s="91">
        <v>75</v>
      </c>
      <c r="Z66" s="93">
        <v>43</v>
      </c>
      <c r="AA66" s="91">
        <v>205</v>
      </c>
      <c r="AB66" s="93">
        <v>72</v>
      </c>
      <c r="AC66" s="91">
        <v>137</v>
      </c>
      <c r="AD66" s="93">
        <v>60</v>
      </c>
      <c r="AE66" s="91">
        <v>32</v>
      </c>
      <c r="AF66" s="92">
        <v>15</v>
      </c>
      <c r="AG66" s="93">
        <v>17</v>
      </c>
      <c r="AH66" s="95">
        <v>1.7333333333333334</v>
      </c>
      <c r="AI66" s="96">
        <v>0.82666666666666666</v>
      </c>
      <c r="AJ66" s="96">
        <v>-0.33170731707317075</v>
      </c>
      <c r="AK66" s="96">
        <v>0.67441860465116277</v>
      </c>
      <c r="AL66" s="96">
        <v>0.39534883720930231</v>
      </c>
      <c r="AM66" s="96">
        <v>-0.16666666666666666</v>
      </c>
      <c r="AN66" s="97">
        <v>1.7564102564102564</v>
      </c>
      <c r="AO66" s="96">
        <v>0.76923076923076927</v>
      </c>
      <c r="AP66" s="96">
        <v>0.19230769230769232</v>
      </c>
      <c r="AQ66" s="96">
        <v>0.21794871794871795</v>
      </c>
      <c r="AR66" s="96">
        <v>8.2352941176470587E-2</v>
      </c>
      <c r="AS66" s="95">
        <v>0.15384615384615385</v>
      </c>
      <c r="AT66" s="98">
        <v>2.564102564102564E-2</v>
      </c>
      <c r="AU66" s="91">
        <v>44</v>
      </c>
      <c r="AV66" s="92">
        <v>87</v>
      </c>
      <c r="AW66" s="68">
        <v>78</v>
      </c>
      <c r="AX66" s="69">
        <v>0.97727272727272729</v>
      </c>
      <c r="AY66" s="70">
        <v>0.77272727272727271</v>
      </c>
      <c r="AZ66" s="71">
        <v>-0.10344827586206896</v>
      </c>
      <c r="BA66" s="72">
        <v>9</v>
      </c>
      <c r="BB66" s="68">
        <v>9</v>
      </c>
      <c r="BC66" s="72">
        <v>1</v>
      </c>
      <c r="BD66" s="68">
        <v>1</v>
      </c>
      <c r="BE66" s="72">
        <v>132</v>
      </c>
      <c r="BF66" s="73">
        <v>137</v>
      </c>
      <c r="BG66" s="70">
        <v>0.96350364963503654</v>
      </c>
      <c r="BH66" s="73">
        <v>75</v>
      </c>
      <c r="BI66" s="73">
        <v>78</v>
      </c>
      <c r="BJ66" s="98">
        <v>0.96153846153846156</v>
      </c>
    </row>
    <row r="67" spans="1:62" x14ac:dyDescent="0.25">
      <c r="A67" s="113"/>
      <c r="B67" s="114"/>
      <c r="C67" s="114" t="s">
        <v>141</v>
      </c>
      <c r="D67" s="114"/>
      <c r="E67" s="115"/>
      <c r="F67" s="87">
        <v>151</v>
      </c>
      <c r="G67" s="60">
        <v>82</v>
      </c>
      <c r="H67" s="61">
        <v>0</v>
      </c>
      <c r="I67" s="61">
        <v>82</v>
      </c>
      <c r="J67" s="56">
        <v>0</v>
      </c>
      <c r="K67" s="60">
        <v>0</v>
      </c>
      <c r="L67" s="61">
        <v>4</v>
      </c>
      <c r="M67" s="61">
        <v>2</v>
      </c>
      <c r="N67" s="61">
        <v>0</v>
      </c>
      <c r="O67" s="61">
        <v>8</v>
      </c>
      <c r="P67" s="61">
        <v>0</v>
      </c>
      <c r="Q67" s="61">
        <v>0</v>
      </c>
      <c r="R67" s="56">
        <v>55</v>
      </c>
      <c r="S67" s="87">
        <v>5</v>
      </c>
      <c r="T67" s="60">
        <v>9</v>
      </c>
      <c r="U67" s="61">
        <v>0</v>
      </c>
      <c r="V67" s="61">
        <v>0</v>
      </c>
      <c r="W67" s="61">
        <v>2</v>
      </c>
      <c r="X67" s="56">
        <v>7</v>
      </c>
      <c r="Y67" s="60">
        <v>645</v>
      </c>
      <c r="Z67" s="56">
        <v>101</v>
      </c>
      <c r="AA67" s="60">
        <v>460</v>
      </c>
      <c r="AB67" s="56">
        <v>106</v>
      </c>
      <c r="AC67" s="60">
        <v>352</v>
      </c>
      <c r="AD67" s="56">
        <v>90</v>
      </c>
      <c r="AE67" s="60">
        <v>64</v>
      </c>
      <c r="AF67" s="61">
        <v>35</v>
      </c>
      <c r="AG67" s="56">
        <v>66</v>
      </c>
      <c r="AH67" s="57">
        <v>-0.2868217054263566</v>
      </c>
      <c r="AI67" s="58">
        <v>-0.45426356589147288</v>
      </c>
      <c r="AJ67" s="58">
        <v>-0.23478260869565218</v>
      </c>
      <c r="AK67" s="58">
        <v>4.9504950495049507E-2</v>
      </c>
      <c r="AL67" s="58">
        <v>-0.10891089108910891</v>
      </c>
      <c r="AM67" s="58">
        <v>-0.15094339622641509</v>
      </c>
      <c r="AN67" s="88">
        <v>4.2926829268292686</v>
      </c>
      <c r="AO67" s="58">
        <v>1.0975609756097562</v>
      </c>
      <c r="AP67" s="58">
        <v>0.42682926829268292</v>
      </c>
      <c r="AQ67" s="58">
        <v>0.80487804878048785</v>
      </c>
      <c r="AR67" s="58">
        <v>0.40145985401459855</v>
      </c>
      <c r="AS67" s="57">
        <v>6.097560975609756E-2</v>
      </c>
      <c r="AT67" s="59">
        <v>-4.878048780487805E-2</v>
      </c>
      <c r="AU67" s="60">
        <v>184</v>
      </c>
      <c r="AV67" s="61">
        <v>160</v>
      </c>
      <c r="AW67" s="56">
        <v>141</v>
      </c>
      <c r="AX67" s="57">
        <v>-0.13043478260869565</v>
      </c>
      <c r="AY67" s="58">
        <v>-0.23369565217391305</v>
      </c>
      <c r="AZ67" s="59">
        <v>-0.11874999999999999</v>
      </c>
      <c r="BA67" s="60">
        <v>12</v>
      </c>
      <c r="BB67" s="56">
        <v>12</v>
      </c>
      <c r="BC67" s="60">
        <v>3</v>
      </c>
      <c r="BD67" s="56">
        <v>3</v>
      </c>
      <c r="BE67" s="60">
        <v>311</v>
      </c>
      <c r="BF67" s="61">
        <v>352</v>
      </c>
      <c r="BG67" s="58">
        <v>0.88352272727272729</v>
      </c>
      <c r="BH67" s="61">
        <v>129</v>
      </c>
      <c r="BI67" s="61">
        <v>141</v>
      </c>
      <c r="BJ67" s="59">
        <v>0.91489361702127658</v>
      </c>
    </row>
    <row r="68" spans="1:62" x14ac:dyDescent="0.25">
      <c r="A68" s="116"/>
      <c r="B68" s="117"/>
      <c r="C68" s="117"/>
      <c r="D68" s="117" t="s">
        <v>142</v>
      </c>
      <c r="E68" s="118"/>
      <c r="F68" s="89">
        <v>129</v>
      </c>
      <c r="G68" s="66">
        <v>62</v>
      </c>
      <c r="H68" s="67">
        <v>0</v>
      </c>
      <c r="I68" s="67">
        <v>62</v>
      </c>
      <c r="J68" s="62">
        <v>0</v>
      </c>
      <c r="K68" s="66">
        <v>0</v>
      </c>
      <c r="L68" s="67">
        <v>4</v>
      </c>
      <c r="M68" s="67">
        <v>2</v>
      </c>
      <c r="N68" s="67">
        <v>0</v>
      </c>
      <c r="O68" s="67">
        <v>8</v>
      </c>
      <c r="P68" s="67">
        <v>0</v>
      </c>
      <c r="Q68" s="67">
        <v>0</v>
      </c>
      <c r="R68" s="62">
        <v>53</v>
      </c>
      <c r="S68" s="89">
        <v>3</v>
      </c>
      <c r="T68" s="66">
        <v>9</v>
      </c>
      <c r="U68" s="67">
        <v>0</v>
      </c>
      <c r="V68" s="67">
        <v>0</v>
      </c>
      <c r="W68" s="67">
        <v>2</v>
      </c>
      <c r="X68" s="62">
        <v>7</v>
      </c>
      <c r="Y68" s="66">
        <v>601</v>
      </c>
      <c r="Z68" s="62">
        <v>97</v>
      </c>
      <c r="AA68" s="66">
        <v>409</v>
      </c>
      <c r="AB68" s="62">
        <v>89</v>
      </c>
      <c r="AC68" s="66">
        <v>275</v>
      </c>
      <c r="AD68" s="62">
        <v>65</v>
      </c>
      <c r="AE68" s="66">
        <v>62</v>
      </c>
      <c r="AF68" s="67">
        <v>35</v>
      </c>
      <c r="AG68" s="62">
        <v>61</v>
      </c>
      <c r="AH68" s="63">
        <v>-0.3194675540765391</v>
      </c>
      <c r="AI68" s="64">
        <v>-0.54242928452579031</v>
      </c>
      <c r="AJ68" s="64">
        <v>-0.32762836185819072</v>
      </c>
      <c r="AK68" s="64">
        <v>-8.247422680412371E-2</v>
      </c>
      <c r="AL68" s="64">
        <v>-0.32989690721649484</v>
      </c>
      <c r="AM68" s="64">
        <v>-0.2696629213483146</v>
      </c>
      <c r="AN68" s="90">
        <v>4.435483870967742</v>
      </c>
      <c r="AO68" s="64">
        <v>1.0483870967741935</v>
      </c>
      <c r="AP68" s="64">
        <v>0.56451612903225812</v>
      </c>
      <c r="AQ68" s="64">
        <v>0.9838709677419355</v>
      </c>
      <c r="AR68" s="64">
        <v>0.46086956521739131</v>
      </c>
      <c r="AS68" s="63">
        <v>4.8387096774193547E-2</v>
      </c>
      <c r="AT68" s="65">
        <v>-9.6774193548387094E-2</v>
      </c>
      <c r="AU68" s="66">
        <v>180</v>
      </c>
      <c r="AV68" s="67">
        <v>146</v>
      </c>
      <c r="AW68" s="62">
        <v>121</v>
      </c>
      <c r="AX68" s="63">
        <v>-0.18888888888888888</v>
      </c>
      <c r="AY68" s="64">
        <v>-0.32777777777777778</v>
      </c>
      <c r="AZ68" s="65">
        <v>-0.17123287671232876</v>
      </c>
      <c r="BA68" s="66">
        <v>12</v>
      </c>
      <c r="BB68" s="62">
        <v>12</v>
      </c>
      <c r="BC68" s="66">
        <v>3</v>
      </c>
      <c r="BD68" s="62">
        <v>3</v>
      </c>
      <c r="BE68" s="66">
        <v>243</v>
      </c>
      <c r="BF68" s="67">
        <v>275</v>
      </c>
      <c r="BG68" s="64">
        <v>0.88363636363636366</v>
      </c>
      <c r="BH68" s="67">
        <v>112</v>
      </c>
      <c r="BI68" s="67">
        <v>121</v>
      </c>
      <c r="BJ68" s="65">
        <v>0.92561983471074383</v>
      </c>
    </row>
    <row r="69" spans="1:62" x14ac:dyDescent="0.25">
      <c r="A69" s="119"/>
      <c r="B69" s="120"/>
      <c r="C69" s="120"/>
      <c r="D69" s="120"/>
      <c r="E69" s="121" t="s">
        <v>97</v>
      </c>
      <c r="F69" s="94">
        <v>129</v>
      </c>
      <c r="G69" s="91">
        <v>62</v>
      </c>
      <c r="H69" s="92">
        <v>0</v>
      </c>
      <c r="I69" s="92">
        <v>62</v>
      </c>
      <c r="J69" s="93">
        <v>0</v>
      </c>
      <c r="K69" s="91">
        <v>0</v>
      </c>
      <c r="L69" s="92">
        <v>4</v>
      </c>
      <c r="M69" s="92">
        <v>2</v>
      </c>
      <c r="N69" s="92">
        <v>0</v>
      </c>
      <c r="O69" s="92">
        <v>8</v>
      </c>
      <c r="P69" s="92">
        <v>0</v>
      </c>
      <c r="Q69" s="92">
        <v>0</v>
      </c>
      <c r="R69" s="93">
        <v>53</v>
      </c>
      <c r="S69" s="94">
        <v>3</v>
      </c>
      <c r="T69" s="91">
        <v>9</v>
      </c>
      <c r="U69" s="92">
        <v>0</v>
      </c>
      <c r="V69" s="92">
        <v>0</v>
      </c>
      <c r="W69" s="92">
        <v>2</v>
      </c>
      <c r="X69" s="93">
        <v>7</v>
      </c>
      <c r="Y69" s="91">
        <v>601</v>
      </c>
      <c r="Z69" s="93">
        <v>97</v>
      </c>
      <c r="AA69" s="91">
        <v>409</v>
      </c>
      <c r="AB69" s="93">
        <v>89</v>
      </c>
      <c r="AC69" s="91">
        <v>275</v>
      </c>
      <c r="AD69" s="93">
        <v>65</v>
      </c>
      <c r="AE69" s="91">
        <v>62</v>
      </c>
      <c r="AF69" s="92">
        <v>35</v>
      </c>
      <c r="AG69" s="93">
        <v>61</v>
      </c>
      <c r="AH69" s="95">
        <v>-0.3194675540765391</v>
      </c>
      <c r="AI69" s="96">
        <v>-0.54242928452579031</v>
      </c>
      <c r="AJ69" s="96">
        <v>-0.32762836185819072</v>
      </c>
      <c r="AK69" s="96">
        <v>-8.247422680412371E-2</v>
      </c>
      <c r="AL69" s="96">
        <v>-0.32989690721649484</v>
      </c>
      <c r="AM69" s="96">
        <v>-0.2696629213483146</v>
      </c>
      <c r="AN69" s="97">
        <v>4.435483870967742</v>
      </c>
      <c r="AO69" s="96">
        <v>1.0483870967741935</v>
      </c>
      <c r="AP69" s="96">
        <v>0.56451612903225812</v>
      </c>
      <c r="AQ69" s="96">
        <v>0.9838709677419355</v>
      </c>
      <c r="AR69" s="96">
        <v>0.46086956521739131</v>
      </c>
      <c r="AS69" s="95">
        <v>4.8387096774193547E-2</v>
      </c>
      <c r="AT69" s="98">
        <v>-9.6774193548387094E-2</v>
      </c>
      <c r="AU69" s="91">
        <v>180</v>
      </c>
      <c r="AV69" s="92">
        <v>146</v>
      </c>
      <c r="AW69" s="68">
        <v>121</v>
      </c>
      <c r="AX69" s="69">
        <v>-0.18888888888888888</v>
      </c>
      <c r="AY69" s="70">
        <v>-0.32777777777777778</v>
      </c>
      <c r="AZ69" s="71">
        <v>-0.17123287671232876</v>
      </c>
      <c r="BA69" s="72">
        <v>12</v>
      </c>
      <c r="BB69" s="68">
        <v>12</v>
      </c>
      <c r="BC69" s="72">
        <v>3</v>
      </c>
      <c r="BD69" s="68">
        <v>3</v>
      </c>
      <c r="BE69" s="72">
        <v>243</v>
      </c>
      <c r="BF69" s="73">
        <v>275</v>
      </c>
      <c r="BG69" s="70">
        <v>0.88363636363636366</v>
      </c>
      <c r="BH69" s="73">
        <v>112</v>
      </c>
      <c r="BI69" s="73">
        <v>121</v>
      </c>
      <c r="BJ69" s="98">
        <v>0.92561983471074383</v>
      </c>
    </row>
    <row r="70" spans="1:62" x14ac:dyDescent="0.25">
      <c r="A70" s="116"/>
      <c r="B70" s="117"/>
      <c r="C70" s="117"/>
      <c r="D70" s="117" t="s">
        <v>143</v>
      </c>
      <c r="E70" s="118"/>
      <c r="F70" s="89">
        <v>22</v>
      </c>
      <c r="G70" s="66">
        <v>20</v>
      </c>
      <c r="H70" s="67">
        <v>0</v>
      </c>
      <c r="I70" s="67">
        <v>20</v>
      </c>
      <c r="J70" s="62">
        <v>0</v>
      </c>
      <c r="K70" s="66">
        <v>0</v>
      </c>
      <c r="L70" s="67">
        <v>0</v>
      </c>
      <c r="M70" s="67">
        <v>0</v>
      </c>
      <c r="N70" s="67">
        <v>0</v>
      </c>
      <c r="O70" s="67">
        <v>0</v>
      </c>
      <c r="P70" s="67">
        <v>0</v>
      </c>
      <c r="Q70" s="67">
        <v>0</v>
      </c>
      <c r="R70" s="62">
        <v>2</v>
      </c>
      <c r="S70" s="89">
        <v>2</v>
      </c>
      <c r="T70" s="66"/>
      <c r="U70" s="67"/>
      <c r="V70" s="67"/>
      <c r="W70" s="67"/>
      <c r="X70" s="62"/>
      <c r="Y70" s="66">
        <v>44</v>
      </c>
      <c r="Z70" s="62">
        <v>4</v>
      </c>
      <c r="AA70" s="66">
        <v>51</v>
      </c>
      <c r="AB70" s="62">
        <v>17</v>
      </c>
      <c r="AC70" s="66">
        <v>77</v>
      </c>
      <c r="AD70" s="62">
        <v>25</v>
      </c>
      <c r="AE70" s="66">
        <v>2</v>
      </c>
      <c r="AF70" s="67">
        <v>0</v>
      </c>
      <c r="AG70" s="62">
        <v>5</v>
      </c>
      <c r="AH70" s="63">
        <v>0.15909090909090909</v>
      </c>
      <c r="AI70" s="64">
        <v>0.75</v>
      </c>
      <c r="AJ70" s="64">
        <v>0.50980392156862742</v>
      </c>
      <c r="AK70" s="64">
        <v>3.25</v>
      </c>
      <c r="AL70" s="64">
        <v>5.25</v>
      </c>
      <c r="AM70" s="64">
        <v>0.47058823529411764</v>
      </c>
      <c r="AN70" s="90">
        <v>3.85</v>
      </c>
      <c r="AO70" s="64">
        <v>1.25</v>
      </c>
      <c r="AP70" s="64">
        <v>0</v>
      </c>
      <c r="AQ70" s="64">
        <v>0.25</v>
      </c>
      <c r="AR70" s="64">
        <v>9.0909090909090912E-2</v>
      </c>
      <c r="AS70" s="63">
        <v>0.1</v>
      </c>
      <c r="AT70" s="65">
        <v>0.1</v>
      </c>
      <c r="AU70" s="66">
        <v>31</v>
      </c>
      <c r="AV70" s="67">
        <v>36</v>
      </c>
      <c r="AW70" s="62">
        <v>49</v>
      </c>
      <c r="AX70" s="63">
        <v>0.16129032258064516</v>
      </c>
      <c r="AY70" s="64">
        <v>0.58064516129032262</v>
      </c>
      <c r="AZ70" s="65">
        <v>0.3611111111111111</v>
      </c>
      <c r="BA70" s="66">
        <v>13</v>
      </c>
      <c r="BB70" s="62">
        <v>13</v>
      </c>
      <c r="BC70" s="66">
        <v>4</v>
      </c>
      <c r="BD70" s="62">
        <v>3</v>
      </c>
      <c r="BE70" s="66">
        <v>68</v>
      </c>
      <c r="BF70" s="67">
        <v>77</v>
      </c>
      <c r="BG70" s="64">
        <v>0.88311688311688308</v>
      </c>
      <c r="BH70" s="67">
        <v>44</v>
      </c>
      <c r="BI70" s="67">
        <v>49</v>
      </c>
      <c r="BJ70" s="65">
        <v>0.89795918367346939</v>
      </c>
    </row>
    <row r="71" spans="1:62" x14ac:dyDescent="0.25">
      <c r="A71" s="119"/>
      <c r="B71" s="120"/>
      <c r="C71" s="120"/>
      <c r="D71" s="120"/>
      <c r="E71" s="121" t="s">
        <v>97</v>
      </c>
      <c r="F71" s="94">
        <v>22</v>
      </c>
      <c r="G71" s="91">
        <v>20</v>
      </c>
      <c r="H71" s="92">
        <v>0</v>
      </c>
      <c r="I71" s="92">
        <v>20</v>
      </c>
      <c r="J71" s="93">
        <v>0</v>
      </c>
      <c r="K71" s="91">
        <v>0</v>
      </c>
      <c r="L71" s="92">
        <v>0</v>
      </c>
      <c r="M71" s="92">
        <v>0</v>
      </c>
      <c r="N71" s="92">
        <v>0</v>
      </c>
      <c r="O71" s="92">
        <v>0</v>
      </c>
      <c r="P71" s="92">
        <v>0</v>
      </c>
      <c r="Q71" s="92">
        <v>0</v>
      </c>
      <c r="R71" s="93">
        <v>2</v>
      </c>
      <c r="S71" s="94">
        <v>2</v>
      </c>
      <c r="T71" s="91"/>
      <c r="U71" s="92"/>
      <c r="V71" s="92"/>
      <c r="W71" s="92"/>
      <c r="X71" s="93"/>
      <c r="Y71" s="91">
        <v>44</v>
      </c>
      <c r="Z71" s="93">
        <v>4</v>
      </c>
      <c r="AA71" s="91">
        <v>51</v>
      </c>
      <c r="AB71" s="93">
        <v>17</v>
      </c>
      <c r="AC71" s="91">
        <v>77</v>
      </c>
      <c r="AD71" s="93">
        <v>25</v>
      </c>
      <c r="AE71" s="91">
        <v>2</v>
      </c>
      <c r="AF71" s="92">
        <v>0</v>
      </c>
      <c r="AG71" s="93">
        <v>5</v>
      </c>
      <c r="AH71" s="95">
        <v>0.15909090909090909</v>
      </c>
      <c r="AI71" s="96">
        <v>0.75</v>
      </c>
      <c r="AJ71" s="96">
        <v>0.50980392156862742</v>
      </c>
      <c r="AK71" s="96">
        <v>3.25</v>
      </c>
      <c r="AL71" s="96">
        <v>5.25</v>
      </c>
      <c r="AM71" s="96">
        <v>0.47058823529411764</v>
      </c>
      <c r="AN71" s="97">
        <v>3.85</v>
      </c>
      <c r="AO71" s="96">
        <v>1.25</v>
      </c>
      <c r="AP71" s="96">
        <v>0</v>
      </c>
      <c r="AQ71" s="96">
        <v>0.25</v>
      </c>
      <c r="AR71" s="96">
        <v>9.0909090909090912E-2</v>
      </c>
      <c r="AS71" s="95">
        <v>0.1</v>
      </c>
      <c r="AT71" s="98">
        <v>0.1</v>
      </c>
      <c r="AU71" s="91">
        <v>31</v>
      </c>
      <c r="AV71" s="92">
        <v>36</v>
      </c>
      <c r="AW71" s="68">
        <v>49</v>
      </c>
      <c r="AX71" s="69">
        <v>0.16129032258064516</v>
      </c>
      <c r="AY71" s="70">
        <v>0.58064516129032262</v>
      </c>
      <c r="AZ71" s="71">
        <v>0.3611111111111111</v>
      </c>
      <c r="BA71" s="72">
        <v>13</v>
      </c>
      <c r="BB71" s="68">
        <v>13</v>
      </c>
      <c r="BC71" s="72">
        <v>4</v>
      </c>
      <c r="BD71" s="68">
        <v>3</v>
      </c>
      <c r="BE71" s="72">
        <v>68</v>
      </c>
      <c r="BF71" s="73">
        <v>77</v>
      </c>
      <c r="BG71" s="70">
        <v>0.88311688311688308</v>
      </c>
      <c r="BH71" s="73">
        <v>44</v>
      </c>
      <c r="BI71" s="73">
        <v>49</v>
      </c>
      <c r="BJ71" s="98">
        <v>0.89795918367346939</v>
      </c>
    </row>
    <row r="72" spans="1:62" x14ac:dyDescent="0.25">
      <c r="A72" s="110"/>
      <c r="B72" s="111" t="s">
        <v>80</v>
      </c>
      <c r="C72" s="111"/>
      <c r="D72" s="111"/>
      <c r="E72" s="112"/>
      <c r="F72" s="85">
        <v>424</v>
      </c>
      <c r="G72" s="54">
        <v>357</v>
      </c>
      <c r="H72" s="55">
        <v>0</v>
      </c>
      <c r="I72" s="55">
        <v>357</v>
      </c>
      <c r="J72" s="50">
        <v>0</v>
      </c>
      <c r="K72" s="54">
        <v>0</v>
      </c>
      <c r="L72" s="55">
        <v>16</v>
      </c>
      <c r="M72" s="55">
        <v>10</v>
      </c>
      <c r="N72" s="55">
        <v>2</v>
      </c>
      <c r="O72" s="55">
        <v>0</v>
      </c>
      <c r="P72" s="55">
        <v>0</v>
      </c>
      <c r="Q72" s="55">
        <v>5</v>
      </c>
      <c r="R72" s="50">
        <v>32</v>
      </c>
      <c r="S72" s="85">
        <v>67</v>
      </c>
      <c r="T72" s="54">
        <v>21</v>
      </c>
      <c r="U72" s="55">
        <v>0</v>
      </c>
      <c r="V72" s="55">
        <v>5</v>
      </c>
      <c r="W72" s="55">
        <v>3</v>
      </c>
      <c r="X72" s="50">
        <v>13</v>
      </c>
      <c r="Y72" s="54">
        <v>969</v>
      </c>
      <c r="Z72" s="50">
        <v>296</v>
      </c>
      <c r="AA72" s="54">
        <v>920</v>
      </c>
      <c r="AB72" s="50">
        <v>260</v>
      </c>
      <c r="AC72" s="54">
        <v>839</v>
      </c>
      <c r="AD72" s="50">
        <v>283</v>
      </c>
      <c r="AE72" s="54">
        <v>133</v>
      </c>
      <c r="AF72" s="55">
        <v>52</v>
      </c>
      <c r="AG72" s="50">
        <v>112</v>
      </c>
      <c r="AH72" s="51">
        <v>-5.0567595459236329E-2</v>
      </c>
      <c r="AI72" s="52">
        <v>-0.13415892672858618</v>
      </c>
      <c r="AJ72" s="52">
        <v>-8.804347826086957E-2</v>
      </c>
      <c r="AK72" s="52">
        <v>-0.12162162162162163</v>
      </c>
      <c r="AL72" s="52">
        <v>-4.3918918918918921E-2</v>
      </c>
      <c r="AM72" s="52">
        <v>8.8461538461538466E-2</v>
      </c>
      <c r="AN72" s="86">
        <v>2.3501400560224091</v>
      </c>
      <c r="AO72" s="52">
        <v>0.79271708683473385</v>
      </c>
      <c r="AP72" s="52">
        <v>0.14565826330532214</v>
      </c>
      <c r="AQ72" s="52">
        <v>0.31372549019607843</v>
      </c>
      <c r="AR72" s="52">
        <v>8.2262210796915161E-2</v>
      </c>
      <c r="AS72" s="51">
        <v>0.1876750700280112</v>
      </c>
      <c r="AT72" s="53">
        <v>0.12885154061624648</v>
      </c>
      <c r="AU72" s="54">
        <v>317</v>
      </c>
      <c r="AV72" s="55">
        <v>289</v>
      </c>
      <c r="AW72" s="50">
        <v>338</v>
      </c>
      <c r="AX72" s="51">
        <v>-8.8328075709779186E-2</v>
      </c>
      <c r="AY72" s="52">
        <v>6.6246056782334389E-2</v>
      </c>
      <c r="AZ72" s="53">
        <v>0.16955017301038061</v>
      </c>
      <c r="BA72" s="54">
        <v>10</v>
      </c>
      <c r="BB72" s="50">
        <v>10</v>
      </c>
      <c r="BC72" s="54">
        <v>2</v>
      </c>
      <c r="BD72" s="50">
        <v>1</v>
      </c>
      <c r="BE72" s="54">
        <v>800</v>
      </c>
      <c r="BF72" s="55">
        <v>839</v>
      </c>
      <c r="BG72" s="52">
        <v>0.95351609058402864</v>
      </c>
      <c r="BH72" s="55">
        <v>323</v>
      </c>
      <c r="BI72" s="55">
        <v>338</v>
      </c>
      <c r="BJ72" s="53">
        <v>0.95562130177514792</v>
      </c>
    </row>
    <row r="73" spans="1:62" x14ac:dyDescent="0.25">
      <c r="A73" s="113"/>
      <c r="B73" s="114"/>
      <c r="C73" s="114" t="s">
        <v>81</v>
      </c>
      <c r="D73" s="114"/>
      <c r="E73" s="115"/>
      <c r="F73" s="87">
        <v>66</v>
      </c>
      <c r="G73" s="60">
        <v>44</v>
      </c>
      <c r="H73" s="61">
        <v>0</v>
      </c>
      <c r="I73" s="61">
        <v>44</v>
      </c>
      <c r="J73" s="56">
        <v>0</v>
      </c>
      <c r="K73" s="60">
        <v>0</v>
      </c>
      <c r="L73" s="61">
        <v>7</v>
      </c>
      <c r="M73" s="61">
        <v>4</v>
      </c>
      <c r="N73" s="61">
        <v>0</v>
      </c>
      <c r="O73" s="61">
        <v>0</v>
      </c>
      <c r="P73" s="61">
        <v>0</v>
      </c>
      <c r="Q73" s="61">
        <v>1</v>
      </c>
      <c r="R73" s="56">
        <v>9</v>
      </c>
      <c r="S73" s="87">
        <v>14</v>
      </c>
      <c r="T73" s="60">
        <v>2</v>
      </c>
      <c r="U73" s="61">
        <v>0</v>
      </c>
      <c r="V73" s="61">
        <v>1</v>
      </c>
      <c r="W73" s="61">
        <v>0</v>
      </c>
      <c r="X73" s="56">
        <v>1</v>
      </c>
      <c r="Y73" s="60">
        <v>231</v>
      </c>
      <c r="Z73" s="56">
        <v>69</v>
      </c>
      <c r="AA73" s="60">
        <v>230</v>
      </c>
      <c r="AB73" s="56">
        <v>61</v>
      </c>
      <c r="AC73" s="60">
        <v>99</v>
      </c>
      <c r="AD73" s="56">
        <v>42</v>
      </c>
      <c r="AE73" s="60">
        <v>28</v>
      </c>
      <c r="AF73" s="61">
        <v>9</v>
      </c>
      <c r="AG73" s="56">
        <v>16</v>
      </c>
      <c r="AH73" s="57">
        <v>-4.329004329004329E-3</v>
      </c>
      <c r="AI73" s="58">
        <v>-0.5714285714285714</v>
      </c>
      <c r="AJ73" s="58">
        <v>-0.56956521739130439</v>
      </c>
      <c r="AK73" s="58">
        <v>-0.11594202898550725</v>
      </c>
      <c r="AL73" s="58">
        <v>-0.39130434782608697</v>
      </c>
      <c r="AM73" s="58">
        <v>-0.31147540983606559</v>
      </c>
      <c r="AN73" s="88">
        <v>2.25</v>
      </c>
      <c r="AO73" s="58">
        <v>0.95454545454545459</v>
      </c>
      <c r="AP73" s="58">
        <v>0.20454545454545456</v>
      </c>
      <c r="AQ73" s="58">
        <v>0.36363636363636365</v>
      </c>
      <c r="AR73" s="58">
        <v>0.16981132075471697</v>
      </c>
      <c r="AS73" s="57">
        <v>0.31818181818181818</v>
      </c>
      <c r="AT73" s="59">
        <v>0.27272727272727271</v>
      </c>
      <c r="AU73" s="60">
        <v>121</v>
      </c>
      <c r="AV73" s="61">
        <v>111</v>
      </c>
      <c r="AW73" s="56">
        <v>61</v>
      </c>
      <c r="AX73" s="57">
        <v>-8.2644628099173556E-2</v>
      </c>
      <c r="AY73" s="58">
        <v>-0.49586776859504134</v>
      </c>
      <c r="AZ73" s="59">
        <v>-0.45045045045045046</v>
      </c>
      <c r="BA73" s="60">
        <v>11</v>
      </c>
      <c r="BB73" s="56">
        <v>11</v>
      </c>
      <c r="BC73" s="60">
        <v>2</v>
      </c>
      <c r="BD73" s="56">
        <v>1</v>
      </c>
      <c r="BE73" s="60">
        <v>98</v>
      </c>
      <c r="BF73" s="61">
        <v>99</v>
      </c>
      <c r="BG73" s="58">
        <v>0.98989898989898994</v>
      </c>
      <c r="BH73" s="61">
        <v>60</v>
      </c>
      <c r="BI73" s="61">
        <v>61</v>
      </c>
      <c r="BJ73" s="59">
        <v>0.98360655737704916</v>
      </c>
    </row>
    <row r="74" spans="1:62" x14ac:dyDescent="0.25">
      <c r="A74" s="119"/>
      <c r="B74" s="120"/>
      <c r="C74" s="120"/>
      <c r="D74" s="120"/>
      <c r="E74" s="121" t="s">
        <v>68</v>
      </c>
      <c r="F74" s="94">
        <v>66</v>
      </c>
      <c r="G74" s="91">
        <v>44</v>
      </c>
      <c r="H74" s="92">
        <v>0</v>
      </c>
      <c r="I74" s="92">
        <v>44</v>
      </c>
      <c r="J74" s="93">
        <v>0</v>
      </c>
      <c r="K74" s="91">
        <v>0</v>
      </c>
      <c r="L74" s="92">
        <v>7</v>
      </c>
      <c r="M74" s="92">
        <v>4</v>
      </c>
      <c r="N74" s="92">
        <v>0</v>
      </c>
      <c r="O74" s="92">
        <v>0</v>
      </c>
      <c r="P74" s="92">
        <v>0</v>
      </c>
      <c r="Q74" s="92">
        <v>1</v>
      </c>
      <c r="R74" s="93">
        <v>9</v>
      </c>
      <c r="S74" s="94">
        <v>14</v>
      </c>
      <c r="T74" s="91">
        <v>2</v>
      </c>
      <c r="U74" s="92">
        <v>0</v>
      </c>
      <c r="V74" s="92">
        <v>1</v>
      </c>
      <c r="W74" s="92">
        <v>0</v>
      </c>
      <c r="X74" s="93">
        <v>1</v>
      </c>
      <c r="Y74" s="91">
        <v>231</v>
      </c>
      <c r="Z74" s="93">
        <v>69</v>
      </c>
      <c r="AA74" s="91">
        <v>230</v>
      </c>
      <c r="AB74" s="93">
        <v>61</v>
      </c>
      <c r="AC74" s="91">
        <v>99</v>
      </c>
      <c r="AD74" s="93">
        <v>42</v>
      </c>
      <c r="AE74" s="91">
        <v>28</v>
      </c>
      <c r="AF74" s="92">
        <v>9</v>
      </c>
      <c r="AG74" s="93">
        <v>16</v>
      </c>
      <c r="AH74" s="95">
        <v>-4.329004329004329E-3</v>
      </c>
      <c r="AI74" s="96">
        <v>-0.5714285714285714</v>
      </c>
      <c r="AJ74" s="96">
        <v>-0.56956521739130439</v>
      </c>
      <c r="AK74" s="96">
        <v>-0.11594202898550725</v>
      </c>
      <c r="AL74" s="96">
        <v>-0.39130434782608697</v>
      </c>
      <c r="AM74" s="96">
        <v>-0.31147540983606559</v>
      </c>
      <c r="AN74" s="97">
        <v>2.25</v>
      </c>
      <c r="AO74" s="96">
        <v>0.95454545454545459</v>
      </c>
      <c r="AP74" s="96">
        <v>0.20454545454545456</v>
      </c>
      <c r="AQ74" s="96">
        <v>0.36363636363636365</v>
      </c>
      <c r="AR74" s="96">
        <v>0.16981132075471697</v>
      </c>
      <c r="AS74" s="95">
        <v>0.31818181818181818</v>
      </c>
      <c r="AT74" s="98">
        <v>0.27272727272727271</v>
      </c>
      <c r="AU74" s="91">
        <v>121</v>
      </c>
      <c r="AV74" s="92">
        <v>111</v>
      </c>
      <c r="AW74" s="68">
        <v>61</v>
      </c>
      <c r="AX74" s="69">
        <v>-8.2644628099173556E-2</v>
      </c>
      <c r="AY74" s="70">
        <v>-0.49586776859504134</v>
      </c>
      <c r="AZ74" s="71">
        <v>-0.45045045045045046</v>
      </c>
      <c r="BA74" s="72">
        <v>11</v>
      </c>
      <c r="BB74" s="68">
        <v>11</v>
      </c>
      <c r="BC74" s="72">
        <v>2</v>
      </c>
      <c r="BD74" s="68">
        <v>1</v>
      </c>
      <c r="BE74" s="72">
        <v>98</v>
      </c>
      <c r="BF74" s="73">
        <v>99</v>
      </c>
      <c r="BG74" s="70">
        <v>0.98989898989898994</v>
      </c>
      <c r="BH74" s="73">
        <v>60</v>
      </c>
      <c r="BI74" s="73">
        <v>61</v>
      </c>
      <c r="BJ74" s="98">
        <v>0.98360655737704916</v>
      </c>
    </row>
    <row r="75" spans="1:62" x14ac:dyDescent="0.25">
      <c r="A75" s="113"/>
      <c r="B75" s="114"/>
      <c r="C75" s="114" t="s">
        <v>83</v>
      </c>
      <c r="D75" s="114"/>
      <c r="E75" s="115"/>
      <c r="F75" s="87">
        <v>46</v>
      </c>
      <c r="G75" s="60">
        <v>39</v>
      </c>
      <c r="H75" s="61">
        <v>0</v>
      </c>
      <c r="I75" s="61">
        <v>39</v>
      </c>
      <c r="J75" s="56">
        <v>0</v>
      </c>
      <c r="K75" s="60">
        <v>0</v>
      </c>
      <c r="L75" s="61">
        <v>3</v>
      </c>
      <c r="M75" s="61">
        <v>0</v>
      </c>
      <c r="N75" s="61">
        <v>1</v>
      </c>
      <c r="O75" s="61">
        <v>0</v>
      </c>
      <c r="P75" s="61">
        <v>0</v>
      </c>
      <c r="Q75" s="61">
        <v>0</v>
      </c>
      <c r="R75" s="56">
        <v>3</v>
      </c>
      <c r="S75" s="87">
        <v>22</v>
      </c>
      <c r="T75" s="60"/>
      <c r="U75" s="61"/>
      <c r="V75" s="61"/>
      <c r="W75" s="61"/>
      <c r="X75" s="56"/>
      <c r="Y75" s="60">
        <v>31</v>
      </c>
      <c r="Z75" s="56">
        <v>7</v>
      </c>
      <c r="AA75" s="60">
        <v>24</v>
      </c>
      <c r="AB75" s="56">
        <v>4</v>
      </c>
      <c r="AC75" s="60">
        <v>176</v>
      </c>
      <c r="AD75" s="56">
        <v>36</v>
      </c>
      <c r="AE75" s="60">
        <v>4</v>
      </c>
      <c r="AF75" s="61">
        <v>3</v>
      </c>
      <c r="AG75" s="56">
        <v>30</v>
      </c>
      <c r="AH75" s="57">
        <v>-0.22580645161290322</v>
      </c>
      <c r="AI75" s="58">
        <v>4.67741935483871</v>
      </c>
      <c r="AJ75" s="58">
        <v>6.333333333333333</v>
      </c>
      <c r="AK75" s="58">
        <v>-0.42857142857142855</v>
      </c>
      <c r="AL75" s="58">
        <v>4.1428571428571432</v>
      </c>
      <c r="AM75" s="58">
        <v>8</v>
      </c>
      <c r="AN75" s="88">
        <v>4.5128205128205128</v>
      </c>
      <c r="AO75" s="58">
        <v>0.92307692307692313</v>
      </c>
      <c r="AP75" s="58">
        <v>7.6923076923076927E-2</v>
      </c>
      <c r="AQ75" s="58">
        <v>0.76923076923076927</v>
      </c>
      <c r="AR75" s="58">
        <v>7.1428571428571425E-2</v>
      </c>
      <c r="AS75" s="57">
        <v>0.5641025641025641</v>
      </c>
      <c r="AT75" s="59">
        <v>0.5641025641025641</v>
      </c>
      <c r="AU75" s="60">
        <v>30</v>
      </c>
      <c r="AV75" s="61">
        <v>20</v>
      </c>
      <c r="AW75" s="56">
        <v>107</v>
      </c>
      <c r="AX75" s="57">
        <v>-0.33333333333333331</v>
      </c>
      <c r="AY75" s="58">
        <v>2.5666666666666669</v>
      </c>
      <c r="AZ75" s="59">
        <v>4.3499999999999996</v>
      </c>
      <c r="BA75" s="60">
        <v>7</v>
      </c>
      <c r="BB75" s="56">
        <v>7</v>
      </c>
      <c r="BC75" s="60">
        <v>1</v>
      </c>
      <c r="BD75" s="56">
        <v>1</v>
      </c>
      <c r="BE75" s="60">
        <v>160</v>
      </c>
      <c r="BF75" s="61">
        <v>176</v>
      </c>
      <c r="BG75" s="58">
        <v>0.90909090909090906</v>
      </c>
      <c r="BH75" s="61">
        <v>102</v>
      </c>
      <c r="BI75" s="61">
        <v>107</v>
      </c>
      <c r="BJ75" s="59">
        <v>0.95327102803738317</v>
      </c>
    </row>
    <row r="76" spans="1:62" x14ac:dyDescent="0.25">
      <c r="A76" s="119"/>
      <c r="B76" s="120"/>
      <c r="C76" s="120"/>
      <c r="D76" s="120"/>
      <c r="E76" s="121" t="s">
        <v>68</v>
      </c>
      <c r="F76" s="94">
        <v>46</v>
      </c>
      <c r="G76" s="91">
        <v>39</v>
      </c>
      <c r="H76" s="92">
        <v>0</v>
      </c>
      <c r="I76" s="92">
        <v>39</v>
      </c>
      <c r="J76" s="93">
        <v>0</v>
      </c>
      <c r="K76" s="91">
        <v>0</v>
      </c>
      <c r="L76" s="92">
        <v>3</v>
      </c>
      <c r="M76" s="92">
        <v>0</v>
      </c>
      <c r="N76" s="92">
        <v>1</v>
      </c>
      <c r="O76" s="92">
        <v>0</v>
      </c>
      <c r="P76" s="92">
        <v>0</v>
      </c>
      <c r="Q76" s="92">
        <v>0</v>
      </c>
      <c r="R76" s="93">
        <v>3</v>
      </c>
      <c r="S76" s="94">
        <v>22</v>
      </c>
      <c r="T76" s="91"/>
      <c r="U76" s="92"/>
      <c r="V76" s="92"/>
      <c r="W76" s="92"/>
      <c r="X76" s="93"/>
      <c r="Y76" s="91">
        <v>31</v>
      </c>
      <c r="Z76" s="93">
        <v>7</v>
      </c>
      <c r="AA76" s="91">
        <v>24</v>
      </c>
      <c r="AB76" s="93">
        <v>4</v>
      </c>
      <c r="AC76" s="91">
        <v>176</v>
      </c>
      <c r="AD76" s="93">
        <v>36</v>
      </c>
      <c r="AE76" s="91">
        <v>4</v>
      </c>
      <c r="AF76" s="92">
        <v>3</v>
      </c>
      <c r="AG76" s="93">
        <v>30</v>
      </c>
      <c r="AH76" s="95">
        <v>-0.22580645161290322</v>
      </c>
      <c r="AI76" s="96">
        <v>4.67741935483871</v>
      </c>
      <c r="AJ76" s="96">
        <v>6.333333333333333</v>
      </c>
      <c r="AK76" s="96">
        <v>-0.42857142857142855</v>
      </c>
      <c r="AL76" s="96">
        <v>4.1428571428571432</v>
      </c>
      <c r="AM76" s="96">
        <v>8</v>
      </c>
      <c r="AN76" s="97">
        <v>4.5128205128205128</v>
      </c>
      <c r="AO76" s="96">
        <v>0.92307692307692313</v>
      </c>
      <c r="AP76" s="96">
        <v>7.6923076923076927E-2</v>
      </c>
      <c r="AQ76" s="96">
        <v>0.76923076923076927</v>
      </c>
      <c r="AR76" s="96">
        <v>7.1428571428571425E-2</v>
      </c>
      <c r="AS76" s="95">
        <v>0.5641025641025641</v>
      </c>
      <c r="AT76" s="98">
        <v>0.5641025641025641</v>
      </c>
      <c r="AU76" s="91">
        <v>30</v>
      </c>
      <c r="AV76" s="92">
        <v>20</v>
      </c>
      <c r="AW76" s="68">
        <v>107</v>
      </c>
      <c r="AX76" s="69">
        <v>-0.33333333333333331</v>
      </c>
      <c r="AY76" s="70">
        <v>2.5666666666666669</v>
      </c>
      <c r="AZ76" s="71">
        <v>4.3499999999999996</v>
      </c>
      <c r="BA76" s="72">
        <v>7</v>
      </c>
      <c r="BB76" s="68">
        <v>7</v>
      </c>
      <c r="BC76" s="72">
        <v>1</v>
      </c>
      <c r="BD76" s="68">
        <v>1</v>
      </c>
      <c r="BE76" s="72">
        <v>160</v>
      </c>
      <c r="BF76" s="73">
        <v>176</v>
      </c>
      <c r="BG76" s="70">
        <v>0.90909090909090906</v>
      </c>
      <c r="BH76" s="73">
        <v>102</v>
      </c>
      <c r="BI76" s="73">
        <v>107</v>
      </c>
      <c r="BJ76" s="98">
        <v>0.95327102803738317</v>
      </c>
    </row>
    <row r="77" spans="1:62" x14ac:dyDescent="0.25">
      <c r="A77" s="113"/>
      <c r="B77" s="114"/>
      <c r="C77" s="114" t="s">
        <v>84</v>
      </c>
      <c r="D77" s="114"/>
      <c r="E77" s="115"/>
      <c r="F77" s="87">
        <v>68</v>
      </c>
      <c r="G77" s="60">
        <v>64</v>
      </c>
      <c r="H77" s="61">
        <v>0</v>
      </c>
      <c r="I77" s="61">
        <v>64</v>
      </c>
      <c r="J77" s="56">
        <v>0</v>
      </c>
      <c r="K77" s="60">
        <v>0</v>
      </c>
      <c r="L77" s="61">
        <v>0</v>
      </c>
      <c r="M77" s="61">
        <v>0</v>
      </c>
      <c r="N77" s="61">
        <v>0</v>
      </c>
      <c r="O77" s="61">
        <v>0</v>
      </c>
      <c r="P77" s="61">
        <v>0</v>
      </c>
      <c r="Q77" s="61">
        <v>0</v>
      </c>
      <c r="R77" s="56">
        <v>4</v>
      </c>
      <c r="S77" s="87">
        <v>0</v>
      </c>
      <c r="T77" s="60"/>
      <c r="U77" s="61"/>
      <c r="V77" s="61"/>
      <c r="W77" s="61"/>
      <c r="X77" s="56"/>
      <c r="Y77" s="60">
        <v>131</v>
      </c>
      <c r="Z77" s="56">
        <v>48</v>
      </c>
      <c r="AA77" s="60">
        <v>135</v>
      </c>
      <c r="AB77" s="56">
        <v>51</v>
      </c>
      <c r="AC77" s="60">
        <v>90</v>
      </c>
      <c r="AD77" s="56">
        <v>36</v>
      </c>
      <c r="AE77" s="60">
        <v>32</v>
      </c>
      <c r="AF77" s="61">
        <v>10</v>
      </c>
      <c r="AG77" s="56">
        <v>13</v>
      </c>
      <c r="AH77" s="57">
        <v>3.0534351145038167E-2</v>
      </c>
      <c r="AI77" s="58">
        <v>-0.31297709923664124</v>
      </c>
      <c r="AJ77" s="58">
        <v>-0.33333333333333331</v>
      </c>
      <c r="AK77" s="58">
        <v>6.25E-2</v>
      </c>
      <c r="AL77" s="58">
        <v>-0.25</v>
      </c>
      <c r="AM77" s="58">
        <v>-0.29411764705882354</v>
      </c>
      <c r="AN77" s="88">
        <v>1.40625</v>
      </c>
      <c r="AO77" s="58">
        <v>0.5625</v>
      </c>
      <c r="AP77" s="58">
        <v>0.15625</v>
      </c>
      <c r="AQ77" s="58">
        <v>0.203125</v>
      </c>
      <c r="AR77" s="58">
        <v>5.8823529411764705E-2</v>
      </c>
      <c r="AS77" s="57">
        <v>0</v>
      </c>
      <c r="AT77" s="59">
        <v>0</v>
      </c>
      <c r="AU77" s="60">
        <v>80</v>
      </c>
      <c r="AV77" s="61">
        <v>69</v>
      </c>
      <c r="AW77" s="56">
        <v>58</v>
      </c>
      <c r="AX77" s="57">
        <v>-0.13750000000000001</v>
      </c>
      <c r="AY77" s="58">
        <v>-0.27500000000000002</v>
      </c>
      <c r="AZ77" s="59">
        <v>-0.15942028985507245</v>
      </c>
      <c r="BA77" s="60">
        <v>10</v>
      </c>
      <c r="BB77" s="56">
        <v>10</v>
      </c>
      <c r="BC77" s="60">
        <v>2</v>
      </c>
      <c r="BD77" s="56">
        <v>2</v>
      </c>
      <c r="BE77" s="60">
        <v>85</v>
      </c>
      <c r="BF77" s="61">
        <v>90</v>
      </c>
      <c r="BG77" s="58">
        <v>0.94444444444444442</v>
      </c>
      <c r="BH77" s="61">
        <v>57</v>
      </c>
      <c r="BI77" s="61">
        <v>58</v>
      </c>
      <c r="BJ77" s="59">
        <v>0.98275862068965514</v>
      </c>
    </row>
    <row r="78" spans="1:62" x14ac:dyDescent="0.25">
      <c r="A78" s="119"/>
      <c r="B78" s="120"/>
      <c r="C78" s="120"/>
      <c r="D78" s="120"/>
      <c r="E78" s="121" t="s">
        <v>68</v>
      </c>
      <c r="F78" s="94">
        <v>68</v>
      </c>
      <c r="G78" s="91">
        <v>64</v>
      </c>
      <c r="H78" s="92">
        <v>0</v>
      </c>
      <c r="I78" s="92">
        <v>64</v>
      </c>
      <c r="J78" s="93">
        <v>0</v>
      </c>
      <c r="K78" s="91">
        <v>0</v>
      </c>
      <c r="L78" s="92">
        <v>0</v>
      </c>
      <c r="M78" s="92">
        <v>0</v>
      </c>
      <c r="N78" s="92">
        <v>0</v>
      </c>
      <c r="O78" s="92">
        <v>0</v>
      </c>
      <c r="P78" s="92">
        <v>0</v>
      </c>
      <c r="Q78" s="92">
        <v>0</v>
      </c>
      <c r="R78" s="93">
        <v>4</v>
      </c>
      <c r="S78" s="94">
        <v>0</v>
      </c>
      <c r="T78" s="91"/>
      <c r="U78" s="92"/>
      <c r="V78" s="92"/>
      <c r="W78" s="92"/>
      <c r="X78" s="93"/>
      <c r="Y78" s="91">
        <v>131</v>
      </c>
      <c r="Z78" s="93">
        <v>48</v>
      </c>
      <c r="AA78" s="91">
        <v>135</v>
      </c>
      <c r="AB78" s="93">
        <v>51</v>
      </c>
      <c r="AC78" s="91">
        <v>90</v>
      </c>
      <c r="AD78" s="93">
        <v>36</v>
      </c>
      <c r="AE78" s="91">
        <v>32</v>
      </c>
      <c r="AF78" s="92">
        <v>10</v>
      </c>
      <c r="AG78" s="93">
        <v>13</v>
      </c>
      <c r="AH78" s="95">
        <v>3.0534351145038167E-2</v>
      </c>
      <c r="AI78" s="96">
        <v>-0.31297709923664124</v>
      </c>
      <c r="AJ78" s="96">
        <v>-0.33333333333333331</v>
      </c>
      <c r="AK78" s="96">
        <v>6.25E-2</v>
      </c>
      <c r="AL78" s="96">
        <v>-0.25</v>
      </c>
      <c r="AM78" s="96">
        <v>-0.29411764705882354</v>
      </c>
      <c r="AN78" s="97">
        <v>1.40625</v>
      </c>
      <c r="AO78" s="96">
        <v>0.5625</v>
      </c>
      <c r="AP78" s="96">
        <v>0.15625</v>
      </c>
      <c r="AQ78" s="96">
        <v>0.203125</v>
      </c>
      <c r="AR78" s="96">
        <v>5.8823529411764705E-2</v>
      </c>
      <c r="AS78" s="95">
        <v>0</v>
      </c>
      <c r="AT78" s="98">
        <v>0</v>
      </c>
      <c r="AU78" s="91">
        <v>80</v>
      </c>
      <c r="AV78" s="92">
        <v>69</v>
      </c>
      <c r="AW78" s="68">
        <v>58</v>
      </c>
      <c r="AX78" s="69">
        <v>-0.13750000000000001</v>
      </c>
      <c r="AY78" s="70">
        <v>-0.27500000000000002</v>
      </c>
      <c r="AZ78" s="71">
        <v>-0.15942028985507245</v>
      </c>
      <c r="BA78" s="72">
        <v>10</v>
      </c>
      <c r="BB78" s="68">
        <v>10</v>
      </c>
      <c r="BC78" s="72">
        <v>2</v>
      </c>
      <c r="BD78" s="68">
        <v>2</v>
      </c>
      <c r="BE78" s="72">
        <v>85</v>
      </c>
      <c r="BF78" s="73">
        <v>90</v>
      </c>
      <c r="BG78" s="70">
        <v>0.94444444444444442</v>
      </c>
      <c r="BH78" s="73">
        <v>57</v>
      </c>
      <c r="BI78" s="73">
        <v>58</v>
      </c>
      <c r="BJ78" s="98">
        <v>0.98275862068965514</v>
      </c>
    </row>
    <row r="79" spans="1:62" x14ac:dyDescent="0.25">
      <c r="A79" s="113"/>
      <c r="B79" s="114"/>
      <c r="C79" s="114" t="s">
        <v>85</v>
      </c>
      <c r="D79" s="114"/>
      <c r="E79" s="115"/>
      <c r="F79" s="87">
        <v>9</v>
      </c>
      <c r="G79" s="60">
        <v>9</v>
      </c>
      <c r="H79" s="61">
        <v>0</v>
      </c>
      <c r="I79" s="61">
        <v>9</v>
      </c>
      <c r="J79" s="56">
        <v>0</v>
      </c>
      <c r="K79" s="60">
        <v>0</v>
      </c>
      <c r="L79" s="61">
        <v>0</v>
      </c>
      <c r="M79" s="61">
        <v>0</v>
      </c>
      <c r="N79" s="61">
        <v>0</v>
      </c>
      <c r="O79" s="61">
        <v>0</v>
      </c>
      <c r="P79" s="61">
        <v>0</v>
      </c>
      <c r="Q79" s="61">
        <v>0</v>
      </c>
      <c r="R79" s="56">
        <v>0</v>
      </c>
      <c r="S79" s="87">
        <v>1</v>
      </c>
      <c r="T79" s="60"/>
      <c r="U79" s="61"/>
      <c r="V79" s="61"/>
      <c r="W79" s="61"/>
      <c r="X79" s="56"/>
      <c r="Y79" s="60">
        <v>35</v>
      </c>
      <c r="Z79" s="56">
        <v>6</v>
      </c>
      <c r="AA79" s="60">
        <v>30</v>
      </c>
      <c r="AB79" s="56">
        <v>7</v>
      </c>
      <c r="AC79" s="60">
        <v>25</v>
      </c>
      <c r="AD79" s="56">
        <v>8</v>
      </c>
      <c r="AE79" s="60">
        <v>2</v>
      </c>
      <c r="AF79" s="61">
        <v>2</v>
      </c>
      <c r="AG79" s="56">
        <v>1</v>
      </c>
      <c r="AH79" s="57">
        <v>-0.14285714285714285</v>
      </c>
      <c r="AI79" s="58">
        <v>-0.2857142857142857</v>
      </c>
      <c r="AJ79" s="58">
        <v>-0.16666666666666666</v>
      </c>
      <c r="AK79" s="58">
        <v>0.16666666666666666</v>
      </c>
      <c r="AL79" s="58">
        <v>0.33333333333333331</v>
      </c>
      <c r="AM79" s="58">
        <v>0.14285714285714285</v>
      </c>
      <c r="AN79" s="88">
        <v>2.7777777777777777</v>
      </c>
      <c r="AO79" s="58">
        <v>0.88888888888888884</v>
      </c>
      <c r="AP79" s="58">
        <v>0.22222222222222221</v>
      </c>
      <c r="AQ79" s="58">
        <v>0.1111111111111111</v>
      </c>
      <c r="AR79" s="58">
        <v>0</v>
      </c>
      <c r="AS79" s="57">
        <v>0.1111111111111111</v>
      </c>
      <c r="AT79" s="59">
        <v>0.1111111111111111</v>
      </c>
      <c r="AU79" s="60">
        <v>27</v>
      </c>
      <c r="AV79" s="61">
        <v>27</v>
      </c>
      <c r="AW79" s="56">
        <v>19</v>
      </c>
      <c r="AX79" s="57">
        <v>0</v>
      </c>
      <c r="AY79" s="58">
        <v>-0.29629629629629628</v>
      </c>
      <c r="AZ79" s="59">
        <v>-0.29629629629629628</v>
      </c>
      <c r="BA79" s="60">
        <v>12</v>
      </c>
      <c r="BB79" s="56">
        <v>10</v>
      </c>
      <c r="BC79" s="60">
        <v>2</v>
      </c>
      <c r="BD79" s="56">
        <v>2</v>
      </c>
      <c r="BE79" s="60">
        <v>24</v>
      </c>
      <c r="BF79" s="61">
        <v>25</v>
      </c>
      <c r="BG79" s="58">
        <v>0.96</v>
      </c>
      <c r="BH79" s="61">
        <v>18</v>
      </c>
      <c r="BI79" s="61">
        <v>19</v>
      </c>
      <c r="BJ79" s="59">
        <v>0.94736842105263153</v>
      </c>
    </row>
    <row r="80" spans="1:62" x14ac:dyDescent="0.25">
      <c r="A80" s="119"/>
      <c r="B80" s="120"/>
      <c r="C80" s="120"/>
      <c r="D80" s="120"/>
      <c r="E80" s="121" t="s">
        <v>68</v>
      </c>
      <c r="F80" s="94">
        <v>9</v>
      </c>
      <c r="G80" s="91">
        <v>9</v>
      </c>
      <c r="H80" s="92">
        <v>0</v>
      </c>
      <c r="I80" s="92">
        <v>9</v>
      </c>
      <c r="J80" s="93">
        <v>0</v>
      </c>
      <c r="K80" s="91">
        <v>0</v>
      </c>
      <c r="L80" s="92">
        <v>0</v>
      </c>
      <c r="M80" s="92">
        <v>0</v>
      </c>
      <c r="N80" s="92">
        <v>0</v>
      </c>
      <c r="O80" s="92">
        <v>0</v>
      </c>
      <c r="P80" s="92">
        <v>0</v>
      </c>
      <c r="Q80" s="92">
        <v>0</v>
      </c>
      <c r="R80" s="93">
        <v>0</v>
      </c>
      <c r="S80" s="94">
        <v>1</v>
      </c>
      <c r="T80" s="91"/>
      <c r="U80" s="92"/>
      <c r="V80" s="92"/>
      <c r="W80" s="92"/>
      <c r="X80" s="93"/>
      <c r="Y80" s="91">
        <v>35</v>
      </c>
      <c r="Z80" s="93">
        <v>6</v>
      </c>
      <c r="AA80" s="91">
        <v>30</v>
      </c>
      <c r="AB80" s="93">
        <v>7</v>
      </c>
      <c r="AC80" s="91">
        <v>25</v>
      </c>
      <c r="AD80" s="93">
        <v>8</v>
      </c>
      <c r="AE80" s="91">
        <v>2</v>
      </c>
      <c r="AF80" s="92">
        <v>2</v>
      </c>
      <c r="AG80" s="93">
        <v>1</v>
      </c>
      <c r="AH80" s="95">
        <v>-0.14285714285714285</v>
      </c>
      <c r="AI80" s="96">
        <v>-0.2857142857142857</v>
      </c>
      <c r="AJ80" s="96">
        <v>-0.16666666666666666</v>
      </c>
      <c r="AK80" s="96">
        <v>0.16666666666666666</v>
      </c>
      <c r="AL80" s="96">
        <v>0.33333333333333331</v>
      </c>
      <c r="AM80" s="96">
        <v>0.14285714285714285</v>
      </c>
      <c r="AN80" s="97">
        <v>2.7777777777777777</v>
      </c>
      <c r="AO80" s="96">
        <v>0.88888888888888884</v>
      </c>
      <c r="AP80" s="96">
        <v>0.22222222222222221</v>
      </c>
      <c r="AQ80" s="96">
        <v>0.1111111111111111</v>
      </c>
      <c r="AR80" s="96">
        <v>0</v>
      </c>
      <c r="AS80" s="95">
        <v>0.1111111111111111</v>
      </c>
      <c r="AT80" s="98">
        <v>0.1111111111111111</v>
      </c>
      <c r="AU80" s="91">
        <v>27</v>
      </c>
      <c r="AV80" s="92">
        <v>27</v>
      </c>
      <c r="AW80" s="68">
        <v>19</v>
      </c>
      <c r="AX80" s="69">
        <v>0</v>
      </c>
      <c r="AY80" s="70">
        <v>-0.29629629629629628</v>
      </c>
      <c r="AZ80" s="71">
        <v>-0.29629629629629628</v>
      </c>
      <c r="BA80" s="72">
        <v>12</v>
      </c>
      <c r="BB80" s="68">
        <v>10</v>
      </c>
      <c r="BC80" s="72">
        <v>2</v>
      </c>
      <c r="BD80" s="68">
        <v>2</v>
      </c>
      <c r="BE80" s="72">
        <v>24</v>
      </c>
      <c r="BF80" s="73">
        <v>25</v>
      </c>
      <c r="BG80" s="70">
        <v>0.96</v>
      </c>
      <c r="BH80" s="73">
        <v>18</v>
      </c>
      <c r="BI80" s="73">
        <v>19</v>
      </c>
      <c r="BJ80" s="98">
        <v>0.94736842105263153</v>
      </c>
    </row>
    <row r="81" spans="1:62" x14ac:dyDescent="0.25">
      <c r="A81" s="113"/>
      <c r="B81" s="114"/>
      <c r="C81" s="114" t="s">
        <v>89</v>
      </c>
      <c r="D81" s="114"/>
      <c r="E81" s="115"/>
      <c r="F81" s="87">
        <v>10</v>
      </c>
      <c r="G81" s="60">
        <v>7</v>
      </c>
      <c r="H81" s="61">
        <v>0</v>
      </c>
      <c r="I81" s="61">
        <v>7</v>
      </c>
      <c r="J81" s="56">
        <v>0</v>
      </c>
      <c r="K81" s="60">
        <v>0</v>
      </c>
      <c r="L81" s="61">
        <v>1</v>
      </c>
      <c r="M81" s="61">
        <v>0</v>
      </c>
      <c r="N81" s="61">
        <v>0</v>
      </c>
      <c r="O81" s="61">
        <v>0</v>
      </c>
      <c r="P81" s="61">
        <v>0</v>
      </c>
      <c r="Q81" s="61">
        <v>1</v>
      </c>
      <c r="R81" s="56">
        <v>1</v>
      </c>
      <c r="S81" s="87">
        <v>1</v>
      </c>
      <c r="T81" s="60">
        <v>1</v>
      </c>
      <c r="U81" s="61">
        <v>0</v>
      </c>
      <c r="V81" s="61">
        <v>1</v>
      </c>
      <c r="W81" s="61">
        <v>0</v>
      </c>
      <c r="X81" s="56">
        <v>0</v>
      </c>
      <c r="Y81" s="60">
        <v>13</v>
      </c>
      <c r="Z81" s="56">
        <v>4</v>
      </c>
      <c r="AA81" s="60">
        <v>10</v>
      </c>
      <c r="AB81" s="56">
        <v>5</v>
      </c>
      <c r="AC81" s="60">
        <v>7</v>
      </c>
      <c r="AD81" s="56">
        <v>5</v>
      </c>
      <c r="AE81" s="60">
        <v>5</v>
      </c>
      <c r="AF81" s="61">
        <v>2</v>
      </c>
      <c r="AG81" s="56">
        <v>1</v>
      </c>
      <c r="AH81" s="57">
        <v>-0.23076923076923078</v>
      </c>
      <c r="AI81" s="58">
        <v>-0.46153846153846156</v>
      </c>
      <c r="AJ81" s="58">
        <v>-0.3</v>
      </c>
      <c r="AK81" s="58">
        <v>0.25</v>
      </c>
      <c r="AL81" s="58">
        <v>0.25</v>
      </c>
      <c r="AM81" s="58">
        <v>0</v>
      </c>
      <c r="AN81" s="88">
        <v>1</v>
      </c>
      <c r="AO81" s="58">
        <v>0.7142857142857143</v>
      </c>
      <c r="AP81" s="58">
        <v>0.2857142857142857</v>
      </c>
      <c r="AQ81" s="58">
        <v>0.14285714285714285</v>
      </c>
      <c r="AR81" s="58">
        <v>0.125</v>
      </c>
      <c r="AS81" s="57">
        <v>0.14285714285714285</v>
      </c>
      <c r="AT81" s="59">
        <v>0</v>
      </c>
      <c r="AU81" s="60">
        <v>8</v>
      </c>
      <c r="AV81" s="61">
        <v>10</v>
      </c>
      <c r="AW81" s="56">
        <v>5</v>
      </c>
      <c r="AX81" s="57">
        <v>0.25</v>
      </c>
      <c r="AY81" s="58">
        <v>-0.375</v>
      </c>
      <c r="AZ81" s="59">
        <v>-0.5</v>
      </c>
      <c r="BA81" s="60">
        <v>12</v>
      </c>
      <c r="BB81" s="56">
        <v>12</v>
      </c>
      <c r="BC81" s="60">
        <v>6</v>
      </c>
      <c r="BD81" s="56">
        <v>6</v>
      </c>
      <c r="BE81" s="60">
        <v>7</v>
      </c>
      <c r="BF81" s="61">
        <v>7</v>
      </c>
      <c r="BG81" s="58">
        <v>1</v>
      </c>
      <c r="BH81" s="61">
        <v>5</v>
      </c>
      <c r="BI81" s="61">
        <v>5</v>
      </c>
      <c r="BJ81" s="59">
        <v>1</v>
      </c>
    </row>
    <row r="82" spans="1:62" x14ac:dyDescent="0.25">
      <c r="A82" s="119"/>
      <c r="B82" s="120"/>
      <c r="C82" s="120"/>
      <c r="D82" s="120"/>
      <c r="E82" s="121" t="s">
        <v>68</v>
      </c>
      <c r="F82" s="94">
        <v>10</v>
      </c>
      <c r="G82" s="91">
        <v>7</v>
      </c>
      <c r="H82" s="92">
        <v>0</v>
      </c>
      <c r="I82" s="92">
        <v>7</v>
      </c>
      <c r="J82" s="93">
        <v>0</v>
      </c>
      <c r="K82" s="91">
        <v>0</v>
      </c>
      <c r="L82" s="92">
        <v>1</v>
      </c>
      <c r="M82" s="92">
        <v>0</v>
      </c>
      <c r="N82" s="92">
        <v>0</v>
      </c>
      <c r="O82" s="92">
        <v>0</v>
      </c>
      <c r="P82" s="92">
        <v>0</v>
      </c>
      <c r="Q82" s="92">
        <v>1</v>
      </c>
      <c r="R82" s="93">
        <v>1</v>
      </c>
      <c r="S82" s="94">
        <v>1</v>
      </c>
      <c r="T82" s="91">
        <v>1</v>
      </c>
      <c r="U82" s="92">
        <v>0</v>
      </c>
      <c r="V82" s="92">
        <v>1</v>
      </c>
      <c r="W82" s="92">
        <v>0</v>
      </c>
      <c r="X82" s="93">
        <v>0</v>
      </c>
      <c r="Y82" s="91">
        <v>13</v>
      </c>
      <c r="Z82" s="93">
        <v>4</v>
      </c>
      <c r="AA82" s="91">
        <v>10</v>
      </c>
      <c r="AB82" s="93">
        <v>5</v>
      </c>
      <c r="AC82" s="91">
        <v>7</v>
      </c>
      <c r="AD82" s="93">
        <v>5</v>
      </c>
      <c r="AE82" s="91">
        <v>5</v>
      </c>
      <c r="AF82" s="92">
        <v>2</v>
      </c>
      <c r="AG82" s="93">
        <v>1</v>
      </c>
      <c r="AH82" s="95">
        <v>-0.23076923076923078</v>
      </c>
      <c r="AI82" s="96">
        <v>-0.46153846153846156</v>
      </c>
      <c r="AJ82" s="96">
        <v>-0.3</v>
      </c>
      <c r="AK82" s="96">
        <v>0.25</v>
      </c>
      <c r="AL82" s="96">
        <v>0.25</v>
      </c>
      <c r="AM82" s="96">
        <v>0</v>
      </c>
      <c r="AN82" s="97">
        <v>1</v>
      </c>
      <c r="AO82" s="96">
        <v>0.7142857142857143</v>
      </c>
      <c r="AP82" s="96">
        <v>0.2857142857142857</v>
      </c>
      <c r="AQ82" s="96">
        <v>0.14285714285714285</v>
      </c>
      <c r="AR82" s="96">
        <v>0.125</v>
      </c>
      <c r="AS82" s="95">
        <v>0.14285714285714285</v>
      </c>
      <c r="AT82" s="98">
        <v>0</v>
      </c>
      <c r="AU82" s="91">
        <v>8</v>
      </c>
      <c r="AV82" s="92">
        <v>10</v>
      </c>
      <c r="AW82" s="68">
        <v>5</v>
      </c>
      <c r="AX82" s="69">
        <v>0.25</v>
      </c>
      <c r="AY82" s="70">
        <v>-0.375</v>
      </c>
      <c r="AZ82" s="71">
        <v>-0.5</v>
      </c>
      <c r="BA82" s="72">
        <v>12</v>
      </c>
      <c r="BB82" s="68">
        <v>12</v>
      </c>
      <c r="BC82" s="72">
        <v>6</v>
      </c>
      <c r="BD82" s="68">
        <v>6</v>
      </c>
      <c r="BE82" s="72">
        <v>7</v>
      </c>
      <c r="BF82" s="73">
        <v>7</v>
      </c>
      <c r="BG82" s="70">
        <v>1</v>
      </c>
      <c r="BH82" s="73">
        <v>5</v>
      </c>
      <c r="BI82" s="73">
        <v>5</v>
      </c>
      <c r="BJ82" s="98">
        <v>1</v>
      </c>
    </row>
    <row r="83" spans="1:62" x14ac:dyDescent="0.25">
      <c r="A83" s="113"/>
      <c r="B83" s="114"/>
      <c r="C83" s="114" t="s">
        <v>90</v>
      </c>
      <c r="D83" s="114"/>
      <c r="E83" s="115"/>
      <c r="F83" s="87">
        <v>6</v>
      </c>
      <c r="G83" s="60">
        <v>6</v>
      </c>
      <c r="H83" s="61">
        <v>0</v>
      </c>
      <c r="I83" s="61">
        <v>6</v>
      </c>
      <c r="J83" s="56">
        <v>0</v>
      </c>
      <c r="K83" s="60">
        <v>0</v>
      </c>
      <c r="L83" s="61">
        <v>0</v>
      </c>
      <c r="M83" s="61">
        <v>0</v>
      </c>
      <c r="N83" s="61">
        <v>0</v>
      </c>
      <c r="O83" s="61">
        <v>0</v>
      </c>
      <c r="P83" s="61">
        <v>0</v>
      </c>
      <c r="Q83" s="61">
        <v>0</v>
      </c>
      <c r="R83" s="56">
        <v>0</v>
      </c>
      <c r="S83" s="87">
        <v>0</v>
      </c>
      <c r="T83" s="60"/>
      <c r="U83" s="61"/>
      <c r="V83" s="61"/>
      <c r="W83" s="61"/>
      <c r="X83" s="56"/>
      <c r="Y83" s="60">
        <v>8</v>
      </c>
      <c r="Z83" s="56">
        <v>4</v>
      </c>
      <c r="AA83" s="60">
        <v>19</v>
      </c>
      <c r="AB83" s="56">
        <v>5</v>
      </c>
      <c r="AC83" s="60">
        <v>20</v>
      </c>
      <c r="AD83" s="56">
        <v>6</v>
      </c>
      <c r="AE83" s="60">
        <v>0</v>
      </c>
      <c r="AF83" s="61">
        <v>0</v>
      </c>
      <c r="AG83" s="56">
        <v>1</v>
      </c>
      <c r="AH83" s="57">
        <v>1.375</v>
      </c>
      <c r="AI83" s="58">
        <v>1.5</v>
      </c>
      <c r="AJ83" s="58">
        <v>5.2631578947368418E-2</v>
      </c>
      <c r="AK83" s="58">
        <v>0.25</v>
      </c>
      <c r="AL83" s="58">
        <v>0.5</v>
      </c>
      <c r="AM83" s="58">
        <v>0.2</v>
      </c>
      <c r="AN83" s="88">
        <v>3.3333333333333335</v>
      </c>
      <c r="AO83" s="58">
        <v>1</v>
      </c>
      <c r="AP83" s="58">
        <v>0</v>
      </c>
      <c r="AQ83" s="58">
        <v>0.16666666666666666</v>
      </c>
      <c r="AR83" s="58">
        <v>0</v>
      </c>
      <c r="AS83" s="57">
        <v>0</v>
      </c>
      <c r="AT83" s="59">
        <v>0</v>
      </c>
      <c r="AU83" s="60">
        <v>6</v>
      </c>
      <c r="AV83" s="61">
        <v>15</v>
      </c>
      <c r="AW83" s="56">
        <v>12</v>
      </c>
      <c r="AX83" s="57">
        <v>1.5</v>
      </c>
      <c r="AY83" s="58">
        <v>1</v>
      </c>
      <c r="AZ83" s="59">
        <v>-0.2</v>
      </c>
      <c r="BA83" s="60">
        <v>14</v>
      </c>
      <c r="BB83" s="56">
        <v>13</v>
      </c>
      <c r="BC83" s="60">
        <v>1</v>
      </c>
      <c r="BD83" s="56">
        <v>1.5</v>
      </c>
      <c r="BE83" s="60">
        <v>20</v>
      </c>
      <c r="BF83" s="61">
        <v>20</v>
      </c>
      <c r="BG83" s="58">
        <v>1</v>
      </c>
      <c r="BH83" s="61">
        <v>12</v>
      </c>
      <c r="BI83" s="61">
        <v>12</v>
      </c>
      <c r="BJ83" s="59">
        <v>1</v>
      </c>
    </row>
    <row r="84" spans="1:62" x14ac:dyDescent="0.25">
      <c r="A84" s="119"/>
      <c r="B84" s="120"/>
      <c r="C84" s="120"/>
      <c r="D84" s="120"/>
      <c r="E84" s="121" t="s">
        <v>68</v>
      </c>
      <c r="F84" s="94">
        <v>6</v>
      </c>
      <c r="G84" s="91">
        <v>6</v>
      </c>
      <c r="H84" s="92">
        <v>0</v>
      </c>
      <c r="I84" s="92">
        <v>6</v>
      </c>
      <c r="J84" s="93">
        <v>0</v>
      </c>
      <c r="K84" s="91">
        <v>0</v>
      </c>
      <c r="L84" s="92">
        <v>0</v>
      </c>
      <c r="M84" s="92">
        <v>0</v>
      </c>
      <c r="N84" s="92">
        <v>0</v>
      </c>
      <c r="O84" s="92">
        <v>0</v>
      </c>
      <c r="P84" s="92">
        <v>0</v>
      </c>
      <c r="Q84" s="92">
        <v>0</v>
      </c>
      <c r="R84" s="93">
        <v>0</v>
      </c>
      <c r="S84" s="94">
        <v>0</v>
      </c>
      <c r="T84" s="91"/>
      <c r="U84" s="92"/>
      <c r="V84" s="92"/>
      <c r="W84" s="92"/>
      <c r="X84" s="93"/>
      <c r="Y84" s="91">
        <v>8</v>
      </c>
      <c r="Z84" s="93">
        <v>4</v>
      </c>
      <c r="AA84" s="91">
        <v>19</v>
      </c>
      <c r="AB84" s="93">
        <v>5</v>
      </c>
      <c r="AC84" s="91">
        <v>20</v>
      </c>
      <c r="AD84" s="93">
        <v>6</v>
      </c>
      <c r="AE84" s="91">
        <v>0</v>
      </c>
      <c r="AF84" s="92">
        <v>0</v>
      </c>
      <c r="AG84" s="93">
        <v>1</v>
      </c>
      <c r="AH84" s="95">
        <v>1.375</v>
      </c>
      <c r="AI84" s="96">
        <v>1.5</v>
      </c>
      <c r="AJ84" s="96">
        <v>5.2631578947368418E-2</v>
      </c>
      <c r="AK84" s="96">
        <v>0.25</v>
      </c>
      <c r="AL84" s="96">
        <v>0.5</v>
      </c>
      <c r="AM84" s="96">
        <v>0.2</v>
      </c>
      <c r="AN84" s="97">
        <v>3.3333333333333335</v>
      </c>
      <c r="AO84" s="96">
        <v>1</v>
      </c>
      <c r="AP84" s="96">
        <v>0</v>
      </c>
      <c r="AQ84" s="96">
        <v>0.16666666666666666</v>
      </c>
      <c r="AR84" s="96">
        <v>0</v>
      </c>
      <c r="AS84" s="95">
        <v>0</v>
      </c>
      <c r="AT84" s="98">
        <v>0</v>
      </c>
      <c r="AU84" s="91">
        <v>6</v>
      </c>
      <c r="AV84" s="92">
        <v>15</v>
      </c>
      <c r="AW84" s="68">
        <v>12</v>
      </c>
      <c r="AX84" s="69">
        <v>1.5</v>
      </c>
      <c r="AY84" s="70">
        <v>1</v>
      </c>
      <c r="AZ84" s="71">
        <v>-0.2</v>
      </c>
      <c r="BA84" s="72">
        <v>14</v>
      </c>
      <c r="BB84" s="68">
        <v>13</v>
      </c>
      <c r="BC84" s="72">
        <v>1</v>
      </c>
      <c r="BD84" s="68">
        <v>1.5</v>
      </c>
      <c r="BE84" s="72">
        <v>20</v>
      </c>
      <c r="BF84" s="73">
        <v>20</v>
      </c>
      <c r="BG84" s="70">
        <v>1</v>
      </c>
      <c r="BH84" s="73">
        <v>12</v>
      </c>
      <c r="BI84" s="73">
        <v>12</v>
      </c>
      <c r="BJ84" s="98">
        <v>1</v>
      </c>
    </row>
    <row r="85" spans="1:62" x14ac:dyDescent="0.25">
      <c r="A85" s="113"/>
      <c r="B85" s="114"/>
      <c r="C85" s="114" t="s">
        <v>91</v>
      </c>
      <c r="D85" s="114"/>
      <c r="E85" s="115"/>
      <c r="F85" s="87">
        <v>75</v>
      </c>
      <c r="G85" s="60">
        <v>64</v>
      </c>
      <c r="H85" s="61">
        <v>0</v>
      </c>
      <c r="I85" s="61">
        <v>64</v>
      </c>
      <c r="J85" s="56">
        <v>0</v>
      </c>
      <c r="K85" s="60">
        <v>0</v>
      </c>
      <c r="L85" s="61">
        <v>2</v>
      </c>
      <c r="M85" s="61">
        <v>2</v>
      </c>
      <c r="N85" s="61">
        <v>1</v>
      </c>
      <c r="O85" s="61">
        <v>0</v>
      </c>
      <c r="P85" s="61">
        <v>0</v>
      </c>
      <c r="Q85" s="61">
        <v>0</v>
      </c>
      <c r="R85" s="56">
        <v>5</v>
      </c>
      <c r="S85" s="87">
        <v>15</v>
      </c>
      <c r="T85" s="60">
        <v>5</v>
      </c>
      <c r="U85" s="61">
        <v>0</v>
      </c>
      <c r="V85" s="61">
        <v>0</v>
      </c>
      <c r="W85" s="61">
        <v>1</v>
      </c>
      <c r="X85" s="56">
        <v>4</v>
      </c>
      <c r="Y85" s="60">
        <v>110</v>
      </c>
      <c r="Z85" s="56">
        <v>33</v>
      </c>
      <c r="AA85" s="60">
        <v>167</v>
      </c>
      <c r="AB85" s="56">
        <v>28</v>
      </c>
      <c r="AC85" s="60">
        <v>136</v>
      </c>
      <c r="AD85" s="56">
        <v>45</v>
      </c>
      <c r="AE85" s="60">
        <v>24</v>
      </c>
      <c r="AF85" s="61">
        <v>13</v>
      </c>
      <c r="AG85" s="56">
        <v>26</v>
      </c>
      <c r="AH85" s="57">
        <v>0.51818181818181819</v>
      </c>
      <c r="AI85" s="58">
        <v>0.23636363636363636</v>
      </c>
      <c r="AJ85" s="58">
        <v>-0.18562874251497005</v>
      </c>
      <c r="AK85" s="58">
        <v>-0.15151515151515152</v>
      </c>
      <c r="AL85" s="58">
        <v>0.36363636363636365</v>
      </c>
      <c r="AM85" s="58">
        <v>0.6071428571428571</v>
      </c>
      <c r="AN85" s="88">
        <v>2.125</v>
      </c>
      <c r="AO85" s="58">
        <v>0.703125</v>
      </c>
      <c r="AP85" s="58">
        <v>0.203125</v>
      </c>
      <c r="AQ85" s="58">
        <v>0.40625</v>
      </c>
      <c r="AR85" s="58">
        <v>7.2463768115942032E-2</v>
      </c>
      <c r="AS85" s="57">
        <v>0.234375</v>
      </c>
      <c r="AT85" s="59">
        <v>0.15625</v>
      </c>
      <c r="AU85" s="60">
        <v>75</v>
      </c>
      <c r="AV85" s="61">
        <v>92</v>
      </c>
      <c r="AW85" s="56">
        <v>93</v>
      </c>
      <c r="AX85" s="57">
        <v>0.22666666666666666</v>
      </c>
      <c r="AY85" s="58">
        <v>0.24</v>
      </c>
      <c r="AZ85" s="59">
        <v>1.0869565217391304E-2</v>
      </c>
      <c r="BA85" s="60">
        <v>10</v>
      </c>
      <c r="BB85" s="56">
        <v>10</v>
      </c>
      <c r="BC85" s="60">
        <v>2</v>
      </c>
      <c r="BD85" s="56">
        <v>2</v>
      </c>
      <c r="BE85" s="60">
        <v>136</v>
      </c>
      <c r="BF85" s="61">
        <v>136</v>
      </c>
      <c r="BG85" s="58">
        <v>1</v>
      </c>
      <c r="BH85" s="61">
        <v>93</v>
      </c>
      <c r="BI85" s="61">
        <v>93</v>
      </c>
      <c r="BJ85" s="59">
        <v>1</v>
      </c>
    </row>
    <row r="86" spans="1:62" x14ac:dyDescent="0.25">
      <c r="A86" s="119"/>
      <c r="B86" s="120"/>
      <c r="C86" s="120"/>
      <c r="D86" s="120"/>
      <c r="E86" s="121" t="s">
        <v>68</v>
      </c>
      <c r="F86" s="94">
        <v>75</v>
      </c>
      <c r="G86" s="91">
        <v>64</v>
      </c>
      <c r="H86" s="92">
        <v>0</v>
      </c>
      <c r="I86" s="92">
        <v>64</v>
      </c>
      <c r="J86" s="93">
        <v>0</v>
      </c>
      <c r="K86" s="91">
        <v>0</v>
      </c>
      <c r="L86" s="92">
        <v>2</v>
      </c>
      <c r="M86" s="92">
        <v>2</v>
      </c>
      <c r="N86" s="92">
        <v>1</v>
      </c>
      <c r="O86" s="92">
        <v>0</v>
      </c>
      <c r="P86" s="92">
        <v>0</v>
      </c>
      <c r="Q86" s="92">
        <v>0</v>
      </c>
      <c r="R86" s="93">
        <v>5</v>
      </c>
      <c r="S86" s="94">
        <v>15</v>
      </c>
      <c r="T86" s="91">
        <v>5</v>
      </c>
      <c r="U86" s="92">
        <v>0</v>
      </c>
      <c r="V86" s="92">
        <v>0</v>
      </c>
      <c r="W86" s="92">
        <v>1</v>
      </c>
      <c r="X86" s="93">
        <v>4</v>
      </c>
      <c r="Y86" s="91">
        <v>110</v>
      </c>
      <c r="Z86" s="93">
        <v>33</v>
      </c>
      <c r="AA86" s="91">
        <v>167</v>
      </c>
      <c r="AB86" s="93">
        <v>28</v>
      </c>
      <c r="AC86" s="91">
        <v>136</v>
      </c>
      <c r="AD86" s="93">
        <v>45</v>
      </c>
      <c r="AE86" s="91">
        <v>24</v>
      </c>
      <c r="AF86" s="92">
        <v>13</v>
      </c>
      <c r="AG86" s="93">
        <v>26</v>
      </c>
      <c r="AH86" s="95">
        <v>0.51818181818181819</v>
      </c>
      <c r="AI86" s="96">
        <v>0.23636363636363636</v>
      </c>
      <c r="AJ86" s="96">
        <v>-0.18562874251497005</v>
      </c>
      <c r="AK86" s="96">
        <v>-0.15151515151515152</v>
      </c>
      <c r="AL86" s="96">
        <v>0.36363636363636365</v>
      </c>
      <c r="AM86" s="96">
        <v>0.6071428571428571</v>
      </c>
      <c r="AN86" s="97">
        <v>2.125</v>
      </c>
      <c r="AO86" s="96">
        <v>0.703125</v>
      </c>
      <c r="AP86" s="96">
        <v>0.203125</v>
      </c>
      <c r="AQ86" s="96">
        <v>0.40625</v>
      </c>
      <c r="AR86" s="96">
        <v>7.2463768115942032E-2</v>
      </c>
      <c r="AS86" s="95">
        <v>0.234375</v>
      </c>
      <c r="AT86" s="98">
        <v>0.15625</v>
      </c>
      <c r="AU86" s="91">
        <v>75</v>
      </c>
      <c r="AV86" s="92">
        <v>92</v>
      </c>
      <c r="AW86" s="68">
        <v>93</v>
      </c>
      <c r="AX86" s="69">
        <v>0.22666666666666666</v>
      </c>
      <c r="AY86" s="70">
        <v>0.24</v>
      </c>
      <c r="AZ86" s="71">
        <v>1.0869565217391304E-2</v>
      </c>
      <c r="BA86" s="72">
        <v>10</v>
      </c>
      <c r="BB86" s="68">
        <v>10</v>
      </c>
      <c r="BC86" s="72">
        <v>2</v>
      </c>
      <c r="BD86" s="68">
        <v>2</v>
      </c>
      <c r="BE86" s="72">
        <v>136</v>
      </c>
      <c r="BF86" s="73">
        <v>136</v>
      </c>
      <c r="BG86" s="70">
        <v>1</v>
      </c>
      <c r="BH86" s="73">
        <v>93</v>
      </c>
      <c r="BI86" s="73">
        <v>93</v>
      </c>
      <c r="BJ86" s="98">
        <v>1</v>
      </c>
    </row>
    <row r="87" spans="1:62" x14ac:dyDescent="0.25">
      <c r="A87" s="113"/>
      <c r="B87" s="114"/>
      <c r="C87" s="114" t="s">
        <v>92</v>
      </c>
      <c r="D87" s="114"/>
      <c r="E87" s="115"/>
      <c r="F87" s="87">
        <v>118</v>
      </c>
      <c r="G87" s="60">
        <v>104</v>
      </c>
      <c r="H87" s="61">
        <v>0</v>
      </c>
      <c r="I87" s="61">
        <v>104</v>
      </c>
      <c r="J87" s="56">
        <v>0</v>
      </c>
      <c r="K87" s="60">
        <v>0</v>
      </c>
      <c r="L87" s="61">
        <v>2</v>
      </c>
      <c r="M87" s="61">
        <v>4</v>
      </c>
      <c r="N87" s="61">
        <v>0</v>
      </c>
      <c r="O87" s="61">
        <v>0</v>
      </c>
      <c r="P87" s="61">
        <v>0</v>
      </c>
      <c r="Q87" s="61">
        <v>0</v>
      </c>
      <c r="R87" s="56">
        <v>8</v>
      </c>
      <c r="S87" s="87">
        <v>12</v>
      </c>
      <c r="T87" s="60">
        <v>10</v>
      </c>
      <c r="U87" s="61">
        <v>0</v>
      </c>
      <c r="V87" s="61">
        <v>0</v>
      </c>
      <c r="W87" s="61">
        <v>2</v>
      </c>
      <c r="X87" s="56">
        <v>8</v>
      </c>
      <c r="Y87" s="60">
        <v>371</v>
      </c>
      <c r="Z87" s="56">
        <v>106</v>
      </c>
      <c r="AA87" s="60">
        <v>260</v>
      </c>
      <c r="AB87" s="56">
        <v>82</v>
      </c>
      <c r="AC87" s="60">
        <v>234</v>
      </c>
      <c r="AD87" s="56">
        <v>87</v>
      </c>
      <c r="AE87" s="60">
        <v>30</v>
      </c>
      <c r="AF87" s="61">
        <v>9</v>
      </c>
      <c r="AG87" s="56">
        <v>20</v>
      </c>
      <c r="AH87" s="57">
        <v>-0.29919137466307277</v>
      </c>
      <c r="AI87" s="58">
        <v>-0.3692722371967655</v>
      </c>
      <c r="AJ87" s="58">
        <v>-0.1</v>
      </c>
      <c r="AK87" s="58">
        <v>-0.22641509433962265</v>
      </c>
      <c r="AL87" s="58">
        <v>-0.17924528301886791</v>
      </c>
      <c r="AM87" s="58">
        <v>6.097560975609756E-2</v>
      </c>
      <c r="AN87" s="88">
        <v>2.25</v>
      </c>
      <c r="AO87" s="58">
        <v>0.83653846153846156</v>
      </c>
      <c r="AP87" s="58">
        <v>8.6538461538461536E-2</v>
      </c>
      <c r="AQ87" s="58">
        <v>0.19230769230769232</v>
      </c>
      <c r="AR87" s="58">
        <v>7.1428571428571425E-2</v>
      </c>
      <c r="AS87" s="57">
        <v>0.11538461538461539</v>
      </c>
      <c r="AT87" s="59">
        <v>1.9230769230769232E-2</v>
      </c>
      <c r="AU87" s="60">
        <v>127</v>
      </c>
      <c r="AV87" s="61">
        <v>117</v>
      </c>
      <c r="AW87" s="56">
        <v>124</v>
      </c>
      <c r="AX87" s="57">
        <v>-7.874015748031496E-2</v>
      </c>
      <c r="AY87" s="58">
        <v>-2.3622047244094488E-2</v>
      </c>
      <c r="AZ87" s="59">
        <v>5.9829059829059832E-2</v>
      </c>
      <c r="BA87" s="60">
        <v>10</v>
      </c>
      <c r="BB87" s="56">
        <v>10</v>
      </c>
      <c r="BC87" s="60">
        <v>2</v>
      </c>
      <c r="BD87" s="56">
        <v>2</v>
      </c>
      <c r="BE87" s="60">
        <v>221</v>
      </c>
      <c r="BF87" s="61">
        <v>234</v>
      </c>
      <c r="BG87" s="58">
        <v>0.94444444444444442</v>
      </c>
      <c r="BH87" s="61">
        <v>116</v>
      </c>
      <c r="BI87" s="61">
        <v>124</v>
      </c>
      <c r="BJ87" s="59">
        <v>0.93548387096774188</v>
      </c>
    </row>
    <row r="88" spans="1:62" x14ac:dyDescent="0.25">
      <c r="A88" s="119"/>
      <c r="B88" s="120"/>
      <c r="C88" s="120"/>
      <c r="D88" s="120"/>
      <c r="E88" s="121" t="s">
        <v>68</v>
      </c>
      <c r="F88" s="94">
        <v>118</v>
      </c>
      <c r="G88" s="91">
        <v>104</v>
      </c>
      <c r="H88" s="92">
        <v>0</v>
      </c>
      <c r="I88" s="92">
        <v>104</v>
      </c>
      <c r="J88" s="93">
        <v>0</v>
      </c>
      <c r="K88" s="91">
        <v>0</v>
      </c>
      <c r="L88" s="92">
        <v>2</v>
      </c>
      <c r="M88" s="92">
        <v>4</v>
      </c>
      <c r="N88" s="92">
        <v>0</v>
      </c>
      <c r="O88" s="92">
        <v>0</v>
      </c>
      <c r="P88" s="92">
        <v>0</v>
      </c>
      <c r="Q88" s="92">
        <v>0</v>
      </c>
      <c r="R88" s="93">
        <v>8</v>
      </c>
      <c r="S88" s="94">
        <v>12</v>
      </c>
      <c r="T88" s="91">
        <v>10</v>
      </c>
      <c r="U88" s="92">
        <v>0</v>
      </c>
      <c r="V88" s="92">
        <v>0</v>
      </c>
      <c r="W88" s="92">
        <v>2</v>
      </c>
      <c r="X88" s="93">
        <v>8</v>
      </c>
      <c r="Y88" s="91">
        <v>371</v>
      </c>
      <c r="Z88" s="93">
        <v>106</v>
      </c>
      <c r="AA88" s="91">
        <v>260</v>
      </c>
      <c r="AB88" s="93">
        <v>82</v>
      </c>
      <c r="AC88" s="91">
        <v>234</v>
      </c>
      <c r="AD88" s="93">
        <v>87</v>
      </c>
      <c r="AE88" s="91">
        <v>30</v>
      </c>
      <c r="AF88" s="92">
        <v>9</v>
      </c>
      <c r="AG88" s="93">
        <v>20</v>
      </c>
      <c r="AH88" s="95">
        <v>-0.29919137466307277</v>
      </c>
      <c r="AI88" s="96">
        <v>-0.3692722371967655</v>
      </c>
      <c r="AJ88" s="96">
        <v>-0.1</v>
      </c>
      <c r="AK88" s="96">
        <v>-0.22641509433962265</v>
      </c>
      <c r="AL88" s="96">
        <v>-0.17924528301886791</v>
      </c>
      <c r="AM88" s="96">
        <v>6.097560975609756E-2</v>
      </c>
      <c r="AN88" s="97">
        <v>2.25</v>
      </c>
      <c r="AO88" s="96">
        <v>0.83653846153846156</v>
      </c>
      <c r="AP88" s="96">
        <v>8.6538461538461536E-2</v>
      </c>
      <c r="AQ88" s="96">
        <v>0.19230769230769232</v>
      </c>
      <c r="AR88" s="96">
        <v>7.1428571428571425E-2</v>
      </c>
      <c r="AS88" s="95">
        <v>0.11538461538461539</v>
      </c>
      <c r="AT88" s="98">
        <v>1.9230769230769232E-2</v>
      </c>
      <c r="AU88" s="91">
        <v>127</v>
      </c>
      <c r="AV88" s="92">
        <v>117</v>
      </c>
      <c r="AW88" s="68">
        <v>124</v>
      </c>
      <c r="AX88" s="69">
        <v>-7.874015748031496E-2</v>
      </c>
      <c r="AY88" s="70">
        <v>-2.3622047244094488E-2</v>
      </c>
      <c r="AZ88" s="71">
        <v>5.9829059829059832E-2</v>
      </c>
      <c r="BA88" s="72">
        <v>10</v>
      </c>
      <c r="BB88" s="68">
        <v>10</v>
      </c>
      <c r="BC88" s="72">
        <v>2</v>
      </c>
      <c r="BD88" s="68">
        <v>2</v>
      </c>
      <c r="BE88" s="72">
        <v>221</v>
      </c>
      <c r="BF88" s="73">
        <v>234</v>
      </c>
      <c r="BG88" s="70">
        <v>0.94444444444444442</v>
      </c>
      <c r="BH88" s="73">
        <v>116</v>
      </c>
      <c r="BI88" s="73">
        <v>124</v>
      </c>
      <c r="BJ88" s="98">
        <v>0.93548387096774188</v>
      </c>
    </row>
    <row r="89" spans="1:62" x14ac:dyDescent="0.25">
      <c r="A89" s="113"/>
      <c r="B89" s="114"/>
      <c r="C89" s="114" t="s">
        <v>93</v>
      </c>
      <c r="D89" s="114"/>
      <c r="E89" s="115"/>
      <c r="F89" s="87">
        <v>18</v>
      </c>
      <c r="G89" s="60">
        <v>16</v>
      </c>
      <c r="H89" s="61">
        <v>0</v>
      </c>
      <c r="I89" s="61">
        <v>16</v>
      </c>
      <c r="J89" s="56">
        <v>0</v>
      </c>
      <c r="K89" s="60">
        <v>0</v>
      </c>
      <c r="L89" s="61">
        <v>0</v>
      </c>
      <c r="M89" s="61">
        <v>0</v>
      </c>
      <c r="N89" s="61">
        <v>0</v>
      </c>
      <c r="O89" s="61">
        <v>0</v>
      </c>
      <c r="P89" s="61">
        <v>0</v>
      </c>
      <c r="Q89" s="61">
        <v>2</v>
      </c>
      <c r="R89" s="56">
        <v>0</v>
      </c>
      <c r="S89" s="87">
        <v>1</v>
      </c>
      <c r="T89" s="60">
        <v>2</v>
      </c>
      <c r="U89" s="61">
        <v>0</v>
      </c>
      <c r="V89" s="61">
        <v>2</v>
      </c>
      <c r="W89" s="61">
        <v>0</v>
      </c>
      <c r="X89" s="56">
        <v>0</v>
      </c>
      <c r="Y89" s="60">
        <v>23</v>
      </c>
      <c r="Z89" s="56">
        <v>12</v>
      </c>
      <c r="AA89" s="60">
        <v>28</v>
      </c>
      <c r="AB89" s="56">
        <v>12</v>
      </c>
      <c r="AC89" s="60">
        <v>38</v>
      </c>
      <c r="AD89" s="56">
        <v>14</v>
      </c>
      <c r="AE89" s="60">
        <v>4</v>
      </c>
      <c r="AF89" s="61">
        <v>2</v>
      </c>
      <c r="AG89" s="56">
        <v>1</v>
      </c>
      <c r="AH89" s="57">
        <v>0.21739130434782608</v>
      </c>
      <c r="AI89" s="58">
        <v>0.65217391304347827</v>
      </c>
      <c r="AJ89" s="58">
        <v>0.35714285714285715</v>
      </c>
      <c r="AK89" s="58">
        <v>0</v>
      </c>
      <c r="AL89" s="58">
        <v>0.16666666666666666</v>
      </c>
      <c r="AM89" s="58">
        <v>0.16666666666666666</v>
      </c>
      <c r="AN89" s="88">
        <v>2.375</v>
      </c>
      <c r="AO89" s="58">
        <v>0.875</v>
      </c>
      <c r="AP89" s="58">
        <v>0.125</v>
      </c>
      <c r="AQ89" s="58">
        <v>6.25E-2</v>
      </c>
      <c r="AR89" s="58">
        <v>0</v>
      </c>
      <c r="AS89" s="57">
        <v>6.25E-2</v>
      </c>
      <c r="AT89" s="59">
        <v>-6.25E-2</v>
      </c>
      <c r="AU89" s="60">
        <v>18</v>
      </c>
      <c r="AV89" s="61">
        <v>25</v>
      </c>
      <c r="AW89" s="56">
        <v>32</v>
      </c>
      <c r="AX89" s="57">
        <v>0.3888888888888889</v>
      </c>
      <c r="AY89" s="58">
        <v>0.77777777777777779</v>
      </c>
      <c r="AZ89" s="59">
        <v>0.28000000000000003</v>
      </c>
      <c r="BA89" s="60">
        <v>11</v>
      </c>
      <c r="BB89" s="56">
        <v>10.5</v>
      </c>
      <c r="BC89" s="60">
        <v>3</v>
      </c>
      <c r="BD89" s="56">
        <v>2.5</v>
      </c>
      <c r="BE89" s="60">
        <v>35</v>
      </c>
      <c r="BF89" s="61">
        <v>38</v>
      </c>
      <c r="BG89" s="58">
        <v>0.92105263157894735</v>
      </c>
      <c r="BH89" s="61">
        <v>29</v>
      </c>
      <c r="BI89" s="61">
        <v>32</v>
      </c>
      <c r="BJ89" s="59">
        <v>0.90625</v>
      </c>
    </row>
    <row r="90" spans="1:62" x14ac:dyDescent="0.25">
      <c r="A90" s="119"/>
      <c r="B90" s="120"/>
      <c r="C90" s="120"/>
      <c r="D90" s="120"/>
      <c r="E90" s="121" t="s">
        <v>68</v>
      </c>
      <c r="F90" s="94">
        <v>18</v>
      </c>
      <c r="G90" s="91">
        <v>16</v>
      </c>
      <c r="H90" s="92">
        <v>0</v>
      </c>
      <c r="I90" s="92">
        <v>16</v>
      </c>
      <c r="J90" s="93">
        <v>0</v>
      </c>
      <c r="K90" s="91">
        <v>0</v>
      </c>
      <c r="L90" s="92">
        <v>0</v>
      </c>
      <c r="M90" s="92">
        <v>0</v>
      </c>
      <c r="N90" s="92">
        <v>0</v>
      </c>
      <c r="O90" s="92">
        <v>0</v>
      </c>
      <c r="P90" s="92">
        <v>0</v>
      </c>
      <c r="Q90" s="92">
        <v>2</v>
      </c>
      <c r="R90" s="93">
        <v>0</v>
      </c>
      <c r="S90" s="94">
        <v>1</v>
      </c>
      <c r="T90" s="91">
        <v>2</v>
      </c>
      <c r="U90" s="92">
        <v>0</v>
      </c>
      <c r="V90" s="92">
        <v>2</v>
      </c>
      <c r="W90" s="92">
        <v>0</v>
      </c>
      <c r="X90" s="93">
        <v>0</v>
      </c>
      <c r="Y90" s="91">
        <v>23</v>
      </c>
      <c r="Z90" s="93">
        <v>12</v>
      </c>
      <c r="AA90" s="91">
        <v>28</v>
      </c>
      <c r="AB90" s="93">
        <v>12</v>
      </c>
      <c r="AC90" s="91">
        <v>38</v>
      </c>
      <c r="AD90" s="93">
        <v>14</v>
      </c>
      <c r="AE90" s="91">
        <v>4</v>
      </c>
      <c r="AF90" s="92">
        <v>2</v>
      </c>
      <c r="AG90" s="93">
        <v>1</v>
      </c>
      <c r="AH90" s="95">
        <v>0.21739130434782608</v>
      </c>
      <c r="AI90" s="96">
        <v>0.65217391304347827</v>
      </c>
      <c r="AJ90" s="96">
        <v>0.35714285714285715</v>
      </c>
      <c r="AK90" s="96">
        <v>0</v>
      </c>
      <c r="AL90" s="96">
        <v>0.16666666666666666</v>
      </c>
      <c r="AM90" s="96">
        <v>0.16666666666666666</v>
      </c>
      <c r="AN90" s="97">
        <v>2.375</v>
      </c>
      <c r="AO90" s="96">
        <v>0.875</v>
      </c>
      <c r="AP90" s="96">
        <v>0.125</v>
      </c>
      <c r="AQ90" s="96">
        <v>6.25E-2</v>
      </c>
      <c r="AR90" s="96">
        <v>0</v>
      </c>
      <c r="AS90" s="95">
        <v>6.25E-2</v>
      </c>
      <c r="AT90" s="98">
        <v>-6.25E-2</v>
      </c>
      <c r="AU90" s="91">
        <v>18</v>
      </c>
      <c r="AV90" s="92">
        <v>25</v>
      </c>
      <c r="AW90" s="68">
        <v>32</v>
      </c>
      <c r="AX90" s="69">
        <v>0.3888888888888889</v>
      </c>
      <c r="AY90" s="70">
        <v>0.77777777777777779</v>
      </c>
      <c r="AZ90" s="71">
        <v>0.28000000000000003</v>
      </c>
      <c r="BA90" s="72">
        <v>11</v>
      </c>
      <c r="BB90" s="68">
        <v>10.5</v>
      </c>
      <c r="BC90" s="72">
        <v>3</v>
      </c>
      <c r="BD90" s="68">
        <v>2.5</v>
      </c>
      <c r="BE90" s="72">
        <v>35</v>
      </c>
      <c r="BF90" s="73">
        <v>38</v>
      </c>
      <c r="BG90" s="70">
        <v>0.92105263157894735</v>
      </c>
      <c r="BH90" s="73">
        <v>29</v>
      </c>
      <c r="BI90" s="73">
        <v>32</v>
      </c>
      <c r="BJ90" s="98">
        <v>0.90625</v>
      </c>
    </row>
    <row r="91" spans="1:62" x14ac:dyDescent="0.25">
      <c r="A91" s="110"/>
      <c r="B91" s="111" t="s">
        <v>144</v>
      </c>
      <c r="C91" s="111"/>
      <c r="D91" s="111"/>
      <c r="E91" s="112"/>
      <c r="F91" s="85">
        <v>158</v>
      </c>
      <c r="G91" s="54">
        <v>125</v>
      </c>
      <c r="H91" s="55">
        <v>0</v>
      </c>
      <c r="I91" s="55">
        <v>125</v>
      </c>
      <c r="J91" s="50">
        <v>0</v>
      </c>
      <c r="K91" s="54">
        <v>0</v>
      </c>
      <c r="L91" s="55">
        <v>0</v>
      </c>
      <c r="M91" s="55">
        <v>13</v>
      </c>
      <c r="N91" s="55">
        <v>5</v>
      </c>
      <c r="O91" s="55">
        <v>0</v>
      </c>
      <c r="P91" s="55">
        <v>0</v>
      </c>
      <c r="Q91" s="55">
        <v>0</v>
      </c>
      <c r="R91" s="50">
        <v>15</v>
      </c>
      <c r="S91" s="85">
        <v>86</v>
      </c>
      <c r="T91" s="54">
        <v>16</v>
      </c>
      <c r="U91" s="55">
        <v>0</v>
      </c>
      <c r="V91" s="55">
        <v>0</v>
      </c>
      <c r="W91" s="55">
        <v>12</v>
      </c>
      <c r="X91" s="50">
        <v>4</v>
      </c>
      <c r="Y91" s="54">
        <v>619</v>
      </c>
      <c r="Z91" s="50">
        <v>127</v>
      </c>
      <c r="AA91" s="54">
        <v>516</v>
      </c>
      <c r="AB91" s="50">
        <v>114</v>
      </c>
      <c r="AC91" s="54">
        <v>515</v>
      </c>
      <c r="AD91" s="50">
        <v>148</v>
      </c>
      <c r="AE91" s="54">
        <v>41</v>
      </c>
      <c r="AF91" s="55">
        <v>15</v>
      </c>
      <c r="AG91" s="50">
        <v>80</v>
      </c>
      <c r="AH91" s="51">
        <v>-0.16639741518578352</v>
      </c>
      <c r="AI91" s="52">
        <v>-0.1680129240710824</v>
      </c>
      <c r="AJ91" s="52">
        <v>-1.937984496124031E-3</v>
      </c>
      <c r="AK91" s="52">
        <v>-0.10236220472440945</v>
      </c>
      <c r="AL91" s="52">
        <v>0.16535433070866143</v>
      </c>
      <c r="AM91" s="52">
        <v>0.2982456140350877</v>
      </c>
      <c r="AN91" s="86">
        <v>4.12</v>
      </c>
      <c r="AO91" s="52">
        <v>1.1839999999999999</v>
      </c>
      <c r="AP91" s="52">
        <v>0.12</v>
      </c>
      <c r="AQ91" s="52">
        <v>0.64</v>
      </c>
      <c r="AR91" s="52">
        <v>0.10714285714285714</v>
      </c>
      <c r="AS91" s="51">
        <v>0.68799999999999994</v>
      </c>
      <c r="AT91" s="53">
        <v>0.56000000000000005</v>
      </c>
      <c r="AU91" s="54">
        <v>150</v>
      </c>
      <c r="AV91" s="55">
        <v>154</v>
      </c>
      <c r="AW91" s="50">
        <v>143</v>
      </c>
      <c r="AX91" s="51">
        <v>2.6666666666666668E-2</v>
      </c>
      <c r="AY91" s="52">
        <v>-4.6666666666666669E-2</v>
      </c>
      <c r="AZ91" s="53">
        <v>-7.1428571428571425E-2</v>
      </c>
      <c r="BA91" s="54">
        <v>9</v>
      </c>
      <c r="BB91" s="50">
        <v>10</v>
      </c>
      <c r="BC91" s="54">
        <v>2</v>
      </c>
      <c r="BD91" s="50">
        <v>2</v>
      </c>
      <c r="BE91" s="54">
        <v>492</v>
      </c>
      <c r="BF91" s="55">
        <v>524</v>
      </c>
      <c r="BG91" s="52">
        <v>0.93893129770992367</v>
      </c>
      <c r="BH91" s="55">
        <v>132</v>
      </c>
      <c r="BI91" s="55">
        <v>143</v>
      </c>
      <c r="BJ91" s="53">
        <v>0.92307692307692313</v>
      </c>
    </row>
    <row r="92" spans="1:62" x14ac:dyDescent="0.25">
      <c r="A92" s="119"/>
      <c r="B92" s="120"/>
      <c r="C92" s="120"/>
      <c r="D92" s="120"/>
      <c r="E92" s="121" t="s">
        <v>116</v>
      </c>
      <c r="F92" s="94">
        <v>158</v>
      </c>
      <c r="G92" s="91">
        <v>125</v>
      </c>
      <c r="H92" s="92">
        <v>0</v>
      </c>
      <c r="I92" s="92">
        <v>125</v>
      </c>
      <c r="J92" s="93">
        <v>0</v>
      </c>
      <c r="K92" s="91">
        <v>0</v>
      </c>
      <c r="L92" s="92">
        <v>0</v>
      </c>
      <c r="M92" s="92">
        <v>13</v>
      </c>
      <c r="N92" s="92">
        <v>5</v>
      </c>
      <c r="O92" s="92">
        <v>0</v>
      </c>
      <c r="P92" s="92">
        <v>0</v>
      </c>
      <c r="Q92" s="92">
        <v>0</v>
      </c>
      <c r="R92" s="93">
        <v>15</v>
      </c>
      <c r="S92" s="94">
        <v>86</v>
      </c>
      <c r="T92" s="91">
        <v>16</v>
      </c>
      <c r="U92" s="92">
        <v>0</v>
      </c>
      <c r="V92" s="92">
        <v>0</v>
      </c>
      <c r="W92" s="92">
        <v>12</v>
      </c>
      <c r="X92" s="93">
        <v>4</v>
      </c>
      <c r="Y92" s="91">
        <v>619</v>
      </c>
      <c r="Z92" s="93">
        <v>127</v>
      </c>
      <c r="AA92" s="91">
        <v>516</v>
      </c>
      <c r="AB92" s="93">
        <v>114</v>
      </c>
      <c r="AC92" s="91">
        <v>515</v>
      </c>
      <c r="AD92" s="93">
        <v>148</v>
      </c>
      <c r="AE92" s="91">
        <v>41</v>
      </c>
      <c r="AF92" s="92">
        <v>15</v>
      </c>
      <c r="AG92" s="93">
        <v>80</v>
      </c>
      <c r="AH92" s="95">
        <v>-0.16639741518578352</v>
      </c>
      <c r="AI92" s="96">
        <v>-0.1680129240710824</v>
      </c>
      <c r="AJ92" s="96">
        <v>-1.937984496124031E-3</v>
      </c>
      <c r="AK92" s="96">
        <v>-0.10236220472440945</v>
      </c>
      <c r="AL92" s="96">
        <v>0.16535433070866143</v>
      </c>
      <c r="AM92" s="96">
        <v>0.2982456140350877</v>
      </c>
      <c r="AN92" s="97">
        <v>4.12</v>
      </c>
      <c r="AO92" s="96">
        <v>1.1839999999999999</v>
      </c>
      <c r="AP92" s="96">
        <v>0.12</v>
      </c>
      <c r="AQ92" s="96">
        <v>0.64</v>
      </c>
      <c r="AR92" s="96">
        <v>0.10714285714285714</v>
      </c>
      <c r="AS92" s="95">
        <v>0.68799999999999994</v>
      </c>
      <c r="AT92" s="98">
        <v>0.56000000000000005</v>
      </c>
      <c r="AU92" s="91">
        <v>150</v>
      </c>
      <c r="AV92" s="92">
        <v>153</v>
      </c>
      <c r="AW92" s="68">
        <v>140</v>
      </c>
      <c r="AX92" s="69">
        <v>0.02</v>
      </c>
      <c r="AY92" s="70">
        <v>-6.6666666666666666E-2</v>
      </c>
      <c r="AZ92" s="71">
        <v>-8.4967320261437912E-2</v>
      </c>
      <c r="BA92" s="72">
        <v>9</v>
      </c>
      <c r="BB92" s="68">
        <v>10</v>
      </c>
      <c r="BC92" s="72">
        <v>2</v>
      </c>
      <c r="BD92" s="68">
        <v>2</v>
      </c>
      <c r="BE92" s="72">
        <v>484</v>
      </c>
      <c r="BF92" s="73">
        <v>515</v>
      </c>
      <c r="BG92" s="70">
        <v>0.9398058252427185</v>
      </c>
      <c r="BH92" s="73">
        <v>130</v>
      </c>
      <c r="BI92" s="73">
        <v>140</v>
      </c>
      <c r="BJ92" s="98">
        <v>0.9285714285714286</v>
      </c>
    </row>
    <row r="93" spans="1:62" x14ac:dyDescent="0.25">
      <c r="A93" s="110"/>
      <c r="B93" s="111" t="s">
        <v>95</v>
      </c>
      <c r="C93" s="111"/>
      <c r="D93" s="111"/>
      <c r="E93" s="112"/>
      <c r="F93" s="85">
        <v>621</v>
      </c>
      <c r="G93" s="54">
        <v>436</v>
      </c>
      <c r="H93" s="55">
        <v>0</v>
      </c>
      <c r="I93" s="55">
        <v>436</v>
      </c>
      <c r="J93" s="50">
        <v>0</v>
      </c>
      <c r="K93" s="54">
        <v>0</v>
      </c>
      <c r="L93" s="55">
        <v>0</v>
      </c>
      <c r="M93" s="55">
        <v>23</v>
      </c>
      <c r="N93" s="55">
        <v>10</v>
      </c>
      <c r="O93" s="55">
        <v>22</v>
      </c>
      <c r="P93" s="55">
        <v>0</v>
      </c>
      <c r="Q93" s="55">
        <v>6</v>
      </c>
      <c r="R93" s="50">
        <v>123</v>
      </c>
      <c r="S93" s="85">
        <v>76</v>
      </c>
      <c r="T93" s="54">
        <v>51</v>
      </c>
      <c r="U93" s="55">
        <v>0</v>
      </c>
      <c r="V93" s="55">
        <v>6</v>
      </c>
      <c r="W93" s="55">
        <v>10</v>
      </c>
      <c r="X93" s="50">
        <v>35</v>
      </c>
      <c r="Y93" s="54">
        <v>3070</v>
      </c>
      <c r="Z93" s="50">
        <v>559</v>
      </c>
      <c r="AA93" s="54">
        <v>2870</v>
      </c>
      <c r="AB93" s="50">
        <v>539</v>
      </c>
      <c r="AC93" s="54">
        <v>2735</v>
      </c>
      <c r="AD93" s="50">
        <v>485</v>
      </c>
      <c r="AE93" s="54">
        <v>163</v>
      </c>
      <c r="AF93" s="55">
        <v>82</v>
      </c>
      <c r="AG93" s="50">
        <v>332</v>
      </c>
      <c r="AH93" s="51">
        <v>-6.5146579804560262E-2</v>
      </c>
      <c r="AI93" s="52">
        <v>-0.10912052117263844</v>
      </c>
      <c r="AJ93" s="52">
        <v>-4.7038327526132406E-2</v>
      </c>
      <c r="AK93" s="52">
        <v>-3.5778175313059032E-2</v>
      </c>
      <c r="AL93" s="52">
        <v>-0.13237924865831843</v>
      </c>
      <c r="AM93" s="52">
        <v>-0.10018552875695733</v>
      </c>
      <c r="AN93" s="86">
        <v>6.272935779816514</v>
      </c>
      <c r="AO93" s="52">
        <v>1.1123853211009174</v>
      </c>
      <c r="AP93" s="52">
        <v>0.18807339449541285</v>
      </c>
      <c r="AQ93" s="52">
        <v>0.76146788990825687</v>
      </c>
      <c r="AR93" s="52">
        <v>0.22003577817531306</v>
      </c>
      <c r="AS93" s="51">
        <v>0.1743119266055046</v>
      </c>
      <c r="AT93" s="53">
        <v>5.7339449541284407E-2</v>
      </c>
      <c r="AU93" s="54">
        <v>474</v>
      </c>
      <c r="AV93" s="55">
        <v>441</v>
      </c>
      <c r="AW93" s="50">
        <v>465</v>
      </c>
      <c r="AX93" s="51">
        <v>-6.9620253164556958E-2</v>
      </c>
      <c r="AY93" s="52">
        <v>-1.8987341772151899E-2</v>
      </c>
      <c r="AZ93" s="53">
        <v>5.4421768707482991E-2</v>
      </c>
      <c r="BA93" s="54">
        <v>10</v>
      </c>
      <c r="BB93" s="50">
        <v>10</v>
      </c>
      <c r="BC93" s="54">
        <v>2</v>
      </c>
      <c r="BD93" s="50">
        <v>2</v>
      </c>
      <c r="BE93" s="54">
        <v>2643</v>
      </c>
      <c r="BF93" s="55">
        <v>2735</v>
      </c>
      <c r="BG93" s="52">
        <v>0.96636197440585014</v>
      </c>
      <c r="BH93" s="55">
        <v>438</v>
      </c>
      <c r="BI93" s="55">
        <v>465</v>
      </c>
      <c r="BJ93" s="53">
        <v>0.9419354838709677</v>
      </c>
    </row>
    <row r="94" spans="1:62" x14ac:dyDescent="0.25">
      <c r="A94" s="113"/>
      <c r="B94" s="114"/>
      <c r="C94" s="114" t="s">
        <v>96</v>
      </c>
      <c r="D94" s="114"/>
      <c r="E94" s="115"/>
      <c r="F94" s="87">
        <v>424</v>
      </c>
      <c r="G94" s="60">
        <v>295</v>
      </c>
      <c r="H94" s="61">
        <v>0</v>
      </c>
      <c r="I94" s="61">
        <v>295</v>
      </c>
      <c r="J94" s="56">
        <v>0</v>
      </c>
      <c r="K94" s="60">
        <v>0</v>
      </c>
      <c r="L94" s="61">
        <v>0</v>
      </c>
      <c r="M94" s="61">
        <v>17</v>
      </c>
      <c r="N94" s="61">
        <v>8</v>
      </c>
      <c r="O94" s="61">
        <v>2</v>
      </c>
      <c r="P94" s="61">
        <v>0</v>
      </c>
      <c r="Q94" s="61">
        <v>5</v>
      </c>
      <c r="R94" s="56">
        <v>97</v>
      </c>
      <c r="S94" s="87">
        <v>50</v>
      </c>
      <c r="T94" s="60">
        <v>32</v>
      </c>
      <c r="U94" s="61">
        <v>0</v>
      </c>
      <c r="V94" s="61">
        <v>5</v>
      </c>
      <c r="W94" s="61">
        <v>9</v>
      </c>
      <c r="X94" s="56">
        <v>18</v>
      </c>
      <c r="Y94" s="60">
        <v>2378</v>
      </c>
      <c r="Z94" s="56">
        <v>382</v>
      </c>
      <c r="AA94" s="60">
        <v>2240</v>
      </c>
      <c r="AB94" s="56">
        <v>361</v>
      </c>
      <c r="AC94" s="60">
        <v>2181</v>
      </c>
      <c r="AD94" s="56">
        <v>333</v>
      </c>
      <c r="AE94" s="60">
        <v>109</v>
      </c>
      <c r="AF94" s="61">
        <v>49</v>
      </c>
      <c r="AG94" s="56">
        <v>261</v>
      </c>
      <c r="AH94" s="57">
        <v>-5.8031959629941128E-2</v>
      </c>
      <c r="AI94" s="58">
        <v>-8.2842724978973922E-2</v>
      </c>
      <c r="AJ94" s="58">
        <v>-2.6339285714285714E-2</v>
      </c>
      <c r="AK94" s="58">
        <v>-5.4973821989528798E-2</v>
      </c>
      <c r="AL94" s="58">
        <v>-0.12827225130890052</v>
      </c>
      <c r="AM94" s="58">
        <v>-7.7562326869806089E-2</v>
      </c>
      <c r="AN94" s="88">
        <v>7.3932203389830509</v>
      </c>
      <c r="AO94" s="58">
        <v>1.1288135593220339</v>
      </c>
      <c r="AP94" s="58">
        <v>0.16610169491525423</v>
      </c>
      <c r="AQ94" s="58">
        <v>0.88474576271186445</v>
      </c>
      <c r="AR94" s="58">
        <v>0.24744897959183673</v>
      </c>
      <c r="AS94" s="57">
        <v>0.16949152542372881</v>
      </c>
      <c r="AT94" s="59">
        <v>6.1016949152542375E-2</v>
      </c>
      <c r="AU94" s="60">
        <v>377</v>
      </c>
      <c r="AV94" s="61">
        <v>365</v>
      </c>
      <c r="AW94" s="56">
        <v>382</v>
      </c>
      <c r="AX94" s="57">
        <v>-3.1830238726790451E-2</v>
      </c>
      <c r="AY94" s="58">
        <v>1.3262599469496022E-2</v>
      </c>
      <c r="AZ94" s="59">
        <v>4.6575342465753428E-2</v>
      </c>
      <c r="BA94" s="60">
        <v>9</v>
      </c>
      <c r="BB94" s="56">
        <v>10</v>
      </c>
      <c r="BC94" s="60">
        <v>1</v>
      </c>
      <c r="BD94" s="56">
        <v>2</v>
      </c>
      <c r="BE94" s="60">
        <v>2111</v>
      </c>
      <c r="BF94" s="61">
        <v>2181</v>
      </c>
      <c r="BG94" s="58">
        <v>0.9679046309032554</v>
      </c>
      <c r="BH94" s="61">
        <v>367</v>
      </c>
      <c r="BI94" s="61">
        <v>382</v>
      </c>
      <c r="BJ94" s="59">
        <v>0.96073298429319376</v>
      </c>
    </row>
    <row r="95" spans="1:62" x14ac:dyDescent="0.25">
      <c r="A95" s="119"/>
      <c r="B95" s="120"/>
      <c r="C95" s="120"/>
      <c r="D95" s="120"/>
      <c r="E95" s="121" t="s">
        <v>68</v>
      </c>
      <c r="F95" s="94">
        <v>423</v>
      </c>
      <c r="G95" s="91">
        <v>294</v>
      </c>
      <c r="H95" s="92">
        <v>0</v>
      </c>
      <c r="I95" s="92">
        <v>294</v>
      </c>
      <c r="J95" s="93">
        <v>0</v>
      </c>
      <c r="K95" s="91">
        <v>0</v>
      </c>
      <c r="L95" s="92">
        <v>0</v>
      </c>
      <c r="M95" s="92">
        <v>17</v>
      </c>
      <c r="N95" s="92">
        <v>8</v>
      </c>
      <c r="O95" s="92">
        <v>2</v>
      </c>
      <c r="P95" s="92">
        <v>0</v>
      </c>
      <c r="Q95" s="92">
        <v>5</v>
      </c>
      <c r="R95" s="93">
        <v>97</v>
      </c>
      <c r="S95" s="94">
        <v>49</v>
      </c>
      <c r="T95" s="91">
        <v>32</v>
      </c>
      <c r="U95" s="92">
        <v>0</v>
      </c>
      <c r="V95" s="92">
        <v>5</v>
      </c>
      <c r="W95" s="92">
        <v>9</v>
      </c>
      <c r="X95" s="93">
        <v>18</v>
      </c>
      <c r="Y95" s="91">
        <v>2378</v>
      </c>
      <c r="Z95" s="93">
        <v>382</v>
      </c>
      <c r="AA95" s="91">
        <v>2240</v>
      </c>
      <c r="AB95" s="93">
        <v>361</v>
      </c>
      <c r="AC95" s="91">
        <v>2180</v>
      </c>
      <c r="AD95" s="93">
        <v>332</v>
      </c>
      <c r="AE95" s="91">
        <v>109</v>
      </c>
      <c r="AF95" s="92">
        <v>49</v>
      </c>
      <c r="AG95" s="93">
        <v>260</v>
      </c>
      <c r="AH95" s="95">
        <v>-5.8031959629941128E-2</v>
      </c>
      <c r="AI95" s="96">
        <v>-8.3263246425567705E-2</v>
      </c>
      <c r="AJ95" s="96">
        <v>-2.6785714285714284E-2</v>
      </c>
      <c r="AK95" s="96">
        <v>-5.4973821989528798E-2</v>
      </c>
      <c r="AL95" s="96">
        <v>-0.13089005235602094</v>
      </c>
      <c r="AM95" s="96">
        <v>-8.0332409972299165E-2</v>
      </c>
      <c r="AN95" s="97">
        <v>7.4149659863945576</v>
      </c>
      <c r="AO95" s="96">
        <v>1.129251700680272</v>
      </c>
      <c r="AP95" s="96">
        <v>0.16666666666666666</v>
      </c>
      <c r="AQ95" s="96">
        <v>0.88435374149659862</v>
      </c>
      <c r="AR95" s="96">
        <v>0.24808184143222506</v>
      </c>
      <c r="AS95" s="95">
        <v>0.16666666666666666</v>
      </c>
      <c r="AT95" s="98">
        <v>5.7823129251700682E-2</v>
      </c>
      <c r="AU95" s="91">
        <v>377</v>
      </c>
      <c r="AV95" s="92">
        <v>365</v>
      </c>
      <c r="AW95" s="68">
        <v>382</v>
      </c>
      <c r="AX95" s="69">
        <v>-3.1830238726790451E-2</v>
      </c>
      <c r="AY95" s="70">
        <v>1.3262599469496022E-2</v>
      </c>
      <c r="AZ95" s="71">
        <v>4.6575342465753428E-2</v>
      </c>
      <c r="BA95" s="72">
        <v>9</v>
      </c>
      <c r="BB95" s="68">
        <v>10</v>
      </c>
      <c r="BC95" s="72">
        <v>1</v>
      </c>
      <c r="BD95" s="68">
        <v>2</v>
      </c>
      <c r="BE95" s="72">
        <v>2110</v>
      </c>
      <c r="BF95" s="73">
        <v>2180</v>
      </c>
      <c r="BG95" s="70">
        <v>0.9678899082568807</v>
      </c>
      <c r="BH95" s="73">
        <v>367</v>
      </c>
      <c r="BI95" s="73">
        <v>382</v>
      </c>
      <c r="BJ95" s="98">
        <v>0.96073298429319376</v>
      </c>
    </row>
    <row r="96" spans="1:62" x14ac:dyDescent="0.25">
      <c r="A96" s="113"/>
      <c r="B96" s="114"/>
      <c r="C96" s="114" t="s">
        <v>98</v>
      </c>
      <c r="D96" s="114"/>
      <c r="E96" s="115"/>
      <c r="F96" s="87">
        <v>20</v>
      </c>
      <c r="G96" s="60">
        <v>15</v>
      </c>
      <c r="H96" s="61">
        <v>0</v>
      </c>
      <c r="I96" s="61">
        <v>15</v>
      </c>
      <c r="J96" s="56">
        <v>0</v>
      </c>
      <c r="K96" s="60">
        <v>0</v>
      </c>
      <c r="L96" s="61">
        <v>0</v>
      </c>
      <c r="M96" s="61">
        <v>0</v>
      </c>
      <c r="N96" s="61">
        <v>0</v>
      </c>
      <c r="O96" s="61">
        <v>5</v>
      </c>
      <c r="P96" s="61">
        <v>0</v>
      </c>
      <c r="Q96" s="61">
        <v>0</v>
      </c>
      <c r="R96" s="56">
        <v>0</v>
      </c>
      <c r="S96" s="87">
        <v>5</v>
      </c>
      <c r="T96" s="60">
        <v>1</v>
      </c>
      <c r="U96" s="61">
        <v>0</v>
      </c>
      <c r="V96" s="61">
        <v>0</v>
      </c>
      <c r="W96" s="61">
        <v>0</v>
      </c>
      <c r="X96" s="56">
        <v>1</v>
      </c>
      <c r="Y96" s="60">
        <v>38</v>
      </c>
      <c r="Z96" s="56">
        <v>13</v>
      </c>
      <c r="AA96" s="60">
        <v>34</v>
      </c>
      <c r="AB96" s="56">
        <v>15</v>
      </c>
      <c r="AC96" s="60">
        <v>28</v>
      </c>
      <c r="AD96" s="56">
        <v>15</v>
      </c>
      <c r="AE96" s="60">
        <v>7</v>
      </c>
      <c r="AF96" s="61">
        <v>4</v>
      </c>
      <c r="AG96" s="56">
        <v>7</v>
      </c>
      <c r="AH96" s="57">
        <v>-0.10526315789473684</v>
      </c>
      <c r="AI96" s="58">
        <v>-0.26315789473684209</v>
      </c>
      <c r="AJ96" s="58">
        <v>-0.17647058823529413</v>
      </c>
      <c r="AK96" s="58">
        <v>0.15384615384615385</v>
      </c>
      <c r="AL96" s="58">
        <v>0.15384615384615385</v>
      </c>
      <c r="AM96" s="58">
        <v>0</v>
      </c>
      <c r="AN96" s="88">
        <v>1.8666666666666667</v>
      </c>
      <c r="AO96" s="58">
        <v>1</v>
      </c>
      <c r="AP96" s="58">
        <v>0.26666666666666666</v>
      </c>
      <c r="AQ96" s="58">
        <v>0.46666666666666667</v>
      </c>
      <c r="AR96" s="58">
        <v>0</v>
      </c>
      <c r="AS96" s="57">
        <v>0.33333333333333331</v>
      </c>
      <c r="AT96" s="59">
        <v>0.26666666666666666</v>
      </c>
      <c r="AU96" s="60">
        <v>31</v>
      </c>
      <c r="AV96" s="61">
        <v>26</v>
      </c>
      <c r="AW96" s="56">
        <v>17</v>
      </c>
      <c r="AX96" s="57">
        <v>-0.16129032258064516</v>
      </c>
      <c r="AY96" s="58">
        <v>-0.45161290322580644</v>
      </c>
      <c r="AZ96" s="59">
        <v>-0.34615384615384615</v>
      </c>
      <c r="BA96" s="60">
        <v>11.5</v>
      </c>
      <c r="BB96" s="56">
        <v>11</v>
      </c>
      <c r="BC96" s="60">
        <v>2.5</v>
      </c>
      <c r="BD96" s="56">
        <v>2</v>
      </c>
      <c r="BE96" s="60">
        <v>28</v>
      </c>
      <c r="BF96" s="61">
        <v>28</v>
      </c>
      <c r="BG96" s="58">
        <v>1</v>
      </c>
      <c r="BH96" s="61">
        <v>17</v>
      </c>
      <c r="BI96" s="61">
        <v>17</v>
      </c>
      <c r="BJ96" s="59">
        <v>1</v>
      </c>
    </row>
    <row r="97" spans="1:62" x14ac:dyDescent="0.25">
      <c r="A97" s="119"/>
      <c r="B97" s="120"/>
      <c r="C97" s="120"/>
      <c r="D97" s="120"/>
      <c r="E97" s="121" t="s">
        <v>68</v>
      </c>
      <c r="F97" s="94">
        <v>19</v>
      </c>
      <c r="G97" s="91">
        <v>14</v>
      </c>
      <c r="H97" s="92">
        <v>0</v>
      </c>
      <c r="I97" s="92">
        <v>14</v>
      </c>
      <c r="J97" s="93">
        <v>0</v>
      </c>
      <c r="K97" s="91">
        <v>0</v>
      </c>
      <c r="L97" s="92">
        <v>0</v>
      </c>
      <c r="M97" s="92">
        <v>0</v>
      </c>
      <c r="N97" s="92">
        <v>0</v>
      </c>
      <c r="O97" s="92">
        <v>5</v>
      </c>
      <c r="P97" s="92">
        <v>0</v>
      </c>
      <c r="Q97" s="92">
        <v>0</v>
      </c>
      <c r="R97" s="93">
        <v>0</v>
      </c>
      <c r="S97" s="94">
        <v>4</v>
      </c>
      <c r="T97" s="91">
        <v>1</v>
      </c>
      <c r="U97" s="92">
        <v>0</v>
      </c>
      <c r="V97" s="92">
        <v>0</v>
      </c>
      <c r="W97" s="92">
        <v>0</v>
      </c>
      <c r="X97" s="93">
        <v>1</v>
      </c>
      <c r="Y97" s="91">
        <v>38</v>
      </c>
      <c r="Z97" s="93">
        <v>13</v>
      </c>
      <c r="AA97" s="91">
        <v>34</v>
      </c>
      <c r="AB97" s="93">
        <v>15</v>
      </c>
      <c r="AC97" s="91">
        <v>27</v>
      </c>
      <c r="AD97" s="93">
        <v>14</v>
      </c>
      <c r="AE97" s="91">
        <v>7</v>
      </c>
      <c r="AF97" s="92">
        <v>4</v>
      </c>
      <c r="AG97" s="93">
        <v>6</v>
      </c>
      <c r="AH97" s="95">
        <v>-0.10526315789473684</v>
      </c>
      <c r="AI97" s="96">
        <v>-0.28947368421052633</v>
      </c>
      <c r="AJ97" s="96">
        <v>-0.20588235294117646</v>
      </c>
      <c r="AK97" s="96">
        <v>0.15384615384615385</v>
      </c>
      <c r="AL97" s="96">
        <v>7.6923076923076927E-2</v>
      </c>
      <c r="AM97" s="96">
        <v>-6.6666666666666666E-2</v>
      </c>
      <c r="AN97" s="97">
        <v>1.9285714285714286</v>
      </c>
      <c r="AO97" s="96">
        <v>1</v>
      </c>
      <c r="AP97" s="96">
        <v>0.2857142857142857</v>
      </c>
      <c r="AQ97" s="96">
        <v>0.42857142857142855</v>
      </c>
      <c r="AR97" s="96">
        <v>0</v>
      </c>
      <c r="AS97" s="95">
        <v>0.2857142857142857</v>
      </c>
      <c r="AT97" s="98">
        <v>0.21428571428571427</v>
      </c>
      <c r="AU97" s="91">
        <v>31</v>
      </c>
      <c r="AV97" s="92">
        <v>26</v>
      </c>
      <c r="AW97" s="68">
        <v>16</v>
      </c>
      <c r="AX97" s="69">
        <v>-0.16129032258064516</v>
      </c>
      <c r="AY97" s="70">
        <v>-0.4838709677419355</v>
      </c>
      <c r="AZ97" s="71">
        <v>-0.38461538461538464</v>
      </c>
      <c r="BA97" s="72">
        <v>12</v>
      </c>
      <c r="BB97" s="68">
        <v>11</v>
      </c>
      <c r="BC97" s="72">
        <v>2</v>
      </c>
      <c r="BD97" s="68">
        <v>1.5</v>
      </c>
      <c r="BE97" s="72">
        <v>27</v>
      </c>
      <c r="BF97" s="73">
        <v>27</v>
      </c>
      <c r="BG97" s="70">
        <v>1</v>
      </c>
      <c r="BH97" s="73">
        <v>16</v>
      </c>
      <c r="BI97" s="73">
        <v>16</v>
      </c>
      <c r="BJ97" s="98">
        <v>1</v>
      </c>
    </row>
    <row r="98" spans="1:62" x14ac:dyDescent="0.25">
      <c r="A98" s="113"/>
      <c r="B98" s="114"/>
      <c r="C98" s="114" t="s">
        <v>99</v>
      </c>
      <c r="D98" s="114"/>
      <c r="E98" s="115"/>
      <c r="F98" s="87">
        <v>177</v>
      </c>
      <c r="G98" s="60">
        <v>126</v>
      </c>
      <c r="H98" s="61">
        <v>0</v>
      </c>
      <c r="I98" s="61">
        <v>126</v>
      </c>
      <c r="J98" s="56">
        <v>0</v>
      </c>
      <c r="K98" s="60">
        <v>0</v>
      </c>
      <c r="L98" s="61">
        <v>0</v>
      </c>
      <c r="M98" s="61">
        <v>6</v>
      </c>
      <c r="N98" s="61">
        <v>2</v>
      </c>
      <c r="O98" s="61">
        <v>15</v>
      </c>
      <c r="P98" s="61">
        <v>0</v>
      </c>
      <c r="Q98" s="61">
        <v>1</v>
      </c>
      <c r="R98" s="56">
        <v>26</v>
      </c>
      <c r="S98" s="87">
        <v>21</v>
      </c>
      <c r="T98" s="60">
        <v>18</v>
      </c>
      <c r="U98" s="61">
        <v>0</v>
      </c>
      <c r="V98" s="61">
        <v>1</v>
      </c>
      <c r="W98" s="61">
        <v>1</v>
      </c>
      <c r="X98" s="56">
        <v>16</v>
      </c>
      <c r="Y98" s="60">
        <v>654</v>
      </c>
      <c r="Z98" s="56">
        <v>164</v>
      </c>
      <c r="AA98" s="60">
        <v>596</v>
      </c>
      <c r="AB98" s="56">
        <v>163</v>
      </c>
      <c r="AC98" s="60">
        <v>526</v>
      </c>
      <c r="AD98" s="56">
        <v>137</v>
      </c>
      <c r="AE98" s="60">
        <v>47</v>
      </c>
      <c r="AF98" s="61">
        <v>29</v>
      </c>
      <c r="AG98" s="56">
        <v>64</v>
      </c>
      <c r="AH98" s="57">
        <v>-8.8685015290519878E-2</v>
      </c>
      <c r="AI98" s="58">
        <v>-0.19571865443425077</v>
      </c>
      <c r="AJ98" s="58">
        <v>-0.1174496644295302</v>
      </c>
      <c r="AK98" s="58">
        <v>-6.0975609756097563E-3</v>
      </c>
      <c r="AL98" s="58">
        <v>-0.16463414634146342</v>
      </c>
      <c r="AM98" s="58">
        <v>-0.15950920245398773</v>
      </c>
      <c r="AN98" s="88">
        <v>4.1746031746031749</v>
      </c>
      <c r="AO98" s="58">
        <v>1.0873015873015872</v>
      </c>
      <c r="AP98" s="58">
        <v>0.23015873015873015</v>
      </c>
      <c r="AQ98" s="58">
        <v>0.50793650793650791</v>
      </c>
      <c r="AR98" s="58">
        <v>0.17105263157894737</v>
      </c>
      <c r="AS98" s="57">
        <v>0.16666666666666666</v>
      </c>
      <c r="AT98" s="59">
        <v>2.3809523809523808E-2</v>
      </c>
      <c r="AU98" s="60">
        <v>213</v>
      </c>
      <c r="AV98" s="61">
        <v>183</v>
      </c>
      <c r="AW98" s="56">
        <v>161</v>
      </c>
      <c r="AX98" s="57">
        <v>-0.14084507042253522</v>
      </c>
      <c r="AY98" s="58">
        <v>-0.24413145539906103</v>
      </c>
      <c r="AZ98" s="59">
        <v>-0.12021857923497267</v>
      </c>
      <c r="BA98" s="60">
        <v>11</v>
      </c>
      <c r="BB98" s="56">
        <v>11</v>
      </c>
      <c r="BC98" s="60">
        <v>2</v>
      </c>
      <c r="BD98" s="56">
        <v>2</v>
      </c>
      <c r="BE98" s="60">
        <v>504</v>
      </c>
      <c r="BF98" s="61">
        <v>526</v>
      </c>
      <c r="BG98" s="58">
        <v>0.95817490494296575</v>
      </c>
      <c r="BH98" s="61">
        <v>147</v>
      </c>
      <c r="BI98" s="61">
        <v>161</v>
      </c>
      <c r="BJ98" s="59">
        <v>0.91304347826086951</v>
      </c>
    </row>
    <row r="99" spans="1:62" x14ac:dyDescent="0.25">
      <c r="A99" s="119"/>
      <c r="B99" s="120"/>
      <c r="C99" s="120"/>
      <c r="D99" s="120"/>
      <c r="E99" s="121" t="s">
        <v>68</v>
      </c>
      <c r="F99" s="94">
        <v>177</v>
      </c>
      <c r="G99" s="91">
        <v>126</v>
      </c>
      <c r="H99" s="92">
        <v>0</v>
      </c>
      <c r="I99" s="92">
        <v>126</v>
      </c>
      <c r="J99" s="93">
        <v>0</v>
      </c>
      <c r="K99" s="91">
        <v>0</v>
      </c>
      <c r="L99" s="92">
        <v>0</v>
      </c>
      <c r="M99" s="92">
        <v>6</v>
      </c>
      <c r="N99" s="92">
        <v>2</v>
      </c>
      <c r="O99" s="92">
        <v>15</v>
      </c>
      <c r="P99" s="92">
        <v>0</v>
      </c>
      <c r="Q99" s="92">
        <v>1</v>
      </c>
      <c r="R99" s="93">
        <v>26</v>
      </c>
      <c r="S99" s="94">
        <v>21</v>
      </c>
      <c r="T99" s="91">
        <v>18</v>
      </c>
      <c r="U99" s="92">
        <v>0</v>
      </c>
      <c r="V99" s="92">
        <v>1</v>
      </c>
      <c r="W99" s="92">
        <v>1</v>
      </c>
      <c r="X99" s="93">
        <v>16</v>
      </c>
      <c r="Y99" s="91">
        <v>654</v>
      </c>
      <c r="Z99" s="93">
        <v>164</v>
      </c>
      <c r="AA99" s="91">
        <v>596</v>
      </c>
      <c r="AB99" s="93">
        <v>163</v>
      </c>
      <c r="AC99" s="91">
        <v>526</v>
      </c>
      <c r="AD99" s="93">
        <v>137</v>
      </c>
      <c r="AE99" s="91">
        <v>47</v>
      </c>
      <c r="AF99" s="92">
        <v>29</v>
      </c>
      <c r="AG99" s="93">
        <v>64</v>
      </c>
      <c r="AH99" s="95">
        <v>-8.8685015290519878E-2</v>
      </c>
      <c r="AI99" s="96">
        <v>-0.19571865443425077</v>
      </c>
      <c r="AJ99" s="96">
        <v>-0.1174496644295302</v>
      </c>
      <c r="AK99" s="96">
        <v>-6.0975609756097563E-3</v>
      </c>
      <c r="AL99" s="96">
        <v>-0.16463414634146342</v>
      </c>
      <c r="AM99" s="96">
        <v>-0.15950920245398773</v>
      </c>
      <c r="AN99" s="97">
        <v>4.1746031746031749</v>
      </c>
      <c r="AO99" s="96">
        <v>1.0873015873015872</v>
      </c>
      <c r="AP99" s="96">
        <v>0.23015873015873015</v>
      </c>
      <c r="AQ99" s="96">
        <v>0.50793650793650791</v>
      </c>
      <c r="AR99" s="96">
        <v>0.17105263157894737</v>
      </c>
      <c r="AS99" s="95">
        <v>0.16666666666666666</v>
      </c>
      <c r="AT99" s="98">
        <v>2.3809523809523808E-2</v>
      </c>
      <c r="AU99" s="91">
        <v>213</v>
      </c>
      <c r="AV99" s="92">
        <v>183</v>
      </c>
      <c r="AW99" s="68">
        <v>161</v>
      </c>
      <c r="AX99" s="69">
        <v>-0.14084507042253522</v>
      </c>
      <c r="AY99" s="70">
        <v>-0.24413145539906103</v>
      </c>
      <c r="AZ99" s="71">
        <v>-0.12021857923497267</v>
      </c>
      <c r="BA99" s="72">
        <v>11</v>
      </c>
      <c r="BB99" s="68">
        <v>11</v>
      </c>
      <c r="BC99" s="72">
        <v>2</v>
      </c>
      <c r="BD99" s="68">
        <v>2</v>
      </c>
      <c r="BE99" s="72">
        <v>504</v>
      </c>
      <c r="BF99" s="73">
        <v>526</v>
      </c>
      <c r="BG99" s="70">
        <v>0.95817490494296575</v>
      </c>
      <c r="BH99" s="73">
        <v>147</v>
      </c>
      <c r="BI99" s="73">
        <v>161</v>
      </c>
      <c r="BJ99" s="98">
        <v>0.91304347826086951</v>
      </c>
    </row>
    <row r="100" spans="1:62" ht="15.75" thickBot="1" x14ac:dyDescent="0.3">
      <c r="A100" s="125" t="s">
        <v>102</v>
      </c>
      <c r="B100" s="126"/>
      <c r="C100" s="126"/>
      <c r="D100" s="126"/>
      <c r="E100" s="127"/>
      <c r="F100" s="104">
        <v>4470</v>
      </c>
      <c r="G100" s="101">
        <v>3189</v>
      </c>
      <c r="H100" s="102">
        <v>0</v>
      </c>
      <c r="I100" s="102">
        <v>3189</v>
      </c>
      <c r="J100" s="103">
        <v>0</v>
      </c>
      <c r="K100" s="101">
        <v>0</v>
      </c>
      <c r="L100" s="102">
        <v>78</v>
      </c>
      <c r="M100" s="102">
        <v>194</v>
      </c>
      <c r="N100" s="102">
        <v>73</v>
      </c>
      <c r="O100" s="102">
        <v>66</v>
      </c>
      <c r="P100" s="102">
        <v>0</v>
      </c>
      <c r="Q100" s="102">
        <v>39</v>
      </c>
      <c r="R100" s="103">
        <v>779</v>
      </c>
      <c r="S100" s="104">
        <v>1026</v>
      </c>
      <c r="T100" s="101">
        <v>696</v>
      </c>
      <c r="U100" s="102">
        <v>0</v>
      </c>
      <c r="V100" s="102">
        <v>32</v>
      </c>
      <c r="W100" s="102">
        <v>117</v>
      </c>
      <c r="X100" s="103">
        <v>547</v>
      </c>
      <c r="Y100" s="101">
        <v>19910</v>
      </c>
      <c r="Z100" s="103">
        <v>4189</v>
      </c>
      <c r="AA100" s="101">
        <v>19303</v>
      </c>
      <c r="AB100" s="103">
        <v>4251</v>
      </c>
      <c r="AC100" s="101">
        <v>15253</v>
      </c>
      <c r="AD100" s="103">
        <v>3678</v>
      </c>
      <c r="AE100" s="101">
        <v>1226</v>
      </c>
      <c r="AF100" s="102">
        <v>635</v>
      </c>
      <c r="AG100" s="103">
        <v>1920</v>
      </c>
      <c r="AH100" s="80">
        <v>-3.0487192365645403E-2</v>
      </c>
      <c r="AI100" s="81">
        <v>-0.23390256152687092</v>
      </c>
      <c r="AJ100" s="81">
        <v>-0.20981194632958608</v>
      </c>
      <c r="AK100" s="81">
        <v>1.4800668417283362E-2</v>
      </c>
      <c r="AL100" s="81">
        <v>-0.12198615421341609</v>
      </c>
      <c r="AM100" s="81">
        <v>-0.13479181369089627</v>
      </c>
      <c r="AN100" s="105">
        <v>4.7830040765130137</v>
      </c>
      <c r="AO100" s="81">
        <v>1.1533396048918156</v>
      </c>
      <c r="AP100" s="81">
        <v>0.19912198181248039</v>
      </c>
      <c r="AQ100" s="81">
        <v>0.60206961429915329</v>
      </c>
      <c r="AR100" s="81">
        <v>0.19632056451612903</v>
      </c>
      <c r="AS100" s="80">
        <v>0.32173095014111008</v>
      </c>
      <c r="AT100" s="82">
        <v>0.10348071495766697</v>
      </c>
      <c r="AU100" s="101"/>
      <c r="AV100" s="102"/>
      <c r="AW100" s="103"/>
      <c r="AX100" s="80" t="e">
        <v>#DIV/0!</v>
      </c>
      <c r="AY100" s="81" t="e">
        <v>#DIV/0!</v>
      </c>
      <c r="AZ100" s="82" t="e">
        <v>#DIV/0!</v>
      </c>
      <c r="BA100" s="101"/>
      <c r="BB100" s="103"/>
      <c r="BC100" s="101"/>
      <c r="BD100" s="103"/>
      <c r="BE100" s="101"/>
      <c r="BF100" s="102"/>
      <c r="BG100" s="81" t="e">
        <v>#DIV/0!</v>
      </c>
      <c r="BH100" s="102"/>
      <c r="BI100" s="102"/>
      <c r="BJ100" s="82" t="e">
        <v>#DIV/0!</v>
      </c>
    </row>
  </sheetData>
  <mergeCells count="18">
    <mergeCell ref="A1:E3"/>
    <mergeCell ref="F1:R1"/>
    <mergeCell ref="S1:X1"/>
    <mergeCell ref="Y1:AG1"/>
    <mergeCell ref="AH1:AR1"/>
    <mergeCell ref="AA2:AB2"/>
    <mergeCell ref="AC2:AD2"/>
    <mergeCell ref="AH2:AR2"/>
    <mergeCell ref="AU1:BJ1"/>
    <mergeCell ref="G2:J2"/>
    <mergeCell ref="K2:R2"/>
    <mergeCell ref="T2:X2"/>
    <mergeCell ref="Y2:Z2"/>
    <mergeCell ref="BE2:BJ2"/>
    <mergeCell ref="AX2:AZ2"/>
    <mergeCell ref="BA2:BB2"/>
    <mergeCell ref="BC2:BD2"/>
    <mergeCell ref="AS1:AT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71"/>
  <sheetViews>
    <sheetView workbookViewId="0">
      <selection activeCell="F4" sqref="F4"/>
    </sheetView>
  </sheetViews>
  <sheetFormatPr baseColWidth="10" defaultRowHeight="15" x14ac:dyDescent="0.25"/>
  <sheetData>
    <row r="1" spans="1:62" ht="15.75" thickBot="1" x14ac:dyDescent="0.3">
      <c r="A1" s="259" t="s">
        <v>0</v>
      </c>
      <c r="B1" s="260"/>
      <c r="C1" s="260"/>
      <c r="D1" s="260"/>
      <c r="E1" s="261"/>
      <c r="F1" s="268" t="s">
        <v>1</v>
      </c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70"/>
      <c r="S1" s="268"/>
      <c r="T1" s="269"/>
      <c r="U1" s="269"/>
      <c r="V1" s="269"/>
      <c r="W1" s="269"/>
      <c r="X1" s="270"/>
      <c r="Y1" s="268" t="s">
        <v>2</v>
      </c>
      <c r="Z1" s="269"/>
      <c r="AA1" s="269"/>
      <c r="AB1" s="269"/>
      <c r="AC1" s="269"/>
      <c r="AD1" s="269"/>
      <c r="AE1" s="269"/>
      <c r="AF1" s="269"/>
      <c r="AG1" s="270"/>
      <c r="AH1" s="268" t="s">
        <v>3</v>
      </c>
      <c r="AI1" s="269"/>
      <c r="AJ1" s="269"/>
      <c r="AK1" s="269"/>
      <c r="AL1" s="269"/>
      <c r="AM1" s="269"/>
      <c r="AN1" s="269"/>
      <c r="AO1" s="269"/>
      <c r="AP1" s="269"/>
      <c r="AQ1" s="269"/>
      <c r="AR1" s="270"/>
      <c r="AS1" s="268" t="s">
        <v>247</v>
      </c>
      <c r="AT1" s="270"/>
      <c r="AU1" s="268" t="s">
        <v>4</v>
      </c>
      <c r="AV1" s="269"/>
      <c r="AW1" s="269"/>
      <c r="AX1" s="269"/>
      <c r="AY1" s="269"/>
      <c r="AZ1" s="269"/>
      <c r="BA1" s="269"/>
      <c r="BB1" s="269"/>
      <c r="BC1" s="269"/>
      <c r="BD1" s="269"/>
      <c r="BE1" s="269"/>
      <c r="BF1" s="269"/>
      <c r="BG1" s="269"/>
      <c r="BH1" s="269"/>
      <c r="BI1" s="269"/>
      <c r="BJ1" s="269"/>
    </row>
    <row r="2" spans="1:62" ht="15.75" thickBot="1" x14ac:dyDescent="0.3">
      <c r="A2" s="262"/>
      <c r="B2" s="263"/>
      <c r="C2" s="263"/>
      <c r="D2" s="263"/>
      <c r="E2" s="264"/>
      <c r="F2" s="232"/>
      <c r="G2" s="269" t="s">
        <v>5</v>
      </c>
      <c r="H2" s="269"/>
      <c r="I2" s="269"/>
      <c r="J2" s="270"/>
      <c r="K2" s="268" t="s">
        <v>6</v>
      </c>
      <c r="L2" s="269"/>
      <c r="M2" s="269"/>
      <c r="N2" s="269"/>
      <c r="O2" s="269"/>
      <c r="P2" s="269"/>
      <c r="Q2" s="269"/>
      <c r="R2" s="270"/>
      <c r="S2" s="147" t="s">
        <v>7</v>
      </c>
      <c r="T2" s="268" t="s">
        <v>8</v>
      </c>
      <c r="U2" s="269"/>
      <c r="V2" s="269"/>
      <c r="W2" s="269"/>
      <c r="X2" s="270"/>
      <c r="Y2" s="268">
        <v>2016</v>
      </c>
      <c r="Z2" s="270"/>
      <c r="AA2" s="268">
        <v>2017</v>
      </c>
      <c r="AB2" s="270"/>
      <c r="AC2" s="268">
        <v>2018</v>
      </c>
      <c r="AD2" s="270"/>
      <c r="AE2" s="229"/>
      <c r="AF2" s="231"/>
      <c r="AG2" s="230"/>
      <c r="AH2" s="259"/>
      <c r="AI2" s="260"/>
      <c r="AJ2" s="260"/>
      <c r="AK2" s="260"/>
      <c r="AL2" s="260"/>
      <c r="AM2" s="260"/>
      <c r="AN2" s="260"/>
      <c r="AO2" s="260"/>
      <c r="AP2" s="260"/>
      <c r="AQ2" s="260"/>
      <c r="AR2" s="261"/>
      <c r="AS2" s="229"/>
      <c r="AT2" s="230"/>
      <c r="AU2" s="229"/>
      <c r="AV2" s="231"/>
      <c r="AW2" s="230"/>
      <c r="AX2" s="268" t="s">
        <v>9</v>
      </c>
      <c r="AY2" s="269"/>
      <c r="AZ2" s="270"/>
      <c r="BA2" s="266" t="s">
        <v>10</v>
      </c>
      <c r="BB2" s="267"/>
      <c r="BC2" s="265" t="s">
        <v>11</v>
      </c>
      <c r="BD2" s="267"/>
      <c r="BE2" s="259" t="s">
        <v>12</v>
      </c>
      <c r="BF2" s="260"/>
      <c r="BG2" s="260"/>
      <c r="BH2" s="260"/>
      <c r="BI2" s="260"/>
      <c r="BJ2" s="261"/>
    </row>
    <row r="3" spans="1:62" s="171" customFormat="1" ht="255" customHeight="1" thickBot="1" x14ac:dyDescent="0.3">
      <c r="A3" s="265"/>
      <c r="B3" s="266"/>
      <c r="C3" s="266"/>
      <c r="D3" s="266"/>
      <c r="E3" s="267"/>
      <c r="F3" s="152" t="s">
        <v>13</v>
      </c>
      <c r="G3" s="154" t="s">
        <v>14</v>
      </c>
      <c r="H3" s="155" t="s">
        <v>15</v>
      </c>
      <c r="I3" s="155" t="s">
        <v>16</v>
      </c>
      <c r="J3" s="156" t="s">
        <v>17</v>
      </c>
      <c r="K3" s="154" t="s">
        <v>18</v>
      </c>
      <c r="L3" s="155" t="s">
        <v>19</v>
      </c>
      <c r="M3" s="155" t="s">
        <v>20</v>
      </c>
      <c r="N3" s="155" t="s">
        <v>21</v>
      </c>
      <c r="O3" s="155" t="s">
        <v>22</v>
      </c>
      <c r="P3" s="155" t="s">
        <v>23</v>
      </c>
      <c r="Q3" s="155" t="s">
        <v>24</v>
      </c>
      <c r="R3" s="156" t="s">
        <v>25</v>
      </c>
      <c r="S3" s="157" t="s">
        <v>26</v>
      </c>
      <c r="T3" s="154" t="s">
        <v>27</v>
      </c>
      <c r="U3" s="155" t="s">
        <v>28</v>
      </c>
      <c r="V3" s="155" t="s">
        <v>29</v>
      </c>
      <c r="W3" s="155" t="s">
        <v>30</v>
      </c>
      <c r="X3" s="156" t="s">
        <v>31</v>
      </c>
      <c r="Y3" s="154" t="s">
        <v>32</v>
      </c>
      <c r="Z3" s="156" t="s">
        <v>33</v>
      </c>
      <c r="AA3" s="154" t="s">
        <v>34</v>
      </c>
      <c r="AB3" s="156" t="s">
        <v>35</v>
      </c>
      <c r="AC3" s="154" t="s">
        <v>36</v>
      </c>
      <c r="AD3" s="156" t="s">
        <v>37</v>
      </c>
      <c r="AE3" s="158" t="s">
        <v>38</v>
      </c>
      <c r="AF3" s="159" t="s">
        <v>39</v>
      </c>
      <c r="AG3" s="160" t="s">
        <v>40</v>
      </c>
      <c r="AH3" s="159" t="s">
        <v>41</v>
      </c>
      <c r="AI3" s="159" t="s">
        <v>42</v>
      </c>
      <c r="AJ3" s="159" t="s">
        <v>43</v>
      </c>
      <c r="AK3" s="159" t="s">
        <v>44</v>
      </c>
      <c r="AL3" s="159" t="s">
        <v>45</v>
      </c>
      <c r="AM3" s="159" t="s">
        <v>46</v>
      </c>
      <c r="AN3" s="159" t="s">
        <v>47</v>
      </c>
      <c r="AO3" s="159" t="s">
        <v>48</v>
      </c>
      <c r="AP3" s="159" t="s">
        <v>49</v>
      </c>
      <c r="AQ3" s="159" t="s">
        <v>50</v>
      </c>
      <c r="AR3" s="159" t="s">
        <v>51</v>
      </c>
      <c r="AS3" s="233" t="s">
        <v>248</v>
      </c>
      <c r="AT3" s="234" t="s">
        <v>246</v>
      </c>
      <c r="AU3" s="158" t="s">
        <v>52</v>
      </c>
      <c r="AV3" s="159" t="s">
        <v>53</v>
      </c>
      <c r="AW3" s="160" t="s">
        <v>54</v>
      </c>
      <c r="AX3" s="159" t="s">
        <v>55</v>
      </c>
      <c r="AY3" s="159" t="s">
        <v>56</v>
      </c>
      <c r="AZ3" s="159" t="s">
        <v>57</v>
      </c>
      <c r="BA3" s="154" t="s">
        <v>58</v>
      </c>
      <c r="BB3" s="156" t="s">
        <v>59</v>
      </c>
      <c r="BC3" s="154" t="s">
        <v>60</v>
      </c>
      <c r="BD3" s="155" t="s">
        <v>61</v>
      </c>
      <c r="BE3" s="235" t="s">
        <v>103</v>
      </c>
      <c r="BF3" s="236" t="s">
        <v>104</v>
      </c>
      <c r="BG3" s="236" t="s">
        <v>62</v>
      </c>
      <c r="BH3" s="236" t="s">
        <v>105</v>
      </c>
      <c r="BI3" s="236" t="s">
        <v>106</v>
      </c>
      <c r="BJ3" s="237" t="s">
        <v>63</v>
      </c>
    </row>
    <row r="4" spans="1:62" x14ac:dyDescent="0.25">
      <c r="A4" s="1" t="s">
        <v>64</v>
      </c>
      <c r="B4" s="2"/>
      <c r="C4" s="2"/>
      <c r="D4" s="2"/>
      <c r="E4" s="3"/>
      <c r="F4" s="4">
        <v>35844</v>
      </c>
      <c r="G4" s="1">
        <v>31795</v>
      </c>
      <c r="H4" s="2">
        <v>286</v>
      </c>
      <c r="I4" s="2">
        <v>0</v>
      </c>
      <c r="J4" s="3">
        <v>32081</v>
      </c>
      <c r="K4" s="1">
        <v>0</v>
      </c>
      <c r="L4" s="2">
        <v>341</v>
      </c>
      <c r="M4" s="2">
        <v>406</v>
      </c>
      <c r="N4" s="2">
        <v>682</v>
      </c>
      <c r="O4" s="2">
        <v>203</v>
      </c>
      <c r="P4" s="2">
        <v>0</v>
      </c>
      <c r="Q4" s="2">
        <v>4</v>
      </c>
      <c r="R4" s="3">
        <v>1861</v>
      </c>
      <c r="S4" s="4">
        <v>1714</v>
      </c>
      <c r="T4" s="1">
        <v>1648</v>
      </c>
      <c r="U4" s="2">
        <v>1</v>
      </c>
      <c r="V4" s="2">
        <v>4</v>
      </c>
      <c r="W4" s="2">
        <v>221</v>
      </c>
      <c r="X4" s="3">
        <v>1422</v>
      </c>
      <c r="Y4" s="1">
        <v>27415</v>
      </c>
      <c r="Z4" s="3">
        <v>19936</v>
      </c>
      <c r="AA4" s="1">
        <v>28559</v>
      </c>
      <c r="AB4" s="3">
        <v>18545</v>
      </c>
      <c r="AC4" s="1">
        <v>32252</v>
      </c>
      <c r="AD4" s="3">
        <v>19629</v>
      </c>
      <c r="AE4" s="1">
        <v>15689</v>
      </c>
      <c r="AF4" s="2">
        <v>8283</v>
      </c>
      <c r="AG4" s="3">
        <v>20304</v>
      </c>
      <c r="AH4" s="5">
        <v>4.1728980485135875E-2</v>
      </c>
      <c r="AI4" s="5">
        <v>0.1764362575232537</v>
      </c>
      <c r="AJ4" s="5">
        <v>0.12931125039392136</v>
      </c>
      <c r="AK4" s="5">
        <v>-6.9773274478330663E-2</v>
      </c>
      <c r="AL4" s="5">
        <v>-1.5399277688603531E-2</v>
      </c>
      <c r="AM4" s="5">
        <v>5.8452413049339444E-2</v>
      </c>
      <c r="AN4" s="6">
        <v>1.0143733291398018</v>
      </c>
      <c r="AO4" s="5">
        <v>0.61736122031766005</v>
      </c>
      <c r="AP4" s="5">
        <v>0.26051265922314831</v>
      </c>
      <c r="AQ4" s="5">
        <v>0.63859097342349425</v>
      </c>
      <c r="AR4" s="5">
        <v>5.5294746850487284E-2</v>
      </c>
      <c r="AS4" s="129">
        <v>5.3907847145777635E-2</v>
      </c>
      <c r="AT4" s="7">
        <v>2.075798081459349E-3</v>
      </c>
      <c r="AU4" s="1">
        <v>379</v>
      </c>
      <c r="AV4" s="2">
        <v>354</v>
      </c>
      <c r="AW4" s="3">
        <v>355</v>
      </c>
      <c r="AX4" s="5">
        <v>-6.5963060686015831E-2</v>
      </c>
      <c r="AY4" s="5">
        <v>-6.3324538258575203E-2</v>
      </c>
      <c r="AZ4" s="5">
        <v>2.8248587570621469E-3</v>
      </c>
      <c r="BA4" s="1">
        <v>14</v>
      </c>
      <c r="BB4" s="3">
        <v>11</v>
      </c>
      <c r="BC4" s="1">
        <v>6</v>
      </c>
      <c r="BD4" s="2">
        <v>3</v>
      </c>
      <c r="BE4" s="1">
        <v>32146</v>
      </c>
      <c r="BF4" s="2">
        <v>32252</v>
      </c>
      <c r="BG4" s="5">
        <v>0.99671338211583782</v>
      </c>
      <c r="BH4" s="2">
        <v>335</v>
      </c>
      <c r="BI4" s="2">
        <v>355</v>
      </c>
      <c r="BJ4" s="7">
        <v>0.94366197183098588</v>
      </c>
    </row>
    <row r="5" spans="1:62" x14ac:dyDescent="0.25">
      <c r="A5" s="8"/>
      <c r="B5" s="9" t="s">
        <v>65</v>
      </c>
      <c r="C5" s="9"/>
      <c r="D5" s="9"/>
      <c r="E5" s="10"/>
      <c r="F5" s="11">
        <v>19009</v>
      </c>
      <c r="G5" s="8">
        <v>17022</v>
      </c>
      <c r="H5" s="9">
        <v>6</v>
      </c>
      <c r="I5" s="9">
        <v>0</v>
      </c>
      <c r="J5" s="10">
        <v>17028</v>
      </c>
      <c r="K5" s="8">
        <v>0</v>
      </c>
      <c r="L5" s="9">
        <v>27</v>
      </c>
      <c r="M5" s="9">
        <v>394</v>
      </c>
      <c r="N5" s="9">
        <v>442</v>
      </c>
      <c r="O5" s="9">
        <v>165</v>
      </c>
      <c r="P5" s="9">
        <v>0</v>
      </c>
      <c r="Q5" s="9">
        <v>3</v>
      </c>
      <c r="R5" s="10">
        <v>937</v>
      </c>
      <c r="S5" s="11">
        <v>775</v>
      </c>
      <c r="T5" s="8">
        <v>543</v>
      </c>
      <c r="U5" s="9">
        <v>0</v>
      </c>
      <c r="V5" s="9">
        <v>3</v>
      </c>
      <c r="W5" s="9">
        <v>220</v>
      </c>
      <c r="X5" s="10">
        <v>320</v>
      </c>
      <c r="Y5" s="8">
        <v>16544</v>
      </c>
      <c r="Z5" s="10">
        <v>11737</v>
      </c>
      <c r="AA5" s="8">
        <v>17737</v>
      </c>
      <c r="AB5" s="10">
        <v>10914</v>
      </c>
      <c r="AC5" s="8">
        <v>19784</v>
      </c>
      <c r="AD5" s="10">
        <v>11414</v>
      </c>
      <c r="AE5" s="8">
        <v>7612</v>
      </c>
      <c r="AF5" s="9">
        <v>3759</v>
      </c>
      <c r="AG5" s="10">
        <v>10879</v>
      </c>
      <c r="AH5" s="12">
        <v>7.2110735009671176E-2</v>
      </c>
      <c r="AI5" s="12">
        <v>0.1958413926499033</v>
      </c>
      <c r="AJ5" s="12">
        <v>0.11540846817387382</v>
      </c>
      <c r="AK5" s="12">
        <v>-7.0120132913010141E-2</v>
      </c>
      <c r="AL5" s="12">
        <v>-2.7519809150549544E-2</v>
      </c>
      <c r="AM5" s="12">
        <v>4.581271761040865E-2</v>
      </c>
      <c r="AN5" s="13">
        <v>1.1622606039243333</v>
      </c>
      <c r="AO5" s="12">
        <v>0.67054400187992014</v>
      </c>
      <c r="AP5" s="12">
        <v>0.22083186464575255</v>
      </c>
      <c r="AQ5" s="12">
        <v>0.63911408765127486</v>
      </c>
      <c r="AR5" s="12">
        <v>5.2174397238153571E-2</v>
      </c>
      <c r="AS5" s="131">
        <v>4.5529315004112322E-2</v>
      </c>
      <c r="AT5" s="14">
        <v>1.3629420749618142E-2</v>
      </c>
      <c r="AU5" s="8">
        <v>304</v>
      </c>
      <c r="AV5" s="9">
        <v>305</v>
      </c>
      <c r="AW5" s="10">
        <v>309</v>
      </c>
      <c r="AX5" s="12">
        <v>3.2894736842105261E-3</v>
      </c>
      <c r="AY5" s="12">
        <v>1.6447368421052631E-2</v>
      </c>
      <c r="AZ5" s="12">
        <v>1.3114754098360656E-2</v>
      </c>
      <c r="BA5" s="8">
        <v>16</v>
      </c>
      <c r="BB5" s="10">
        <v>9</v>
      </c>
      <c r="BC5" s="8">
        <v>6</v>
      </c>
      <c r="BD5" s="9">
        <v>3</v>
      </c>
      <c r="BE5" s="8">
        <v>19697</v>
      </c>
      <c r="BF5" s="9">
        <v>19784</v>
      </c>
      <c r="BG5" s="12">
        <v>0.99560250707642539</v>
      </c>
      <c r="BH5" s="9">
        <v>296</v>
      </c>
      <c r="BI5" s="9">
        <v>309</v>
      </c>
      <c r="BJ5" s="14">
        <v>0.95792880258899671</v>
      </c>
    </row>
    <row r="6" spans="1:62" x14ac:dyDescent="0.25">
      <c r="A6" s="15"/>
      <c r="B6" s="16"/>
      <c r="C6" s="16" t="s">
        <v>66</v>
      </c>
      <c r="D6" s="16"/>
      <c r="E6" s="17"/>
      <c r="F6" s="18">
        <v>452</v>
      </c>
      <c r="G6" s="15">
        <v>449</v>
      </c>
      <c r="H6" s="16">
        <v>1</v>
      </c>
      <c r="I6" s="16">
        <v>0</v>
      </c>
      <c r="J6" s="17">
        <v>450</v>
      </c>
      <c r="K6" s="15">
        <v>0</v>
      </c>
      <c r="L6" s="16">
        <v>1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7">
        <v>1</v>
      </c>
      <c r="S6" s="18">
        <v>3</v>
      </c>
      <c r="T6" s="15"/>
      <c r="U6" s="16"/>
      <c r="V6" s="16"/>
      <c r="W6" s="16"/>
      <c r="X6" s="17"/>
      <c r="Y6" s="15">
        <v>154</v>
      </c>
      <c r="Z6" s="17">
        <v>42</v>
      </c>
      <c r="AA6" s="15">
        <v>96</v>
      </c>
      <c r="AB6" s="17">
        <v>45</v>
      </c>
      <c r="AC6" s="15">
        <v>220</v>
      </c>
      <c r="AD6" s="17">
        <v>39</v>
      </c>
      <c r="AE6" s="15">
        <v>411</v>
      </c>
      <c r="AF6" s="16">
        <v>403</v>
      </c>
      <c r="AG6" s="17">
        <v>40</v>
      </c>
      <c r="AH6" s="19">
        <v>-0.37662337662337664</v>
      </c>
      <c r="AI6" s="19">
        <v>0.42857142857142855</v>
      </c>
      <c r="AJ6" s="19">
        <v>1.2916666666666667</v>
      </c>
      <c r="AK6" s="19">
        <v>7.1428571428571425E-2</v>
      </c>
      <c r="AL6" s="19">
        <v>-7.1428571428571425E-2</v>
      </c>
      <c r="AM6" s="19">
        <v>-0.13333333333333333</v>
      </c>
      <c r="AN6" s="20">
        <v>0.48997772828507796</v>
      </c>
      <c r="AO6" s="19">
        <v>8.6859688195991089E-2</v>
      </c>
      <c r="AP6" s="19">
        <v>0.89755011135857465</v>
      </c>
      <c r="AQ6" s="19">
        <v>8.9086859688195991E-2</v>
      </c>
      <c r="AR6" s="19">
        <v>2.2222222222222222E-3</v>
      </c>
      <c r="AS6" s="133">
        <v>6.6815144766146995E-3</v>
      </c>
      <c r="AT6" s="21">
        <v>6.6815144766146995E-3</v>
      </c>
      <c r="AU6" s="15">
        <v>23</v>
      </c>
      <c r="AV6" s="16">
        <v>10</v>
      </c>
      <c r="AW6" s="17">
        <v>17</v>
      </c>
      <c r="AX6" s="19">
        <v>-0.56521739130434778</v>
      </c>
      <c r="AY6" s="19">
        <v>-0.2608695652173913</v>
      </c>
      <c r="AZ6" s="19">
        <v>0.7</v>
      </c>
      <c r="BA6" s="15"/>
      <c r="BB6" s="17"/>
      <c r="BC6" s="15">
        <v>1</v>
      </c>
      <c r="BD6" s="16">
        <v>2</v>
      </c>
      <c r="BE6" s="15">
        <v>220</v>
      </c>
      <c r="BF6" s="16">
        <v>220</v>
      </c>
      <c r="BG6" s="19">
        <v>1</v>
      </c>
      <c r="BH6" s="16">
        <v>17</v>
      </c>
      <c r="BI6" s="16">
        <v>17</v>
      </c>
      <c r="BJ6" s="21">
        <v>1</v>
      </c>
    </row>
    <row r="7" spans="1:62" x14ac:dyDescent="0.25">
      <c r="A7" s="22"/>
      <c r="B7" s="23"/>
      <c r="C7" s="23"/>
      <c r="D7" s="23" t="s">
        <v>67</v>
      </c>
      <c r="E7" s="24"/>
      <c r="F7" s="25">
        <v>18</v>
      </c>
      <c r="G7" s="22">
        <v>18</v>
      </c>
      <c r="H7" s="23">
        <v>0</v>
      </c>
      <c r="I7" s="23">
        <v>0</v>
      </c>
      <c r="J7" s="24">
        <v>18</v>
      </c>
      <c r="K7" s="22">
        <v>0</v>
      </c>
      <c r="L7" s="23">
        <v>0</v>
      </c>
      <c r="M7" s="23">
        <v>0</v>
      </c>
      <c r="N7" s="23">
        <v>0</v>
      </c>
      <c r="O7" s="23">
        <v>0</v>
      </c>
      <c r="P7" s="23">
        <v>0</v>
      </c>
      <c r="Q7" s="23">
        <v>0</v>
      </c>
      <c r="R7" s="24">
        <v>0</v>
      </c>
      <c r="S7" s="25">
        <v>0</v>
      </c>
      <c r="T7" s="22"/>
      <c r="U7" s="23"/>
      <c r="V7" s="23"/>
      <c r="W7" s="23"/>
      <c r="X7" s="24"/>
      <c r="Y7" s="22">
        <v>0</v>
      </c>
      <c r="Z7" s="24">
        <v>0</v>
      </c>
      <c r="AA7" s="22">
        <v>0</v>
      </c>
      <c r="AB7" s="24">
        <v>0</v>
      </c>
      <c r="AC7" s="22">
        <v>30</v>
      </c>
      <c r="AD7" s="24">
        <v>5</v>
      </c>
      <c r="AE7" s="22">
        <v>13</v>
      </c>
      <c r="AF7" s="23">
        <v>13</v>
      </c>
      <c r="AG7" s="24">
        <v>5</v>
      </c>
      <c r="AH7" s="26"/>
      <c r="AI7" s="26"/>
      <c r="AJ7" s="26"/>
      <c r="AK7" s="26"/>
      <c r="AL7" s="26"/>
      <c r="AM7" s="26"/>
      <c r="AN7" s="27">
        <v>1.6666666666666667</v>
      </c>
      <c r="AO7" s="26">
        <v>0.27777777777777779</v>
      </c>
      <c r="AP7" s="26">
        <v>0.72222222222222221</v>
      </c>
      <c r="AQ7" s="26">
        <v>0.27777777777777779</v>
      </c>
      <c r="AR7" s="26">
        <v>0</v>
      </c>
      <c r="AS7" s="135">
        <v>0</v>
      </c>
      <c r="AT7" s="28">
        <v>0</v>
      </c>
      <c r="AU7" s="22">
        <v>0</v>
      </c>
      <c r="AV7" s="23">
        <v>0</v>
      </c>
      <c r="AW7" s="24">
        <v>6</v>
      </c>
      <c r="AX7" s="26"/>
      <c r="AY7" s="26"/>
      <c r="AZ7" s="26"/>
      <c r="BA7" s="22"/>
      <c r="BB7" s="24"/>
      <c r="BC7" s="22">
        <v>1</v>
      </c>
      <c r="BD7" s="23">
        <v>1</v>
      </c>
      <c r="BE7" s="22">
        <v>30</v>
      </c>
      <c r="BF7" s="23">
        <v>30</v>
      </c>
      <c r="BG7" s="26">
        <v>1</v>
      </c>
      <c r="BH7" s="23">
        <v>6</v>
      </c>
      <c r="BI7" s="23">
        <v>6</v>
      </c>
      <c r="BJ7" s="28">
        <v>1</v>
      </c>
    </row>
    <row r="8" spans="1:62" x14ac:dyDescent="0.25">
      <c r="A8" s="29"/>
      <c r="B8" s="30"/>
      <c r="C8" s="30"/>
      <c r="D8" s="30"/>
      <c r="E8" s="31" t="s">
        <v>68</v>
      </c>
      <c r="F8" s="32">
        <v>18</v>
      </c>
      <c r="G8" s="29">
        <v>18</v>
      </c>
      <c r="H8" s="30">
        <v>0</v>
      </c>
      <c r="I8" s="30">
        <v>0</v>
      </c>
      <c r="J8" s="31">
        <v>18</v>
      </c>
      <c r="K8" s="29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1">
        <v>0</v>
      </c>
      <c r="S8" s="32">
        <v>0</v>
      </c>
      <c r="T8" s="29"/>
      <c r="U8" s="30"/>
      <c r="V8" s="30"/>
      <c r="W8" s="30"/>
      <c r="X8" s="31"/>
      <c r="Y8" s="29">
        <v>0</v>
      </c>
      <c r="Z8" s="31">
        <v>0</v>
      </c>
      <c r="AA8" s="29">
        <v>0</v>
      </c>
      <c r="AB8" s="31">
        <v>0</v>
      </c>
      <c r="AC8" s="29">
        <v>30</v>
      </c>
      <c r="AD8" s="31">
        <v>5</v>
      </c>
      <c r="AE8" s="29">
        <v>13</v>
      </c>
      <c r="AF8" s="30">
        <v>13</v>
      </c>
      <c r="AG8" s="31">
        <v>5</v>
      </c>
      <c r="AH8" s="33"/>
      <c r="AI8" s="33"/>
      <c r="AJ8" s="33"/>
      <c r="AK8" s="33"/>
      <c r="AL8" s="33"/>
      <c r="AM8" s="33"/>
      <c r="AN8" s="34">
        <v>1.6666666666666667</v>
      </c>
      <c r="AO8" s="33">
        <v>0.27777777777777779</v>
      </c>
      <c r="AP8" s="33">
        <v>0.72222222222222221</v>
      </c>
      <c r="AQ8" s="33">
        <v>0.27777777777777779</v>
      </c>
      <c r="AR8" s="33">
        <v>0</v>
      </c>
      <c r="AS8" s="136">
        <v>0</v>
      </c>
      <c r="AT8" s="35">
        <v>0</v>
      </c>
      <c r="AU8" s="29">
        <v>0</v>
      </c>
      <c r="AV8" s="30">
        <v>0</v>
      </c>
      <c r="AW8" s="31">
        <v>6</v>
      </c>
      <c r="AX8" s="33"/>
      <c r="AY8" s="33"/>
      <c r="AZ8" s="33"/>
      <c r="BA8" s="29"/>
      <c r="BB8" s="31"/>
      <c r="BC8" s="29">
        <v>1</v>
      </c>
      <c r="BD8" s="30">
        <v>1</v>
      </c>
      <c r="BE8" s="29">
        <v>30</v>
      </c>
      <c r="BF8" s="30">
        <v>30</v>
      </c>
      <c r="BG8" s="33">
        <v>1</v>
      </c>
      <c r="BH8" s="30">
        <v>6</v>
      </c>
      <c r="BI8" s="30">
        <v>6</v>
      </c>
      <c r="BJ8" s="35">
        <v>1</v>
      </c>
    </row>
    <row r="9" spans="1:62" x14ac:dyDescent="0.25">
      <c r="A9" s="22"/>
      <c r="B9" s="23"/>
      <c r="C9" s="23"/>
      <c r="D9" s="23" t="s">
        <v>69</v>
      </c>
      <c r="E9" s="24"/>
      <c r="F9" s="25">
        <v>434</v>
      </c>
      <c r="G9" s="22">
        <v>431</v>
      </c>
      <c r="H9" s="23">
        <v>1</v>
      </c>
      <c r="I9" s="23">
        <v>0</v>
      </c>
      <c r="J9" s="24">
        <v>432</v>
      </c>
      <c r="K9" s="22">
        <v>0</v>
      </c>
      <c r="L9" s="23">
        <v>1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4">
        <v>1</v>
      </c>
      <c r="S9" s="25">
        <v>3</v>
      </c>
      <c r="T9" s="22"/>
      <c r="U9" s="23"/>
      <c r="V9" s="23"/>
      <c r="W9" s="23"/>
      <c r="X9" s="24"/>
      <c r="Y9" s="22">
        <v>154</v>
      </c>
      <c r="Z9" s="24">
        <v>42</v>
      </c>
      <c r="AA9" s="22">
        <v>96</v>
      </c>
      <c r="AB9" s="24">
        <v>45</v>
      </c>
      <c r="AC9" s="22">
        <v>190</v>
      </c>
      <c r="AD9" s="24">
        <v>34</v>
      </c>
      <c r="AE9" s="22">
        <v>398</v>
      </c>
      <c r="AF9" s="23">
        <v>390</v>
      </c>
      <c r="AG9" s="24">
        <v>35</v>
      </c>
      <c r="AH9" s="26">
        <v>-0.37662337662337664</v>
      </c>
      <c r="AI9" s="26">
        <v>0.23376623376623376</v>
      </c>
      <c r="AJ9" s="26">
        <v>0.97916666666666663</v>
      </c>
      <c r="AK9" s="26">
        <v>7.1428571428571425E-2</v>
      </c>
      <c r="AL9" s="26">
        <v>-0.19047619047619047</v>
      </c>
      <c r="AM9" s="26">
        <v>-0.24444444444444444</v>
      </c>
      <c r="AN9" s="27">
        <v>0.44083526682134572</v>
      </c>
      <c r="AO9" s="26">
        <v>7.8886310904872387E-2</v>
      </c>
      <c r="AP9" s="26">
        <v>0.90487238979118334</v>
      </c>
      <c r="AQ9" s="26">
        <v>8.1206496519721574E-2</v>
      </c>
      <c r="AR9" s="26">
        <v>2.3148148148148147E-3</v>
      </c>
      <c r="AS9" s="135">
        <v>6.9605568445475635E-3</v>
      </c>
      <c r="AT9" s="28">
        <v>6.9605568445475635E-3</v>
      </c>
      <c r="AU9" s="22">
        <v>23</v>
      </c>
      <c r="AV9" s="23">
        <v>10</v>
      </c>
      <c r="AW9" s="24">
        <v>17</v>
      </c>
      <c r="AX9" s="26">
        <v>-0.56521739130434778</v>
      </c>
      <c r="AY9" s="26">
        <v>-0.2608695652173913</v>
      </c>
      <c r="AZ9" s="26">
        <v>0.7</v>
      </c>
      <c r="BA9" s="22"/>
      <c r="BB9" s="24"/>
      <c r="BC9" s="22">
        <v>1</v>
      </c>
      <c r="BD9" s="23">
        <v>2</v>
      </c>
      <c r="BE9" s="22">
        <v>190</v>
      </c>
      <c r="BF9" s="23">
        <v>190</v>
      </c>
      <c r="BG9" s="26">
        <v>1</v>
      </c>
      <c r="BH9" s="23">
        <v>17</v>
      </c>
      <c r="BI9" s="23">
        <v>17</v>
      </c>
      <c r="BJ9" s="28">
        <v>1</v>
      </c>
    </row>
    <row r="10" spans="1:62" x14ac:dyDescent="0.25">
      <c r="A10" s="29"/>
      <c r="B10" s="30"/>
      <c r="C10" s="30"/>
      <c r="D10" s="30"/>
      <c r="E10" s="31" t="s">
        <v>68</v>
      </c>
      <c r="F10" s="32">
        <v>434</v>
      </c>
      <c r="G10" s="29">
        <v>431</v>
      </c>
      <c r="H10" s="30">
        <v>1</v>
      </c>
      <c r="I10" s="30">
        <v>0</v>
      </c>
      <c r="J10" s="31">
        <v>432</v>
      </c>
      <c r="K10" s="29">
        <v>0</v>
      </c>
      <c r="L10" s="30">
        <v>1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1">
        <v>1</v>
      </c>
      <c r="S10" s="32">
        <v>3</v>
      </c>
      <c r="T10" s="29"/>
      <c r="U10" s="30"/>
      <c r="V10" s="30"/>
      <c r="W10" s="30"/>
      <c r="X10" s="31"/>
      <c r="Y10" s="29">
        <v>154</v>
      </c>
      <c r="Z10" s="31">
        <v>42</v>
      </c>
      <c r="AA10" s="29">
        <v>96</v>
      </c>
      <c r="AB10" s="31">
        <v>45</v>
      </c>
      <c r="AC10" s="29">
        <v>190</v>
      </c>
      <c r="AD10" s="31">
        <v>34</v>
      </c>
      <c r="AE10" s="29">
        <v>398</v>
      </c>
      <c r="AF10" s="30">
        <v>390</v>
      </c>
      <c r="AG10" s="31">
        <v>35</v>
      </c>
      <c r="AH10" s="33">
        <v>-0.37662337662337664</v>
      </c>
      <c r="AI10" s="33">
        <v>0.23376623376623376</v>
      </c>
      <c r="AJ10" s="33">
        <v>0.97916666666666663</v>
      </c>
      <c r="AK10" s="33">
        <v>7.1428571428571425E-2</v>
      </c>
      <c r="AL10" s="33">
        <v>-0.19047619047619047</v>
      </c>
      <c r="AM10" s="33">
        <v>-0.24444444444444444</v>
      </c>
      <c r="AN10" s="34">
        <v>0.44083526682134572</v>
      </c>
      <c r="AO10" s="33">
        <v>7.8886310904872387E-2</v>
      </c>
      <c r="AP10" s="33">
        <v>0.90487238979118334</v>
      </c>
      <c r="AQ10" s="33">
        <v>8.1206496519721574E-2</v>
      </c>
      <c r="AR10" s="33">
        <v>2.3148148148148147E-3</v>
      </c>
      <c r="AS10" s="136">
        <v>6.9605568445475635E-3</v>
      </c>
      <c r="AT10" s="35">
        <v>6.9605568445475635E-3</v>
      </c>
      <c r="AU10" s="29">
        <v>23</v>
      </c>
      <c r="AV10" s="30">
        <v>10</v>
      </c>
      <c r="AW10" s="31">
        <v>17</v>
      </c>
      <c r="AX10" s="33">
        <v>-0.56521739130434778</v>
      </c>
      <c r="AY10" s="33">
        <v>-0.2608695652173913</v>
      </c>
      <c r="AZ10" s="33">
        <v>0.7</v>
      </c>
      <c r="BA10" s="29"/>
      <c r="BB10" s="31"/>
      <c r="BC10" s="29">
        <v>1</v>
      </c>
      <c r="BD10" s="30">
        <v>2</v>
      </c>
      <c r="BE10" s="29">
        <v>190</v>
      </c>
      <c r="BF10" s="30">
        <v>190</v>
      </c>
      <c r="BG10" s="33">
        <v>1</v>
      </c>
      <c r="BH10" s="30">
        <v>17</v>
      </c>
      <c r="BI10" s="30">
        <v>17</v>
      </c>
      <c r="BJ10" s="35">
        <v>1</v>
      </c>
    </row>
    <row r="11" spans="1:62" x14ac:dyDescent="0.25">
      <c r="A11" s="15"/>
      <c r="B11" s="16"/>
      <c r="C11" s="16" t="s">
        <v>70</v>
      </c>
      <c r="D11" s="16"/>
      <c r="E11" s="17"/>
      <c r="F11" s="18">
        <v>8355</v>
      </c>
      <c r="G11" s="15">
        <v>7039</v>
      </c>
      <c r="H11" s="16">
        <v>0</v>
      </c>
      <c r="I11" s="16">
        <v>0</v>
      </c>
      <c r="J11" s="17">
        <v>7039</v>
      </c>
      <c r="K11" s="15">
        <v>0</v>
      </c>
      <c r="L11" s="16">
        <v>12</v>
      </c>
      <c r="M11" s="16">
        <v>376</v>
      </c>
      <c r="N11" s="16">
        <v>303</v>
      </c>
      <c r="O11" s="16">
        <v>129</v>
      </c>
      <c r="P11" s="16">
        <v>0</v>
      </c>
      <c r="Q11" s="16">
        <v>1</v>
      </c>
      <c r="R11" s="17">
        <v>494</v>
      </c>
      <c r="S11" s="18">
        <v>279</v>
      </c>
      <c r="T11" s="15">
        <v>304</v>
      </c>
      <c r="U11" s="16">
        <v>0</v>
      </c>
      <c r="V11" s="16">
        <v>1</v>
      </c>
      <c r="W11" s="16">
        <v>212</v>
      </c>
      <c r="X11" s="17">
        <v>91</v>
      </c>
      <c r="Y11" s="15">
        <v>8490</v>
      </c>
      <c r="Z11" s="17">
        <v>5537</v>
      </c>
      <c r="AA11" s="15">
        <v>10271</v>
      </c>
      <c r="AB11" s="17">
        <v>5816</v>
      </c>
      <c r="AC11" s="15">
        <v>10581</v>
      </c>
      <c r="AD11" s="17">
        <v>5740</v>
      </c>
      <c r="AE11" s="15">
        <v>2661</v>
      </c>
      <c r="AF11" s="16">
        <v>1232</v>
      </c>
      <c r="AG11" s="17">
        <v>4653</v>
      </c>
      <c r="AH11" s="19">
        <v>0.20977620730270907</v>
      </c>
      <c r="AI11" s="19">
        <v>0.24628975265017669</v>
      </c>
      <c r="AJ11" s="19">
        <v>3.0182066011099212E-2</v>
      </c>
      <c r="AK11" s="19">
        <v>5.0388296911685025E-2</v>
      </c>
      <c r="AL11" s="19">
        <v>3.6662452591656132E-2</v>
      </c>
      <c r="AM11" s="19">
        <v>-1.3067400275103164E-2</v>
      </c>
      <c r="AN11" s="20">
        <v>1.5031964767722688</v>
      </c>
      <c r="AO11" s="19">
        <v>0.81545674101434862</v>
      </c>
      <c r="AP11" s="19">
        <v>0.17502486148600654</v>
      </c>
      <c r="AQ11" s="19">
        <v>0.66103139650518539</v>
      </c>
      <c r="AR11" s="19">
        <v>6.5578122925793181E-2</v>
      </c>
      <c r="AS11" s="133">
        <v>3.9636311976132974E-2</v>
      </c>
      <c r="AT11" s="21">
        <v>-3.5516408580764311E-3</v>
      </c>
      <c r="AU11" s="15">
        <v>243</v>
      </c>
      <c r="AV11" s="16">
        <v>246</v>
      </c>
      <c r="AW11" s="17">
        <v>254</v>
      </c>
      <c r="AX11" s="19">
        <v>1.2345679012345678E-2</v>
      </c>
      <c r="AY11" s="19">
        <v>4.5267489711934158E-2</v>
      </c>
      <c r="AZ11" s="19">
        <v>3.2520325203252036E-2</v>
      </c>
      <c r="BA11" s="15">
        <v>16</v>
      </c>
      <c r="BB11" s="17">
        <v>8.5</v>
      </c>
      <c r="BC11" s="15">
        <v>7</v>
      </c>
      <c r="BD11" s="16">
        <v>4</v>
      </c>
      <c r="BE11" s="15">
        <v>10498</v>
      </c>
      <c r="BF11" s="16">
        <v>10581</v>
      </c>
      <c r="BG11" s="19">
        <v>0.99215575087420849</v>
      </c>
      <c r="BH11" s="16">
        <v>244</v>
      </c>
      <c r="BI11" s="16">
        <v>254</v>
      </c>
      <c r="BJ11" s="21">
        <v>0.96062992125984248</v>
      </c>
    </row>
    <row r="12" spans="1:62" x14ac:dyDescent="0.25">
      <c r="A12" s="29"/>
      <c r="B12" s="30"/>
      <c r="C12" s="30"/>
      <c r="D12" s="30"/>
      <c r="E12" s="31" t="s">
        <v>68</v>
      </c>
      <c r="F12" s="32">
        <v>8349</v>
      </c>
      <c r="G12" s="29">
        <v>7033</v>
      </c>
      <c r="H12" s="30">
        <v>0</v>
      </c>
      <c r="I12" s="30">
        <v>0</v>
      </c>
      <c r="J12" s="31">
        <v>7033</v>
      </c>
      <c r="K12" s="29">
        <v>0</v>
      </c>
      <c r="L12" s="30">
        <v>12</v>
      </c>
      <c r="M12" s="30">
        <v>376</v>
      </c>
      <c r="N12" s="30">
        <v>303</v>
      </c>
      <c r="O12" s="30">
        <v>129</v>
      </c>
      <c r="P12" s="30">
        <v>0</v>
      </c>
      <c r="Q12" s="30">
        <v>1</v>
      </c>
      <c r="R12" s="31">
        <v>494</v>
      </c>
      <c r="S12" s="32">
        <v>277</v>
      </c>
      <c r="T12" s="29">
        <v>304</v>
      </c>
      <c r="U12" s="30">
        <v>0</v>
      </c>
      <c r="V12" s="30">
        <v>1</v>
      </c>
      <c r="W12" s="30">
        <v>212</v>
      </c>
      <c r="X12" s="31">
        <v>91</v>
      </c>
      <c r="Y12" s="29">
        <v>8486</v>
      </c>
      <c r="Z12" s="31">
        <v>5535</v>
      </c>
      <c r="AA12" s="29">
        <v>10262</v>
      </c>
      <c r="AB12" s="31">
        <v>5812</v>
      </c>
      <c r="AC12" s="29">
        <v>10565</v>
      </c>
      <c r="AD12" s="31">
        <v>5735</v>
      </c>
      <c r="AE12" s="29">
        <v>2660</v>
      </c>
      <c r="AF12" s="30">
        <v>1231</v>
      </c>
      <c r="AG12" s="31">
        <v>4650</v>
      </c>
      <c r="AH12" s="33">
        <v>0.20928588263021447</v>
      </c>
      <c r="AI12" s="33">
        <v>0.24499175111949092</v>
      </c>
      <c r="AJ12" s="33">
        <v>2.9526408107581368E-2</v>
      </c>
      <c r="AK12" s="33">
        <v>5.0045167118337848E-2</v>
      </c>
      <c r="AL12" s="33">
        <v>3.6133694670280034E-2</v>
      </c>
      <c r="AM12" s="33">
        <v>-1.3248451479697177E-2</v>
      </c>
      <c r="AN12" s="34">
        <v>1.5022038959192379</v>
      </c>
      <c r="AO12" s="33">
        <v>0.81544149011801503</v>
      </c>
      <c r="AP12" s="33">
        <v>0.17503199203753733</v>
      </c>
      <c r="AQ12" s="33">
        <v>0.66116877577136357</v>
      </c>
      <c r="AR12" s="33">
        <v>6.563039723661486E-2</v>
      </c>
      <c r="AS12" s="136">
        <v>3.9385752879283378E-2</v>
      </c>
      <c r="AT12" s="35">
        <v>-3.8390445044788851E-3</v>
      </c>
      <c r="AU12" s="29">
        <v>243</v>
      </c>
      <c r="AV12" s="30">
        <v>246</v>
      </c>
      <c r="AW12" s="31">
        <v>254</v>
      </c>
      <c r="AX12" s="33">
        <v>1.2345679012345678E-2</v>
      </c>
      <c r="AY12" s="33">
        <v>4.5267489711934158E-2</v>
      </c>
      <c r="AZ12" s="33">
        <v>3.2520325203252036E-2</v>
      </c>
      <c r="BA12" s="29">
        <v>16</v>
      </c>
      <c r="BB12" s="31">
        <v>8.5</v>
      </c>
      <c r="BC12" s="29">
        <v>7</v>
      </c>
      <c r="BD12" s="30">
        <v>4</v>
      </c>
      <c r="BE12" s="29">
        <v>10482</v>
      </c>
      <c r="BF12" s="30">
        <v>10565</v>
      </c>
      <c r="BG12" s="33">
        <v>0.99214387127307146</v>
      </c>
      <c r="BH12" s="30">
        <v>244</v>
      </c>
      <c r="BI12" s="30">
        <v>254</v>
      </c>
      <c r="BJ12" s="35">
        <v>0.96062992125984248</v>
      </c>
    </row>
    <row r="13" spans="1:62" x14ac:dyDescent="0.25">
      <c r="A13" s="15"/>
      <c r="B13" s="16"/>
      <c r="C13" s="16" t="s">
        <v>71</v>
      </c>
      <c r="D13" s="16"/>
      <c r="E13" s="17"/>
      <c r="F13" s="18">
        <v>7365</v>
      </c>
      <c r="G13" s="15">
        <v>6830</v>
      </c>
      <c r="H13" s="16">
        <v>5</v>
      </c>
      <c r="I13" s="16">
        <v>0</v>
      </c>
      <c r="J13" s="17">
        <v>6835</v>
      </c>
      <c r="K13" s="15">
        <v>0</v>
      </c>
      <c r="L13" s="16">
        <v>11</v>
      </c>
      <c r="M13" s="16">
        <v>14</v>
      </c>
      <c r="N13" s="16">
        <v>106</v>
      </c>
      <c r="O13" s="16">
        <v>30</v>
      </c>
      <c r="P13" s="16">
        <v>0</v>
      </c>
      <c r="Q13" s="16">
        <v>2</v>
      </c>
      <c r="R13" s="17">
        <v>355</v>
      </c>
      <c r="S13" s="18">
        <v>313</v>
      </c>
      <c r="T13" s="15">
        <v>227</v>
      </c>
      <c r="U13" s="16">
        <v>0</v>
      </c>
      <c r="V13" s="16">
        <v>2</v>
      </c>
      <c r="W13" s="16">
        <v>8</v>
      </c>
      <c r="X13" s="17">
        <v>217</v>
      </c>
      <c r="Y13" s="15">
        <v>5296</v>
      </c>
      <c r="Z13" s="17">
        <v>4064</v>
      </c>
      <c r="AA13" s="15">
        <v>5534</v>
      </c>
      <c r="AB13" s="17">
        <v>3831</v>
      </c>
      <c r="AC13" s="15">
        <v>6654</v>
      </c>
      <c r="AD13" s="17">
        <v>4091</v>
      </c>
      <c r="AE13" s="15">
        <v>3259</v>
      </c>
      <c r="AF13" s="16">
        <v>1429</v>
      </c>
      <c r="AG13" s="17">
        <v>4572</v>
      </c>
      <c r="AH13" s="19">
        <v>4.4939577039274925E-2</v>
      </c>
      <c r="AI13" s="19">
        <v>0.25641993957703929</v>
      </c>
      <c r="AJ13" s="19">
        <v>0.20238525478857969</v>
      </c>
      <c r="AK13" s="19">
        <v>-5.7332677165354333E-2</v>
      </c>
      <c r="AL13" s="19">
        <v>6.6437007874015751E-3</v>
      </c>
      <c r="AM13" s="19">
        <v>6.7867397546332545E-2</v>
      </c>
      <c r="AN13" s="20">
        <v>0.97423133235724746</v>
      </c>
      <c r="AO13" s="19">
        <v>0.59897510980966329</v>
      </c>
      <c r="AP13" s="19">
        <v>0.20922401171303073</v>
      </c>
      <c r="AQ13" s="19">
        <v>0.66939970717423136</v>
      </c>
      <c r="AR13" s="19">
        <v>4.9408489909533754E-2</v>
      </c>
      <c r="AS13" s="133">
        <v>4.5827232796486088E-2</v>
      </c>
      <c r="AT13" s="21">
        <v>1.2591508052708639E-2</v>
      </c>
      <c r="AU13" s="15">
        <v>214</v>
      </c>
      <c r="AV13" s="16">
        <v>193</v>
      </c>
      <c r="AW13" s="17">
        <v>218</v>
      </c>
      <c r="AX13" s="19">
        <v>-9.8130841121495324E-2</v>
      </c>
      <c r="AY13" s="19">
        <v>1.8691588785046728E-2</v>
      </c>
      <c r="AZ13" s="19">
        <v>0.12953367875647667</v>
      </c>
      <c r="BA13" s="15">
        <v>15.5</v>
      </c>
      <c r="BB13" s="17">
        <v>4</v>
      </c>
      <c r="BC13" s="15">
        <v>5</v>
      </c>
      <c r="BD13" s="16">
        <v>2</v>
      </c>
      <c r="BE13" s="15">
        <v>6653</v>
      </c>
      <c r="BF13" s="16">
        <v>6654</v>
      </c>
      <c r="BG13" s="19">
        <v>0.99984971445746917</v>
      </c>
      <c r="BH13" s="16">
        <v>217</v>
      </c>
      <c r="BI13" s="16">
        <v>218</v>
      </c>
      <c r="BJ13" s="21">
        <v>0.99541284403669728</v>
      </c>
    </row>
    <row r="14" spans="1:62" x14ac:dyDescent="0.25">
      <c r="A14" s="29"/>
      <c r="B14" s="30"/>
      <c r="C14" s="30"/>
      <c r="D14" s="30"/>
      <c r="E14" s="31" t="s">
        <v>68</v>
      </c>
      <c r="F14" s="32">
        <v>7351</v>
      </c>
      <c r="G14" s="29">
        <v>6818</v>
      </c>
      <c r="H14" s="30">
        <v>4</v>
      </c>
      <c r="I14" s="30">
        <v>0</v>
      </c>
      <c r="J14" s="31">
        <v>6822</v>
      </c>
      <c r="K14" s="29">
        <v>0</v>
      </c>
      <c r="L14" s="30">
        <v>11</v>
      </c>
      <c r="M14" s="30">
        <v>14</v>
      </c>
      <c r="N14" s="30">
        <v>106</v>
      </c>
      <c r="O14" s="30">
        <v>30</v>
      </c>
      <c r="P14" s="30">
        <v>0</v>
      </c>
      <c r="Q14" s="30">
        <v>2</v>
      </c>
      <c r="R14" s="31">
        <v>354</v>
      </c>
      <c r="S14" s="32">
        <v>303</v>
      </c>
      <c r="T14" s="29">
        <v>227</v>
      </c>
      <c r="U14" s="30">
        <v>0</v>
      </c>
      <c r="V14" s="30">
        <v>2</v>
      </c>
      <c r="W14" s="30">
        <v>8</v>
      </c>
      <c r="X14" s="31">
        <v>217</v>
      </c>
      <c r="Y14" s="29">
        <v>5289</v>
      </c>
      <c r="Z14" s="31">
        <v>4060</v>
      </c>
      <c r="AA14" s="29">
        <v>5527</v>
      </c>
      <c r="AB14" s="31">
        <v>3829</v>
      </c>
      <c r="AC14" s="29">
        <v>6643</v>
      </c>
      <c r="AD14" s="31">
        <v>4083</v>
      </c>
      <c r="AE14" s="29">
        <v>3254</v>
      </c>
      <c r="AF14" s="30">
        <v>1425</v>
      </c>
      <c r="AG14" s="31">
        <v>4564</v>
      </c>
      <c r="AH14" s="33">
        <v>4.499905464170921E-2</v>
      </c>
      <c r="AI14" s="33">
        <v>0.25600302514653056</v>
      </c>
      <c r="AJ14" s="33">
        <v>0.20191785778903565</v>
      </c>
      <c r="AK14" s="33">
        <v>-5.6896551724137934E-2</v>
      </c>
      <c r="AL14" s="33">
        <v>5.6650246305418716E-3</v>
      </c>
      <c r="AM14" s="33">
        <v>6.6335857926351521E-2</v>
      </c>
      <c r="AN14" s="34">
        <v>0.97433264887063653</v>
      </c>
      <c r="AO14" s="33">
        <v>0.59885596949251985</v>
      </c>
      <c r="AP14" s="33">
        <v>0.20900557348195953</v>
      </c>
      <c r="AQ14" s="33">
        <v>0.66940451745379881</v>
      </c>
      <c r="AR14" s="33">
        <v>4.935861684327942E-2</v>
      </c>
      <c r="AS14" s="136">
        <v>4.444118509826929E-2</v>
      </c>
      <c r="AT14" s="35">
        <v>1.1146963919037842E-2</v>
      </c>
      <c r="AU14" s="29">
        <v>214</v>
      </c>
      <c r="AV14" s="30">
        <v>193</v>
      </c>
      <c r="AW14" s="31">
        <v>218</v>
      </c>
      <c r="AX14" s="33">
        <v>-9.8130841121495324E-2</v>
      </c>
      <c r="AY14" s="33">
        <v>1.8691588785046728E-2</v>
      </c>
      <c r="AZ14" s="33">
        <v>0.12953367875647667</v>
      </c>
      <c r="BA14" s="29">
        <v>15.5</v>
      </c>
      <c r="BB14" s="31">
        <v>4</v>
      </c>
      <c r="BC14" s="29">
        <v>5</v>
      </c>
      <c r="BD14" s="30">
        <v>2</v>
      </c>
      <c r="BE14" s="29">
        <v>6642</v>
      </c>
      <c r="BF14" s="30">
        <v>6643</v>
      </c>
      <c r="BG14" s="33">
        <v>0.99984946560289023</v>
      </c>
      <c r="BH14" s="30">
        <v>217</v>
      </c>
      <c r="BI14" s="30">
        <v>218</v>
      </c>
      <c r="BJ14" s="35">
        <v>0.99541284403669728</v>
      </c>
    </row>
    <row r="15" spans="1:62" x14ac:dyDescent="0.25">
      <c r="A15" s="36"/>
      <c r="B15" s="16"/>
      <c r="C15" s="16" t="s">
        <v>72</v>
      </c>
      <c r="D15" s="16"/>
      <c r="E15" s="17"/>
      <c r="F15" s="18">
        <v>107</v>
      </c>
      <c r="G15" s="15">
        <v>107</v>
      </c>
      <c r="H15" s="16">
        <v>0</v>
      </c>
      <c r="I15" s="16">
        <v>0</v>
      </c>
      <c r="J15" s="17">
        <v>107</v>
      </c>
      <c r="K15" s="15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7">
        <v>0</v>
      </c>
      <c r="S15" s="18">
        <v>5</v>
      </c>
      <c r="T15" s="15"/>
      <c r="U15" s="16"/>
      <c r="V15" s="16"/>
      <c r="W15" s="16"/>
      <c r="X15" s="17"/>
      <c r="Y15" s="15">
        <v>72</v>
      </c>
      <c r="Z15" s="17">
        <v>60</v>
      </c>
      <c r="AA15" s="15">
        <v>2</v>
      </c>
      <c r="AB15" s="17">
        <v>2</v>
      </c>
      <c r="AC15" s="15">
        <v>44</v>
      </c>
      <c r="AD15" s="17">
        <v>38</v>
      </c>
      <c r="AE15" s="15">
        <v>63</v>
      </c>
      <c r="AF15" s="16">
        <v>28</v>
      </c>
      <c r="AG15" s="17">
        <v>33</v>
      </c>
      <c r="AH15" s="19">
        <v>-0.97222222222222221</v>
      </c>
      <c r="AI15" s="19">
        <v>-0.3888888888888889</v>
      </c>
      <c r="AJ15" s="19">
        <v>21</v>
      </c>
      <c r="AK15" s="19">
        <v>-0.96666666666666667</v>
      </c>
      <c r="AL15" s="19">
        <v>-0.36666666666666664</v>
      </c>
      <c r="AM15" s="19">
        <v>18</v>
      </c>
      <c r="AN15" s="20">
        <v>0.41121495327102803</v>
      </c>
      <c r="AO15" s="19">
        <v>0.35514018691588783</v>
      </c>
      <c r="AP15" s="19">
        <v>0.26168224299065418</v>
      </c>
      <c r="AQ15" s="19">
        <v>0.30841121495327101</v>
      </c>
      <c r="AR15" s="19">
        <v>0</v>
      </c>
      <c r="AS15" s="133">
        <v>4.6728971962616821E-2</v>
      </c>
      <c r="AT15" s="21">
        <v>4.6728971962616821E-2</v>
      </c>
      <c r="AU15" s="15">
        <v>39</v>
      </c>
      <c r="AV15" s="16">
        <v>2</v>
      </c>
      <c r="AW15" s="17">
        <v>27</v>
      </c>
      <c r="AX15" s="19">
        <v>-0.94871794871794868</v>
      </c>
      <c r="AY15" s="19">
        <v>-0.30769230769230771</v>
      </c>
      <c r="AZ15" s="19">
        <v>12.5</v>
      </c>
      <c r="BA15" s="15">
        <v>38</v>
      </c>
      <c r="BB15" s="17">
        <v>38</v>
      </c>
      <c r="BC15" s="15">
        <v>11.5</v>
      </c>
      <c r="BD15" s="16">
        <v>11</v>
      </c>
      <c r="BE15" s="15">
        <v>44</v>
      </c>
      <c r="BF15" s="16">
        <v>44</v>
      </c>
      <c r="BG15" s="19">
        <v>1</v>
      </c>
      <c r="BH15" s="16">
        <v>27</v>
      </c>
      <c r="BI15" s="16">
        <v>27</v>
      </c>
      <c r="BJ15" s="21">
        <v>1</v>
      </c>
    </row>
    <row r="16" spans="1:62" x14ac:dyDescent="0.25">
      <c r="A16" s="29"/>
      <c r="B16" s="30"/>
      <c r="C16" s="30"/>
      <c r="D16" s="30"/>
      <c r="E16" s="31" t="s">
        <v>68</v>
      </c>
      <c r="F16" s="32">
        <v>106</v>
      </c>
      <c r="G16" s="29">
        <v>106</v>
      </c>
      <c r="H16" s="30">
        <v>0</v>
      </c>
      <c r="I16" s="30">
        <v>0</v>
      </c>
      <c r="J16" s="31">
        <v>106</v>
      </c>
      <c r="K16" s="29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1">
        <v>0</v>
      </c>
      <c r="S16" s="32">
        <v>5</v>
      </c>
      <c r="T16" s="29"/>
      <c r="U16" s="30"/>
      <c r="V16" s="30"/>
      <c r="W16" s="30"/>
      <c r="X16" s="31"/>
      <c r="Y16" s="29">
        <v>72</v>
      </c>
      <c r="Z16" s="31">
        <v>60</v>
      </c>
      <c r="AA16" s="29">
        <v>2</v>
      </c>
      <c r="AB16" s="31">
        <v>2</v>
      </c>
      <c r="AC16" s="29">
        <v>43</v>
      </c>
      <c r="AD16" s="31">
        <v>37</v>
      </c>
      <c r="AE16" s="29">
        <v>63</v>
      </c>
      <c r="AF16" s="30">
        <v>28</v>
      </c>
      <c r="AG16" s="31">
        <v>32</v>
      </c>
      <c r="AH16" s="33">
        <v>-0.97222222222222221</v>
      </c>
      <c r="AI16" s="33">
        <v>-0.40277777777777779</v>
      </c>
      <c r="AJ16" s="33">
        <v>20.5</v>
      </c>
      <c r="AK16" s="33">
        <v>-0.96666666666666667</v>
      </c>
      <c r="AL16" s="33">
        <v>-0.38333333333333336</v>
      </c>
      <c r="AM16" s="33">
        <v>17.5</v>
      </c>
      <c r="AN16" s="34">
        <v>0.40566037735849059</v>
      </c>
      <c r="AO16" s="33">
        <v>0.34905660377358488</v>
      </c>
      <c r="AP16" s="33">
        <v>0.26415094339622641</v>
      </c>
      <c r="AQ16" s="33">
        <v>0.30188679245283018</v>
      </c>
      <c r="AR16" s="33">
        <v>0</v>
      </c>
      <c r="AS16" s="136">
        <v>4.716981132075472E-2</v>
      </c>
      <c r="AT16" s="35">
        <v>4.716981132075472E-2</v>
      </c>
      <c r="AU16" s="29">
        <v>39</v>
      </c>
      <c r="AV16" s="30">
        <v>2</v>
      </c>
      <c r="AW16" s="31">
        <v>27</v>
      </c>
      <c r="AX16" s="33">
        <v>-0.94871794871794868</v>
      </c>
      <c r="AY16" s="33">
        <v>-0.30769230769230771</v>
      </c>
      <c r="AZ16" s="33">
        <v>12.5</v>
      </c>
      <c r="BA16" s="29">
        <v>38</v>
      </c>
      <c r="BB16" s="31">
        <v>38</v>
      </c>
      <c r="BC16" s="29">
        <v>11</v>
      </c>
      <c r="BD16" s="30">
        <v>11</v>
      </c>
      <c r="BE16" s="29">
        <v>43</v>
      </c>
      <c r="BF16" s="30">
        <v>43</v>
      </c>
      <c r="BG16" s="33">
        <v>1</v>
      </c>
      <c r="BH16" s="30">
        <v>27</v>
      </c>
      <c r="BI16" s="30">
        <v>27</v>
      </c>
      <c r="BJ16" s="35">
        <v>1</v>
      </c>
    </row>
    <row r="17" spans="1:62" x14ac:dyDescent="0.25">
      <c r="A17" s="15"/>
      <c r="B17" s="16"/>
      <c r="C17" s="16" t="s">
        <v>73</v>
      </c>
      <c r="D17" s="16"/>
      <c r="E17" s="17"/>
      <c r="F17" s="18">
        <v>2200</v>
      </c>
      <c r="G17" s="15">
        <v>2093</v>
      </c>
      <c r="H17" s="16">
        <v>0</v>
      </c>
      <c r="I17" s="16">
        <v>0</v>
      </c>
      <c r="J17" s="17">
        <v>2093</v>
      </c>
      <c r="K17" s="15">
        <v>0</v>
      </c>
      <c r="L17" s="16">
        <v>2</v>
      </c>
      <c r="M17" s="16">
        <v>1</v>
      </c>
      <c r="N17" s="16">
        <v>27</v>
      </c>
      <c r="O17" s="16">
        <v>4</v>
      </c>
      <c r="P17" s="16">
        <v>0</v>
      </c>
      <c r="Q17" s="16">
        <v>0</v>
      </c>
      <c r="R17" s="17">
        <v>73</v>
      </c>
      <c r="S17" s="18">
        <v>42</v>
      </c>
      <c r="T17" s="15">
        <v>9</v>
      </c>
      <c r="U17" s="16">
        <v>0</v>
      </c>
      <c r="V17" s="16">
        <v>0</v>
      </c>
      <c r="W17" s="16">
        <v>0</v>
      </c>
      <c r="X17" s="17">
        <v>9</v>
      </c>
      <c r="Y17" s="15">
        <v>1787</v>
      </c>
      <c r="Z17" s="17">
        <v>1430</v>
      </c>
      <c r="AA17" s="15">
        <v>1626</v>
      </c>
      <c r="AB17" s="17">
        <v>1125</v>
      </c>
      <c r="AC17" s="15">
        <v>1692</v>
      </c>
      <c r="AD17" s="17">
        <v>1156</v>
      </c>
      <c r="AE17" s="15">
        <v>1041</v>
      </c>
      <c r="AF17" s="16">
        <v>546</v>
      </c>
      <c r="AG17" s="17">
        <v>1314</v>
      </c>
      <c r="AH17" s="19">
        <v>-9.0095131505316173E-2</v>
      </c>
      <c r="AI17" s="19">
        <v>-5.3161723559037491E-2</v>
      </c>
      <c r="AJ17" s="19">
        <v>4.0590405904059039E-2</v>
      </c>
      <c r="AK17" s="19">
        <v>-0.21328671328671328</v>
      </c>
      <c r="AL17" s="19">
        <v>-0.1916083916083916</v>
      </c>
      <c r="AM17" s="19">
        <v>2.7555555555555555E-2</v>
      </c>
      <c r="AN17" s="20">
        <v>0.80840898232202585</v>
      </c>
      <c r="AO17" s="19">
        <v>0.55231724796942183</v>
      </c>
      <c r="AP17" s="19">
        <v>0.2608695652173913</v>
      </c>
      <c r="AQ17" s="19">
        <v>0.62780697563306254</v>
      </c>
      <c r="AR17" s="19">
        <v>3.3702677746999074E-2</v>
      </c>
      <c r="AS17" s="133">
        <v>2.0066889632107024E-2</v>
      </c>
      <c r="AT17" s="21">
        <v>1.5766841853798376E-2</v>
      </c>
      <c r="AU17" s="15">
        <v>113</v>
      </c>
      <c r="AV17" s="16">
        <v>119</v>
      </c>
      <c r="AW17" s="17">
        <v>133</v>
      </c>
      <c r="AX17" s="19">
        <v>5.3097345132743362E-2</v>
      </c>
      <c r="AY17" s="19">
        <v>0.17699115044247787</v>
      </c>
      <c r="AZ17" s="19">
        <v>0.11764705882352941</v>
      </c>
      <c r="BA17" s="15">
        <v>12</v>
      </c>
      <c r="BB17" s="17">
        <v>12</v>
      </c>
      <c r="BC17" s="15">
        <v>7</v>
      </c>
      <c r="BD17" s="16">
        <v>2</v>
      </c>
      <c r="BE17" s="15">
        <v>1692</v>
      </c>
      <c r="BF17" s="16">
        <v>1692</v>
      </c>
      <c r="BG17" s="19">
        <v>1</v>
      </c>
      <c r="BH17" s="16">
        <v>133</v>
      </c>
      <c r="BI17" s="16">
        <v>133</v>
      </c>
      <c r="BJ17" s="21">
        <v>1</v>
      </c>
    </row>
    <row r="18" spans="1:62" x14ac:dyDescent="0.25">
      <c r="A18" s="29"/>
      <c r="B18" s="30"/>
      <c r="C18" s="30"/>
      <c r="D18" s="30"/>
      <c r="E18" s="31" t="s">
        <v>68</v>
      </c>
      <c r="F18" s="32">
        <v>2185</v>
      </c>
      <c r="G18" s="29">
        <v>2078</v>
      </c>
      <c r="H18" s="30">
        <v>0</v>
      </c>
      <c r="I18" s="30">
        <v>0</v>
      </c>
      <c r="J18" s="31">
        <v>2078</v>
      </c>
      <c r="K18" s="29">
        <v>0</v>
      </c>
      <c r="L18" s="30">
        <v>2</v>
      </c>
      <c r="M18" s="30">
        <v>1</v>
      </c>
      <c r="N18" s="30">
        <v>27</v>
      </c>
      <c r="O18" s="30">
        <v>4</v>
      </c>
      <c r="P18" s="30">
        <v>0</v>
      </c>
      <c r="Q18" s="30">
        <v>0</v>
      </c>
      <c r="R18" s="31">
        <v>73</v>
      </c>
      <c r="S18" s="32">
        <v>35</v>
      </c>
      <c r="T18" s="29">
        <v>9</v>
      </c>
      <c r="U18" s="30">
        <v>0</v>
      </c>
      <c r="V18" s="30">
        <v>0</v>
      </c>
      <c r="W18" s="30">
        <v>0</v>
      </c>
      <c r="X18" s="31">
        <v>9</v>
      </c>
      <c r="Y18" s="29">
        <v>1783</v>
      </c>
      <c r="Z18" s="31">
        <v>1426</v>
      </c>
      <c r="AA18" s="29">
        <v>1622</v>
      </c>
      <c r="AB18" s="31">
        <v>1121</v>
      </c>
      <c r="AC18" s="29">
        <v>1683</v>
      </c>
      <c r="AD18" s="31">
        <v>1148</v>
      </c>
      <c r="AE18" s="29">
        <v>1034</v>
      </c>
      <c r="AF18" s="30">
        <v>541</v>
      </c>
      <c r="AG18" s="31">
        <v>1304</v>
      </c>
      <c r="AH18" s="33">
        <v>-9.0297251822770611E-2</v>
      </c>
      <c r="AI18" s="33">
        <v>-5.6085249579360626E-2</v>
      </c>
      <c r="AJ18" s="33">
        <v>3.76078914919852E-2</v>
      </c>
      <c r="AK18" s="33">
        <v>-0.21388499298737729</v>
      </c>
      <c r="AL18" s="33">
        <v>-0.19495091164095371</v>
      </c>
      <c r="AM18" s="33">
        <v>2.4085637823371989E-2</v>
      </c>
      <c r="AN18" s="34">
        <v>0.80991337824831566</v>
      </c>
      <c r="AO18" s="33">
        <v>0.55245428296438881</v>
      </c>
      <c r="AP18" s="33">
        <v>0.26034648700673724</v>
      </c>
      <c r="AQ18" s="33">
        <v>0.62752646775745913</v>
      </c>
      <c r="AR18" s="33">
        <v>3.3937703393770342E-2</v>
      </c>
      <c r="AS18" s="136">
        <v>1.6843118383060636E-2</v>
      </c>
      <c r="AT18" s="35">
        <v>1.2512030798845043E-2</v>
      </c>
      <c r="AU18" s="29">
        <v>113</v>
      </c>
      <c r="AV18" s="30">
        <v>119</v>
      </c>
      <c r="AW18" s="31">
        <v>133</v>
      </c>
      <c r="AX18" s="33">
        <v>5.3097345132743362E-2</v>
      </c>
      <c r="AY18" s="33">
        <v>0.17699115044247787</v>
      </c>
      <c r="AZ18" s="33">
        <v>0.11764705882352941</v>
      </c>
      <c r="BA18" s="29">
        <v>12</v>
      </c>
      <c r="BB18" s="31">
        <v>12</v>
      </c>
      <c r="BC18" s="29">
        <v>7</v>
      </c>
      <c r="BD18" s="30">
        <v>2</v>
      </c>
      <c r="BE18" s="29">
        <v>1683</v>
      </c>
      <c r="BF18" s="30">
        <v>1683</v>
      </c>
      <c r="BG18" s="33">
        <v>1</v>
      </c>
      <c r="BH18" s="30">
        <v>133</v>
      </c>
      <c r="BI18" s="30">
        <v>133</v>
      </c>
      <c r="BJ18" s="35">
        <v>1</v>
      </c>
    </row>
    <row r="19" spans="1:62" x14ac:dyDescent="0.25">
      <c r="A19" s="15"/>
      <c r="B19" s="16"/>
      <c r="C19" s="16" t="s">
        <v>74</v>
      </c>
      <c r="D19" s="16"/>
      <c r="E19" s="17"/>
      <c r="F19" s="18">
        <v>176</v>
      </c>
      <c r="G19" s="15">
        <v>165</v>
      </c>
      <c r="H19" s="16">
        <v>0</v>
      </c>
      <c r="I19" s="16">
        <v>0</v>
      </c>
      <c r="J19" s="17">
        <v>165</v>
      </c>
      <c r="K19" s="15">
        <v>0</v>
      </c>
      <c r="L19" s="16">
        <v>0</v>
      </c>
      <c r="M19" s="16">
        <v>0</v>
      </c>
      <c r="N19" s="16">
        <v>3</v>
      </c>
      <c r="O19" s="16">
        <v>0</v>
      </c>
      <c r="P19" s="16">
        <v>0</v>
      </c>
      <c r="Q19" s="16">
        <v>0</v>
      </c>
      <c r="R19" s="17">
        <v>8</v>
      </c>
      <c r="S19" s="18">
        <v>32</v>
      </c>
      <c r="T19" s="15">
        <v>3</v>
      </c>
      <c r="U19" s="16">
        <v>0</v>
      </c>
      <c r="V19" s="16">
        <v>0</v>
      </c>
      <c r="W19" s="16">
        <v>0</v>
      </c>
      <c r="X19" s="17">
        <v>3</v>
      </c>
      <c r="Y19" s="15">
        <v>165</v>
      </c>
      <c r="Z19" s="17">
        <v>103</v>
      </c>
      <c r="AA19" s="15">
        <v>202</v>
      </c>
      <c r="AB19" s="17">
        <v>93</v>
      </c>
      <c r="AC19" s="15">
        <v>297</v>
      </c>
      <c r="AD19" s="17">
        <v>138</v>
      </c>
      <c r="AE19" s="15">
        <v>39</v>
      </c>
      <c r="AF19" s="16">
        <v>21</v>
      </c>
      <c r="AG19" s="17">
        <v>103</v>
      </c>
      <c r="AH19" s="19">
        <v>0.22424242424242424</v>
      </c>
      <c r="AI19" s="19">
        <v>0.8</v>
      </c>
      <c r="AJ19" s="19">
        <v>0.47029702970297027</v>
      </c>
      <c r="AK19" s="19">
        <v>-9.7087378640776698E-2</v>
      </c>
      <c r="AL19" s="19">
        <v>0.33980582524271846</v>
      </c>
      <c r="AM19" s="19">
        <v>0.4838709677419355</v>
      </c>
      <c r="AN19" s="20">
        <v>1.8</v>
      </c>
      <c r="AO19" s="19">
        <v>0.83636363636363631</v>
      </c>
      <c r="AP19" s="19">
        <v>0.12727272727272726</v>
      </c>
      <c r="AQ19" s="19">
        <v>0.62424242424242427</v>
      </c>
      <c r="AR19" s="19">
        <v>4.6242774566473986E-2</v>
      </c>
      <c r="AS19" s="133">
        <v>0.19393939393939394</v>
      </c>
      <c r="AT19" s="21">
        <v>0.17575757575757575</v>
      </c>
      <c r="AU19" s="15">
        <v>72</v>
      </c>
      <c r="AV19" s="16">
        <v>85</v>
      </c>
      <c r="AW19" s="17">
        <v>113</v>
      </c>
      <c r="AX19" s="19">
        <v>0.18055555555555555</v>
      </c>
      <c r="AY19" s="19">
        <v>0.56944444444444442</v>
      </c>
      <c r="AZ19" s="19">
        <v>0.32941176470588235</v>
      </c>
      <c r="BA19" s="15">
        <v>38</v>
      </c>
      <c r="BB19" s="17">
        <v>38</v>
      </c>
      <c r="BC19" s="15">
        <v>5</v>
      </c>
      <c r="BD19" s="16">
        <v>5</v>
      </c>
      <c r="BE19" s="15">
        <v>297</v>
      </c>
      <c r="BF19" s="16">
        <v>297</v>
      </c>
      <c r="BG19" s="19">
        <v>1</v>
      </c>
      <c r="BH19" s="16">
        <v>113</v>
      </c>
      <c r="BI19" s="16">
        <v>113</v>
      </c>
      <c r="BJ19" s="21">
        <v>1</v>
      </c>
    </row>
    <row r="20" spans="1:62" x14ac:dyDescent="0.25">
      <c r="A20" s="29"/>
      <c r="B20" s="30"/>
      <c r="C20" s="30"/>
      <c r="D20" s="30"/>
      <c r="E20" s="31" t="s">
        <v>68</v>
      </c>
      <c r="F20" s="32">
        <v>176</v>
      </c>
      <c r="G20" s="29">
        <v>165</v>
      </c>
      <c r="H20" s="30">
        <v>0</v>
      </c>
      <c r="I20" s="30">
        <v>0</v>
      </c>
      <c r="J20" s="31">
        <v>165</v>
      </c>
      <c r="K20" s="29">
        <v>0</v>
      </c>
      <c r="L20" s="30">
        <v>0</v>
      </c>
      <c r="M20" s="30">
        <v>0</v>
      </c>
      <c r="N20" s="30">
        <v>3</v>
      </c>
      <c r="O20" s="30">
        <v>0</v>
      </c>
      <c r="P20" s="30">
        <v>0</v>
      </c>
      <c r="Q20" s="30">
        <v>0</v>
      </c>
      <c r="R20" s="31">
        <v>8</v>
      </c>
      <c r="S20" s="32">
        <v>32</v>
      </c>
      <c r="T20" s="29">
        <v>3</v>
      </c>
      <c r="U20" s="30">
        <v>0</v>
      </c>
      <c r="V20" s="30">
        <v>0</v>
      </c>
      <c r="W20" s="30">
        <v>0</v>
      </c>
      <c r="X20" s="31">
        <v>3</v>
      </c>
      <c r="Y20" s="29">
        <v>165</v>
      </c>
      <c r="Z20" s="31">
        <v>103</v>
      </c>
      <c r="AA20" s="29">
        <v>202</v>
      </c>
      <c r="AB20" s="31">
        <v>93</v>
      </c>
      <c r="AC20" s="29">
        <v>297</v>
      </c>
      <c r="AD20" s="31">
        <v>138</v>
      </c>
      <c r="AE20" s="29">
        <v>39</v>
      </c>
      <c r="AF20" s="30">
        <v>21</v>
      </c>
      <c r="AG20" s="31">
        <v>103</v>
      </c>
      <c r="AH20" s="33">
        <v>0.22424242424242424</v>
      </c>
      <c r="AI20" s="33">
        <v>0.8</v>
      </c>
      <c r="AJ20" s="33">
        <v>0.47029702970297027</v>
      </c>
      <c r="AK20" s="33">
        <v>-9.7087378640776698E-2</v>
      </c>
      <c r="AL20" s="33">
        <v>0.33980582524271846</v>
      </c>
      <c r="AM20" s="33">
        <v>0.4838709677419355</v>
      </c>
      <c r="AN20" s="34">
        <v>1.8</v>
      </c>
      <c r="AO20" s="33">
        <v>0.83636363636363631</v>
      </c>
      <c r="AP20" s="33">
        <v>0.12727272727272726</v>
      </c>
      <c r="AQ20" s="33">
        <v>0.62424242424242427</v>
      </c>
      <c r="AR20" s="33">
        <v>4.6242774566473986E-2</v>
      </c>
      <c r="AS20" s="136">
        <v>0.19393939393939394</v>
      </c>
      <c r="AT20" s="35">
        <v>0.17575757575757575</v>
      </c>
      <c r="AU20" s="29">
        <v>72</v>
      </c>
      <c r="AV20" s="30">
        <v>85</v>
      </c>
      <c r="AW20" s="31">
        <v>113</v>
      </c>
      <c r="AX20" s="33">
        <v>0.18055555555555555</v>
      </c>
      <c r="AY20" s="33">
        <v>0.56944444444444442</v>
      </c>
      <c r="AZ20" s="33">
        <v>0.32941176470588235</v>
      </c>
      <c r="BA20" s="29">
        <v>38</v>
      </c>
      <c r="BB20" s="31">
        <v>38</v>
      </c>
      <c r="BC20" s="29">
        <v>5</v>
      </c>
      <c r="BD20" s="30">
        <v>5</v>
      </c>
      <c r="BE20" s="29">
        <v>297</v>
      </c>
      <c r="BF20" s="30">
        <v>297</v>
      </c>
      <c r="BG20" s="33">
        <v>1</v>
      </c>
      <c r="BH20" s="30">
        <v>113</v>
      </c>
      <c r="BI20" s="30">
        <v>113</v>
      </c>
      <c r="BJ20" s="35">
        <v>1</v>
      </c>
    </row>
    <row r="21" spans="1:62" x14ac:dyDescent="0.25">
      <c r="A21" s="15"/>
      <c r="B21" s="16"/>
      <c r="C21" s="16" t="s">
        <v>75</v>
      </c>
      <c r="D21" s="16"/>
      <c r="E21" s="17"/>
      <c r="F21" s="18">
        <v>68</v>
      </c>
      <c r="G21" s="15">
        <v>60</v>
      </c>
      <c r="H21" s="16">
        <v>0</v>
      </c>
      <c r="I21" s="16">
        <v>0</v>
      </c>
      <c r="J21" s="17">
        <v>60</v>
      </c>
      <c r="K21" s="15">
        <v>0</v>
      </c>
      <c r="L21" s="16">
        <v>0</v>
      </c>
      <c r="M21" s="16">
        <v>0</v>
      </c>
      <c r="N21" s="16">
        <v>1</v>
      </c>
      <c r="O21" s="16">
        <v>2</v>
      </c>
      <c r="P21" s="16">
        <v>0</v>
      </c>
      <c r="Q21" s="16">
        <v>0</v>
      </c>
      <c r="R21" s="17">
        <v>5</v>
      </c>
      <c r="S21" s="18">
        <v>44</v>
      </c>
      <c r="T21" s="15"/>
      <c r="U21" s="16"/>
      <c r="V21" s="16"/>
      <c r="W21" s="16"/>
      <c r="X21" s="17"/>
      <c r="Y21" s="15">
        <v>364</v>
      </c>
      <c r="Z21" s="17">
        <v>333</v>
      </c>
      <c r="AA21" s="15">
        <v>0</v>
      </c>
      <c r="AB21" s="17">
        <v>0</v>
      </c>
      <c r="AC21" s="15">
        <v>125</v>
      </c>
      <c r="AD21" s="17">
        <v>67</v>
      </c>
      <c r="AE21" s="15">
        <v>1</v>
      </c>
      <c r="AF21" s="16">
        <v>1</v>
      </c>
      <c r="AG21" s="17">
        <v>56</v>
      </c>
      <c r="AH21" s="19">
        <v>-1</v>
      </c>
      <c r="AI21" s="19">
        <v>-0.65659340659340659</v>
      </c>
      <c r="AJ21" s="19"/>
      <c r="AK21" s="19">
        <v>-1</v>
      </c>
      <c r="AL21" s="19">
        <v>-0.79879879879879878</v>
      </c>
      <c r="AM21" s="19"/>
      <c r="AN21" s="20">
        <v>2.0833333333333335</v>
      </c>
      <c r="AO21" s="19">
        <v>1.1166666666666667</v>
      </c>
      <c r="AP21" s="19">
        <v>1.6666666666666666E-2</v>
      </c>
      <c r="AQ21" s="19">
        <v>0.93333333333333335</v>
      </c>
      <c r="AR21" s="19">
        <v>7.6923076923076927E-2</v>
      </c>
      <c r="AS21" s="133">
        <v>0.73333333333333328</v>
      </c>
      <c r="AT21" s="21">
        <v>0.73333333333333328</v>
      </c>
      <c r="AU21" s="15">
        <v>56</v>
      </c>
      <c r="AV21" s="16">
        <v>0</v>
      </c>
      <c r="AW21" s="17">
        <v>34</v>
      </c>
      <c r="AX21" s="19">
        <v>-1</v>
      </c>
      <c r="AY21" s="19">
        <v>-0.39285714285714285</v>
      </c>
      <c r="AZ21" s="19"/>
      <c r="BA21" s="15"/>
      <c r="BB21" s="17"/>
      <c r="BC21" s="15">
        <v>13</v>
      </c>
      <c r="BD21" s="16">
        <v>12</v>
      </c>
      <c r="BE21" s="15">
        <v>125</v>
      </c>
      <c r="BF21" s="16">
        <v>125</v>
      </c>
      <c r="BG21" s="19">
        <v>1</v>
      </c>
      <c r="BH21" s="16">
        <v>34</v>
      </c>
      <c r="BI21" s="16">
        <v>34</v>
      </c>
      <c r="BJ21" s="21">
        <v>1</v>
      </c>
    </row>
    <row r="22" spans="1:62" x14ac:dyDescent="0.25">
      <c r="A22" s="29"/>
      <c r="B22" s="30"/>
      <c r="C22" s="30"/>
      <c r="D22" s="30"/>
      <c r="E22" s="31" t="s">
        <v>68</v>
      </c>
      <c r="F22" s="32">
        <v>68</v>
      </c>
      <c r="G22" s="29">
        <v>60</v>
      </c>
      <c r="H22" s="30">
        <v>0</v>
      </c>
      <c r="I22" s="30">
        <v>0</v>
      </c>
      <c r="J22" s="31">
        <v>60</v>
      </c>
      <c r="K22" s="29">
        <v>0</v>
      </c>
      <c r="L22" s="30">
        <v>0</v>
      </c>
      <c r="M22" s="30">
        <v>0</v>
      </c>
      <c r="N22" s="30">
        <v>1</v>
      </c>
      <c r="O22" s="30">
        <v>2</v>
      </c>
      <c r="P22" s="30">
        <v>0</v>
      </c>
      <c r="Q22" s="30">
        <v>0</v>
      </c>
      <c r="R22" s="31">
        <v>5</v>
      </c>
      <c r="S22" s="32">
        <v>44</v>
      </c>
      <c r="T22" s="29"/>
      <c r="U22" s="30"/>
      <c r="V22" s="30"/>
      <c r="W22" s="30"/>
      <c r="X22" s="31"/>
      <c r="Y22" s="29">
        <v>364</v>
      </c>
      <c r="Z22" s="31">
        <v>333</v>
      </c>
      <c r="AA22" s="29">
        <v>0</v>
      </c>
      <c r="AB22" s="31">
        <v>0</v>
      </c>
      <c r="AC22" s="29">
        <v>125</v>
      </c>
      <c r="AD22" s="31">
        <v>67</v>
      </c>
      <c r="AE22" s="29">
        <v>1</v>
      </c>
      <c r="AF22" s="30">
        <v>1</v>
      </c>
      <c r="AG22" s="31">
        <v>56</v>
      </c>
      <c r="AH22" s="33">
        <v>-1</v>
      </c>
      <c r="AI22" s="33">
        <v>-0.65659340659340659</v>
      </c>
      <c r="AJ22" s="33"/>
      <c r="AK22" s="33">
        <v>-1</v>
      </c>
      <c r="AL22" s="33">
        <v>-0.79879879879879878</v>
      </c>
      <c r="AM22" s="33"/>
      <c r="AN22" s="34">
        <v>2.0833333333333335</v>
      </c>
      <c r="AO22" s="33">
        <v>1.1166666666666667</v>
      </c>
      <c r="AP22" s="33">
        <v>1.6666666666666666E-2</v>
      </c>
      <c r="AQ22" s="33">
        <v>0.93333333333333335</v>
      </c>
      <c r="AR22" s="33">
        <v>7.6923076923076927E-2</v>
      </c>
      <c r="AS22" s="136">
        <v>0.73333333333333328</v>
      </c>
      <c r="AT22" s="35">
        <v>0.73333333333333328</v>
      </c>
      <c r="AU22" s="29">
        <v>56</v>
      </c>
      <c r="AV22" s="30">
        <v>0</v>
      </c>
      <c r="AW22" s="31">
        <v>34</v>
      </c>
      <c r="AX22" s="33">
        <v>-1</v>
      </c>
      <c r="AY22" s="33">
        <v>-0.39285714285714285</v>
      </c>
      <c r="AZ22" s="33"/>
      <c r="BA22" s="29"/>
      <c r="BB22" s="31"/>
      <c r="BC22" s="29">
        <v>13</v>
      </c>
      <c r="BD22" s="30">
        <v>12</v>
      </c>
      <c r="BE22" s="29">
        <v>125</v>
      </c>
      <c r="BF22" s="30">
        <v>125</v>
      </c>
      <c r="BG22" s="33">
        <v>1</v>
      </c>
      <c r="BH22" s="30">
        <v>34</v>
      </c>
      <c r="BI22" s="30">
        <v>34</v>
      </c>
      <c r="BJ22" s="35">
        <v>1</v>
      </c>
    </row>
    <row r="23" spans="1:62" x14ac:dyDescent="0.25">
      <c r="A23" s="15"/>
      <c r="B23" s="16"/>
      <c r="C23" s="16" t="s">
        <v>76</v>
      </c>
      <c r="D23" s="16"/>
      <c r="E23" s="17"/>
      <c r="F23" s="18">
        <v>273</v>
      </c>
      <c r="G23" s="15">
        <v>266</v>
      </c>
      <c r="H23" s="16">
        <v>0</v>
      </c>
      <c r="I23" s="16">
        <v>0</v>
      </c>
      <c r="J23" s="17">
        <v>266</v>
      </c>
      <c r="K23" s="15">
        <v>0</v>
      </c>
      <c r="L23" s="16">
        <v>1</v>
      </c>
      <c r="M23" s="16">
        <v>3</v>
      </c>
      <c r="N23" s="16">
        <v>2</v>
      </c>
      <c r="O23" s="16">
        <v>0</v>
      </c>
      <c r="P23" s="16">
        <v>0</v>
      </c>
      <c r="Q23" s="16">
        <v>0</v>
      </c>
      <c r="R23" s="17">
        <v>1</v>
      </c>
      <c r="S23" s="18">
        <v>46</v>
      </c>
      <c r="T23" s="15"/>
      <c r="U23" s="16"/>
      <c r="V23" s="16"/>
      <c r="W23" s="16"/>
      <c r="X23" s="17"/>
      <c r="Y23" s="15">
        <v>101</v>
      </c>
      <c r="Z23" s="17">
        <v>73</v>
      </c>
      <c r="AA23" s="15">
        <v>0</v>
      </c>
      <c r="AB23" s="17">
        <v>0</v>
      </c>
      <c r="AC23" s="15">
        <v>147</v>
      </c>
      <c r="AD23" s="17">
        <v>128</v>
      </c>
      <c r="AE23" s="15">
        <v>135</v>
      </c>
      <c r="AF23" s="16">
        <v>97</v>
      </c>
      <c r="AG23" s="17">
        <v>107</v>
      </c>
      <c r="AH23" s="19">
        <v>-1</v>
      </c>
      <c r="AI23" s="19">
        <v>0.45544554455445546</v>
      </c>
      <c r="AJ23" s="19"/>
      <c r="AK23" s="19">
        <v>-1</v>
      </c>
      <c r="AL23" s="19">
        <v>0.75342465753424659</v>
      </c>
      <c r="AM23" s="19"/>
      <c r="AN23" s="20">
        <v>0.55263157894736847</v>
      </c>
      <c r="AO23" s="19">
        <v>0.48120300751879697</v>
      </c>
      <c r="AP23" s="19">
        <v>0.36466165413533835</v>
      </c>
      <c r="AQ23" s="19">
        <v>0.40225563909774437</v>
      </c>
      <c r="AR23" s="19">
        <v>3.7453183520599251E-3</v>
      </c>
      <c r="AS23" s="133">
        <v>0.17293233082706766</v>
      </c>
      <c r="AT23" s="21">
        <v>0.17293233082706766</v>
      </c>
      <c r="AU23" s="15">
        <v>38</v>
      </c>
      <c r="AV23" s="16">
        <v>0</v>
      </c>
      <c r="AW23" s="17">
        <v>58</v>
      </c>
      <c r="AX23" s="19">
        <v>-1</v>
      </c>
      <c r="AY23" s="19">
        <v>0.52631578947368418</v>
      </c>
      <c r="AZ23" s="19"/>
      <c r="BA23" s="15"/>
      <c r="BB23" s="17"/>
      <c r="BC23" s="15">
        <v>10</v>
      </c>
      <c r="BD23" s="16">
        <v>9.5</v>
      </c>
      <c r="BE23" s="15">
        <v>147</v>
      </c>
      <c r="BF23" s="16">
        <v>147</v>
      </c>
      <c r="BG23" s="19">
        <v>1</v>
      </c>
      <c r="BH23" s="16">
        <v>58</v>
      </c>
      <c r="BI23" s="16">
        <v>58</v>
      </c>
      <c r="BJ23" s="21">
        <v>1</v>
      </c>
    </row>
    <row r="24" spans="1:62" x14ac:dyDescent="0.25">
      <c r="A24" s="29"/>
      <c r="B24" s="30"/>
      <c r="C24" s="30"/>
      <c r="D24" s="30"/>
      <c r="E24" s="31" t="s">
        <v>68</v>
      </c>
      <c r="F24" s="32">
        <v>273</v>
      </c>
      <c r="G24" s="29">
        <v>266</v>
      </c>
      <c r="H24" s="30">
        <v>0</v>
      </c>
      <c r="I24" s="30">
        <v>0</v>
      </c>
      <c r="J24" s="31">
        <v>266</v>
      </c>
      <c r="K24" s="29">
        <v>0</v>
      </c>
      <c r="L24" s="30">
        <v>1</v>
      </c>
      <c r="M24" s="30">
        <v>3</v>
      </c>
      <c r="N24" s="30">
        <v>2</v>
      </c>
      <c r="O24" s="30">
        <v>0</v>
      </c>
      <c r="P24" s="30">
        <v>0</v>
      </c>
      <c r="Q24" s="30">
        <v>0</v>
      </c>
      <c r="R24" s="31">
        <v>1</v>
      </c>
      <c r="S24" s="32">
        <v>46</v>
      </c>
      <c r="T24" s="29"/>
      <c r="U24" s="30"/>
      <c r="V24" s="30"/>
      <c r="W24" s="30"/>
      <c r="X24" s="31"/>
      <c r="Y24" s="29">
        <v>101</v>
      </c>
      <c r="Z24" s="31">
        <v>73</v>
      </c>
      <c r="AA24" s="29">
        <v>0</v>
      </c>
      <c r="AB24" s="31">
        <v>0</v>
      </c>
      <c r="AC24" s="29">
        <v>147</v>
      </c>
      <c r="AD24" s="31">
        <v>128</v>
      </c>
      <c r="AE24" s="29">
        <v>135</v>
      </c>
      <c r="AF24" s="30">
        <v>97</v>
      </c>
      <c r="AG24" s="31">
        <v>107</v>
      </c>
      <c r="AH24" s="33">
        <v>-1</v>
      </c>
      <c r="AI24" s="33">
        <v>0.45544554455445546</v>
      </c>
      <c r="AJ24" s="33"/>
      <c r="AK24" s="33">
        <v>-1</v>
      </c>
      <c r="AL24" s="33">
        <v>0.75342465753424659</v>
      </c>
      <c r="AM24" s="33"/>
      <c r="AN24" s="34">
        <v>0.55263157894736847</v>
      </c>
      <c r="AO24" s="33">
        <v>0.48120300751879697</v>
      </c>
      <c r="AP24" s="33">
        <v>0.36466165413533835</v>
      </c>
      <c r="AQ24" s="33">
        <v>0.40225563909774437</v>
      </c>
      <c r="AR24" s="33">
        <v>3.7453183520599251E-3</v>
      </c>
      <c r="AS24" s="136">
        <v>0.17293233082706766</v>
      </c>
      <c r="AT24" s="35">
        <v>0.17293233082706766</v>
      </c>
      <c r="AU24" s="29">
        <v>38</v>
      </c>
      <c r="AV24" s="30">
        <v>0</v>
      </c>
      <c r="AW24" s="31">
        <v>58</v>
      </c>
      <c r="AX24" s="33">
        <v>-1</v>
      </c>
      <c r="AY24" s="33">
        <v>0.52631578947368418</v>
      </c>
      <c r="AZ24" s="33"/>
      <c r="BA24" s="29"/>
      <c r="BB24" s="31"/>
      <c r="BC24" s="29">
        <v>10</v>
      </c>
      <c r="BD24" s="30">
        <v>9.5</v>
      </c>
      <c r="BE24" s="29">
        <v>147</v>
      </c>
      <c r="BF24" s="30">
        <v>147</v>
      </c>
      <c r="BG24" s="33">
        <v>1</v>
      </c>
      <c r="BH24" s="30">
        <v>58</v>
      </c>
      <c r="BI24" s="30">
        <v>58</v>
      </c>
      <c r="BJ24" s="35">
        <v>1</v>
      </c>
    </row>
    <row r="25" spans="1:62" x14ac:dyDescent="0.25">
      <c r="A25" s="15"/>
      <c r="B25" s="16"/>
      <c r="C25" s="16" t="s">
        <v>77</v>
      </c>
      <c r="D25" s="16"/>
      <c r="E25" s="17"/>
      <c r="F25" s="18">
        <v>11</v>
      </c>
      <c r="G25" s="15">
        <v>11</v>
      </c>
      <c r="H25" s="16">
        <v>0</v>
      </c>
      <c r="I25" s="16">
        <v>0</v>
      </c>
      <c r="J25" s="17">
        <v>11</v>
      </c>
      <c r="K25" s="15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7">
        <v>0</v>
      </c>
      <c r="S25" s="18">
        <v>10</v>
      </c>
      <c r="T25" s="15"/>
      <c r="U25" s="16"/>
      <c r="V25" s="16"/>
      <c r="W25" s="16"/>
      <c r="X25" s="17"/>
      <c r="Y25" s="15">
        <v>73</v>
      </c>
      <c r="Z25" s="17">
        <v>60</v>
      </c>
      <c r="AA25" s="15">
        <v>0</v>
      </c>
      <c r="AB25" s="17">
        <v>0</v>
      </c>
      <c r="AC25" s="15">
        <v>12</v>
      </c>
      <c r="AD25" s="17">
        <v>10</v>
      </c>
      <c r="AE25" s="15">
        <v>1</v>
      </c>
      <c r="AF25" s="16">
        <v>1</v>
      </c>
      <c r="AG25" s="17">
        <v>0</v>
      </c>
      <c r="AH25" s="19">
        <v>-1</v>
      </c>
      <c r="AI25" s="19">
        <v>-0.83561643835616439</v>
      </c>
      <c r="AJ25" s="19"/>
      <c r="AK25" s="19">
        <v>-1</v>
      </c>
      <c r="AL25" s="19">
        <v>-0.83333333333333337</v>
      </c>
      <c r="AM25" s="19"/>
      <c r="AN25" s="20">
        <v>1.0909090909090908</v>
      </c>
      <c r="AO25" s="19">
        <v>0.90909090909090906</v>
      </c>
      <c r="AP25" s="19">
        <v>9.0909090909090912E-2</v>
      </c>
      <c r="AQ25" s="19">
        <v>0</v>
      </c>
      <c r="AR25" s="19">
        <v>0</v>
      </c>
      <c r="AS25" s="133">
        <v>0.90909090909090906</v>
      </c>
      <c r="AT25" s="21">
        <v>0.90909090909090906</v>
      </c>
      <c r="AU25" s="15">
        <v>45</v>
      </c>
      <c r="AV25" s="16">
        <v>0</v>
      </c>
      <c r="AW25" s="17">
        <v>1</v>
      </c>
      <c r="AX25" s="19">
        <v>-1</v>
      </c>
      <c r="AY25" s="19">
        <v>-0.97777777777777775</v>
      </c>
      <c r="AZ25" s="19"/>
      <c r="BA25" s="15"/>
      <c r="BB25" s="17"/>
      <c r="BC25" s="15">
        <v>0</v>
      </c>
      <c r="BD25" s="16">
        <v>0</v>
      </c>
      <c r="BE25" s="15">
        <v>12</v>
      </c>
      <c r="BF25" s="16">
        <v>12</v>
      </c>
      <c r="BG25" s="19">
        <v>1</v>
      </c>
      <c r="BH25" s="16">
        <v>1</v>
      </c>
      <c r="BI25" s="16">
        <v>1</v>
      </c>
      <c r="BJ25" s="21">
        <v>1</v>
      </c>
    </row>
    <row r="26" spans="1:62" x14ac:dyDescent="0.25">
      <c r="A26" s="29"/>
      <c r="B26" s="30"/>
      <c r="C26" s="30"/>
      <c r="D26" s="30"/>
      <c r="E26" s="31" t="s">
        <v>68</v>
      </c>
      <c r="F26" s="32">
        <v>11</v>
      </c>
      <c r="G26" s="29">
        <v>11</v>
      </c>
      <c r="H26" s="30">
        <v>0</v>
      </c>
      <c r="I26" s="30">
        <v>0</v>
      </c>
      <c r="J26" s="31">
        <v>11</v>
      </c>
      <c r="K26" s="29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1">
        <v>0</v>
      </c>
      <c r="S26" s="32">
        <v>10</v>
      </c>
      <c r="T26" s="29"/>
      <c r="U26" s="30"/>
      <c r="V26" s="30"/>
      <c r="W26" s="30"/>
      <c r="X26" s="31"/>
      <c r="Y26" s="29">
        <v>73</v>
      </c>
      <c r="Z26" s="31">
        <v>60</v>
      </c>
      <c r="AA26" s="29">
        <v>0</v>
      </c>
      <c r="AB26" s="31">
        <v>0</v>
      </c>
      <c r="AC26" s="29">
        <v>12</v>
      </c>
      <c r="AD26" s="31">
        <v>10</v>
      </c>
      <c r="AE26" s="29">
        <v>1</v>
      </c>
      <c r="AF26" s="30">
        <v>1</v>
      </c>
      <c r="AG26" s="31">
        <v>0</v>
      </c>
      <c r="AH26" s="33">
        <v>-1</v>
      </c>
      <c r="AI26" s="33">
        <v>-0.83561643835616439</v>
      </c>
      <c r="AJ26" s="33"/>
      <c r="AK26" s="33">
        <v>-1</v>
      </c>
      <c r="AL26" s="33">
        <v>-0.83333333333333337</v>
      </c>
      <c r="AM26" s="33"/>
      <c r="AN26" s="34">
        <v>1.0909090909090908</v>
      </c>
      <c r="AO26" s="33">
        <v>0.90909090909090906</v>
      </c>
      <c r="AP26" s="33">
        <v>9.0909090909090912E-2</v>
      </c>
      <c r="AQ26" s="33">
        <v>0</v>
      </c>
      <c r="AR26" s="33">
        <v>0</v>
      </c>
      <c r="AS26" s="136">
        <v>0.90909090909090906</v>
      </c>
      <c r="AT26" s="35">
        <v>0.90909090909090906</v>
      </c>
      <c r="AU26" s="29">
        <v>45</v>
      </c>
      <c r="AV26" s="30">
        <v>0</v>
      </c>
      <c r="AW26" s="31">
        <v>1</v>
      </c>
      <c r="AX26" s="33">
        <v>-1</v>
      </c>
      <c r="AY26" s="33">
        <v>-0.97777777777777775</v>
      </c>
      <c r="AZ26" s="33"/>
      <c r="BA26" s="29"/>
      <c r="BB26" s="31"/>
      <c r="BC26" s="29">
        <v>0</v>
      </c>
      <c r="BD26" s="30">
        <v>0</v>
      </c>
      <c r="BE26" s="29">
        <v>12</v>
      </c>
      <c r="BF26" s="30">
        <v>12</v>
      </c>
      <c r="BG26" s="33">
        <v>1</v>
      </c>
      <c r="BH26" s="30">
        <v>1</v>
      </c>
      <c r="BI26" s="30">
        <v>1</v>
      </c>
      <c r="BJ26" s="35">
        <v>1</v>
      </c>
    </row>
    <row r="27" spans="1:62" x14ac:dyDescent="0.25">
      <c r="A27" s="8"/>
      <c r="B27" s="9" t="s">
        <v>78</v>
      </c>
      <c r="C27" s="9"/>
      <c r="D27" s="9"/>
      <c r="E27" s="10"/>
      <c r="F27" s="11">
        <v>5277</v>
      </c>
      <c r="G27" s="8">
        <v>4625</v>
      </c>
      <c r="H27" s="9">
        <v>0</v>
      </c>
      <c r="I27" s="9">
        <v>0</v>
      </c>
      <c r="J27" s="10">
        <v>4625</v>
      </c>
      <c r="K27" s="8">
        <v>0</v>
      </c>
      <c r="L27" s="9">
        <v>60</v>
      </c>
      <c r="M27" s="9">
        <v>5</v>
      </c>
      <c r="N27" s="9">
        <v>146</v>
      </c>
      <c r="O27" s="9">
        <v>2</v>
      </c>
      <c r="P27" s="9">
        <v>0</v>
      </c>
      <c r="Q27" s="9">
        <v>0</v>
      </c>
      <c r="R27" s="10">
        <v>404</v>
      </c>
      <c r="S27" s="11">
        <v>313</v>
      </c>
      <c r="T27" s="8">
        <v>189</v>
      </c>
      <c r="U27" s="9">
        <v>0</v>
      </c>
      <c r="V27" s="9">
        <v>0</v>
      </c>
      <c r="W27" s="9">
        <v>0</v>
      </c>
      <c r="X27" s="10">
        <v>189</v>
      </c>
      <c r="Y27" s="8">
        <v>2757</v>
      </c>
      <c r="Z27" s="10">
        <v>2292</v>
      </c>
      <c r="AA27" s="8">
        <v>2654</v>
      </c>
      <c r="AB27" s="10">
        <v>2125</v>
      </c>
      <c r="AC27" s="8">
        <v>2780</v>
      </c>
      <c r="AD27" s="10">
        <v>2233</v>
      </c>
      <c r="AE27" s="8">
        <v>2981</v>
      </c>
      <c r="AF27" s="9">
        <v>1637</v>
      </c>
      <c r="AG27" s="10">
        <v>2883</v>
      </c>
      <c r="AH27" s="12">
        <v>-3.7359448676097209E-2</v>
      </c>
      <c r="AI27" s="12">
        <v>8.3424011606819011E-3</v>
      </c>
      <c r="AJ27" s="12">
        <v>4.7475508666164283E-2</v>
      </c>
      <c r="AK27" s="12">
        <v>-7.2862129144851656E-2</v>
      </c>
      <c r="AL27" s="12">
        <v>-2.5741710296684119E-2</v>
      </c>
      <c r="AM27" s="12">
        <v>5.0823529411764705E-2</v>
      </c>
      <c r="AN27" s="13">
        <v>0.60108108108108105</v>
      </c>
      <c r="AO27" s="12">
        <v>0.48281081081081079</v>
      </c>
      <c r="AP27" s="12">
        <v>0.35394594594594597</v>
      </c>
      <c r="AQ27" s="12">
        <v>0.62335135135135133</v>
      </c>
      <c r="AR27" s="12">
        <v>8.0334062437860412E-2</v>
      </c>
      <c r="AS27" s="131">
        <v>6.7675675675675673E-2</v>
      </c>
      <c r="AT27" s="14">
        <v>2.6810810810810812E-2</v>
      </c>
      <c r="AU27" s="8">
        <v>109</v>
      </c>
      <c r="AV27" s="9">
        <v>88</v>
      </c>
      <c r="AW27" s="10">
        <v>115</v>
      </c>
      <c r="AX27" s="12">
        <v>-0.19266055045871561</v>
      </c>
      <c r="AY27" s="12">
        <v>5.5045871559633031E-2</v>
      </c>
      <c r="AZ27" s="12">
        <v>0.30681818181818182</v>
      </c>
      <c r="BA27" s="8">
        <v>14</v>
      </c>
      <c r="BB27" s="10">
        <v>12.5</v>
      </c>
      <c r="BC27" s="8">
        <v>13</v>
      </c>
      <c r="BD27" s="9">
        <v>2</v>
      </c>
      <c r="BE27" s="8">
        <v>2768</v>
      </c>
      <c r="BF27" s="9">
        <v>2780</v>
      </c>
      <c r="BG27" s="12">
        <v>0.99568345323741003</v>
      </c>
      <c r="BH27" s="9">
        <v>110</v>
      </c>
      <c r="BI27" s="9">
        <v>115</v>
      </c>
      <c r="BJ27" s="14">
        <v>0.95652173913043481</v>
      </c>
    </row>
    <row r="28" spans="1:62" x14ac:dyDescent="0.25">
      <c r="A28" s="15"/>
      <c r="B28" s="16"/>
      <c r="C28" s="16" t="s">
        <v>79</v>
      </c>
      <c r="D28" s="16"/>
      <c r="E28" s="17"/>
      <c r="F28" s="18">
        <v>5272</v>
      </c>
      <c r="G28" s="15">
        <v>4620</v>
      </c>
      <c r="H28" s="16">
        <v>0</v>
      </c>
      <c r="I28" s="16">
        <v>0</v>
      </c>
      <c r="J28" s="17">
        <v>4620</v>
      </c>
      <c r="K28" s="15">
        <v>0</v>
      </c>
      <c r="L28" s="16">
        <v>60</v>
      </c>
      <c r="M28" s="16">
        <v>5</v>
      </c>
      <c r="N28" s="16">
        <v>146</v>
      </c>
      <c r="O28" s="16">
        <v>2</v>
      </c>
      <c r="P28" s="16">
        <v>0</v>
      </c>
      <c r="Q28" s="16">
        <v>0</v>
      </c>
      <c r="R28" s="17">
        <v>404</v>
      </c>
      <c r="S28" s="18">
        <v>312</v>
      </c>
      <c r="T28" s="15">
        <v>189</v>
      </c>
      <c r="U28" s="16">
        <v>0</v>
      </c>
      <c r="V28" s="16">
        <v>0</v>
      </c>
      <c r="W28" s="16">
        <v>0</v>
      </c>
      <c r="X28" s="17">
        <v>189</v>
      </c>
      <c r="Y28" s="15">
        <v>2730</v>
      </c>
      <c r="Z28" s="17">
        <v>2287</v>
      </c>
      <c r="AA28" s="15">
        <v>2652</v>
      </c>
      <c r="AB28" s="17">
        <v>2123</v>
      </c>
      <c r="AC28" s="15">
        <v>2764</v>
      </c>
      <c r="AD28" s="17">
        <v>2229</v>
      </c>
      <c r="AE28" s="15">
        <v>2980</v>
      </c>
      <c r="AF28" s="16">
        <v>1636</v>
      </c>
      <c r="AG28" s="17">
        <v>2880</v>
      </c>
      <c r="AH28" s="19">
        <v>-2.8571428571428571E-2</v>
      </c>
      <c r="AI28" s="19">
        <v>1.2454212454212455E-2</v>
      </c>
      <c r="AJ28" s="19">
        <v>4.2232277526395176E-2</v>
      </c>
      <c r="AK28" s="19">
        <v>-7.1709663314385663E-2</v>
      </c>
      <c r="AL28" s="19">
        <v>-2.5360734586794928E-2</v>
      </c>
      <c r="AM28" s="19">
        <v>4.9929345266132831E-2</v>
      </c>
      <c r="AN28" s="20">
        <v>0.59826839826839828</v>
      </c>
      <c r="AO28" s="19">
        <v>0.48246753246753249</v>
      </c>
      <c r="AP28" s="19">
        <v>0.3541125541125541</v>
      </c>
      <c r="AQ28" s="19">
        <v>0.62337662337662336</v>
      </c>
      <c r="AR28" s="19">
        <v>8.0414012738853499E-2</v>
      </c>
      <c r="AS28" s="133">
        <v>6.7532467532467527E-2</v>
      </c>
      <c r="AT28" s="21">
        <v>2.6623376623376622E-2</v>
      </c>
      <c r="AU28" s="15">
        <v>85</v>
      </c>
      <c r="AV28" s="16">
        <v>88</v>
      </c>
      <c r="AW28" s="17">
        <v>102</v>
      </c>
      <c r="AX28" s="19">
        <v>3.5294117647058823E-2</v>
      </c>
      <c r="AY28" s="19">
        <v>0.2</v>
      </c>
      <c r="AZ28" s="19">
        <v>0.15909090909090909</v>
      </c>
      <c r="BA28" s="15">
        <v>15</v>
      </c>
      <c r="BB28" s="17">
        <v>15</v>
      </c>
      <c r="BC28" s="15">
        <v>13</v>
      </c>
      <c r="BD28" s="16">
        <v>2</v>
      </c>
      <c r="BE28" s="15">
        <v>2755</v>
      </c>
      <c r="BF28" s="16">
        <v>2764</v>
      </c>
      <c r="BG28" s="19">
        <v>0.99674384949348771</v>
      </c>
      <c r="BH28" s="16">
        <v>100</v>
      </c>
      <c r="BI28" s="16">
        <v>102</v>
      </c>
      <c r="BJ28" s="21">
        <v>0.98039215686274506</v>
      </c>
    </row>
    <row r="29" spans="1:62" x14ac:dyDescent="0.25">
      <c r="A29" s="29"/>
      <c r="B29" s="30"/>
      <c r="C29" s="30"/>
      <c r="D29" s="30"/>
      <c r="E29" s="31" t="s">
        <v>68</v>
      </c>
      <c r="F29" s="32">
        <v>5206</v>
      </c>
      <c r="G29" s="29">
        <v>4554</v>
      </c>
      <c r="H29" s="30">
        <v>0</v>
      </c>
      <c r="I29" s="30">
        <v>0</v>
      </c>
      <c r="J29" s="31">
        <v>4554</v>
      </c>
      <c r="K29" s="29">
        <v>0</v>
      </c>
      <c r="L29" s="30">
        <v>60</v>
      </c>
      <c r="M29" s="30">
        <v>5</v>
      </c>
      <c r="N29" s="30">
        <v>146</v>
      </c>
      <c r="O29" s="30">
        <v>2</v>
      </c>
      <c r="P29" s="30">
        <v>0</v>
      </c>
      <c r="Q29" s="30">
        <v>0</v>
      </c>
      <c r="R29" s="31">
        <v>404</v>
      </c>
      <c r="S29" s="32">
        <v>247</v>
      </c>
      <c r="T29" s="29">
        <v>189</v>
      </c>
      <c r="U29" s="30">
        <v>0</v>
      </c>
      <c r="V29" s="30">
        <v>0</v>
      </c>
      <c r="W29" s="30">
        <v>0</v>
      </c>
      <c r="X29" s="31">
        <v>189</v>
      </c>
      <c r="Y29" s="29">
        <v>2729</v>
      </c>
      <c r="Z29" s="31">
        <v>2286</v>
      </c>
      <c r="AA29" s="29">
        <v>2652</v>
      </c>
      <c r="AB29" s="31">
        <v>2123</v>
      </c>
      <c r="AC29" s="29">
        <v>2678</v>
      </c>
      <c r="AD29" s="31">
        <v>2170</v>
      </c>
      <c r="AE29" s="29">
        <v>2972</v>
      </c>
      <c r="AF29" s="30">
        <v>1629</v>
      </c>
      <c r="AG29" s="31">
        <v>2828</v>
      </c>
      <c r="AH29" s="33">
        <v>-2.8215463539758154E-2</v>
      </c>
      <c r="AI29" s="33">
        <v>-1.868816416269696E-2</v>
      </c>
      <c r="AJ29" s="33">
        <v>9.8039215686274508E-3</v>
      </c>
      <c r="AK29" s="33">
        <v>-7.1303587051618544E-2</v>
      </c>
      <c r="AL29" s="33">
        <v>-5.0743657042869643E-2</v>
      </c>
      <c r="AM29" s="33">
        <v>2.2138483278379653E-2</v>
      </c>
      <c r="AN29" s="34">
        <v>0.58805445761967501</v>
      </c>
      <c r="AO29" s="33">
        <v>0.47650417215634605</v>
      </c>
      <c r="AP29" s="33">
        <v>0.35770750988142291</v>
      </c>
      <c r="AQ29" s="33">
        <v>0.62099253403601229</v>
      </c>
      <c r="AR29" s="33">
        <v>8.1484469544171031E-2</v>
      </c>
      <c r="AS29" s="136">
        <v>5.4238032498902064E-2</v>
      </c>
      <c r="AT29" s="35">
        <v>1.2736056214317084E-2</v>
      </c>
      <c r="AU29" s="29">
        <v>85</v>
      </c>
      <c r="AV29" s="30">
        <v>88</v>
      </c>
      <c r="AW29" s="31">
        <v>102</v>
      </c>
      <c r="AX29" s="33">
        <v>3.5294117647058823E-2</v>
      </c>
      <c r="AY29" s="33">
        <v>0.2</v>
      </c>
      <c r="AZ29" s="33">
        <v>0.15909090909090909</v>
      </c>
      <c r="BA29" s="29">
        <v>16</v>
      </c>
      <c r="BB29" s="31">
        <v>15</v>
      </c>
      <c r="BC29" s="29">
        <v>13</v>
      </c>
      <c r="BD29" s="30">
        <v>2</v>
      </c>
      <c r="BE29" s="29">
        <v>2675</v>
      </c>
      <c r="BF29" s="30">
        <v>2678</v>
      </c>
      <c r="BG29" s="33">
        <v>0.99887976101568332</v>
      </c>
      <c r="BH29" s="30">
        <v>100</v>
      </c>
      <c r="BI29" s="30">
        <v>102</v>
      </c>
      <c r="BJ29" s="35">
        <v>0.98039215686274506</v>
      </c>
    </row>
    <row r="30" spans="1:62" x14ac:dyDescent="0.25">
      <c r="A30" s="8"/>
      <c r="B30" s="9" t="s">
        <v>80</v>
      </c>
      <c r="C30" s="9"/>
      <c r="D30" s="9"/>
      <c r="E30" s="10"/>
      <c r="F30" s="11">
        <v>6299</v>
      </c>
      <c r="G30" s="8">
        <v>5485</v>
      </c>
      <c r="H30" s="9">
        <v>280</v>
      </c>
      <c r="I30" s="9">
        <v>0</v>
      </c>
      <c r="J30" s="10">
        <v>5765</v>
      </c>
      <c r="K30" s="8">
        <v>0</v>
      </c>
      <c r="L30" s="9">
        <v>125</v>
      </c>
      <c r="M30" s="9">
        <v>6</v>
      </c>
      <c r="N30" s="9">
        <v>40</v>
      </c>
      <c r="O30" s="9">
        <v>34</v>
      </c>
      <c r="P30" s="9">
        <v>0</v>
      </c>
      <c r="Q30" s="9">
        <v>0</v>
      </c>
      <c r="R30" s="10">
        <v>324</v>
      </c>
      <c r="S30" s="11">
        <v>366</v>
      </c>
      <c r="T30" s="8">
        <v>150</v>
      </c>
      <c r="U30" s="9">
        <v>0</v>
      </c>
      <c r="V30" s="9">
        <v>0</v>
      </c>
      <c r="W30" s="9">
        <v>0</v>
      </c>
      <c r="X30" s="10">
        <v>150</v>
      </c>
      <c r="Y30" s="8">
        <v>5139</v>
      </c>
      <c r="Z30" s="10">
        <v>3584</v>
      </c>
      <c r="AA30" s="8">
        <v>5167</v>
      </c>
      <c r="AB30" s="10">
        <v>3209</v>
      </c>
      <c r="AC30" s="8">
        <v>6096</v>
      </c>
      <c r="AD30" s="10">
        <v>3577</v>
      </c>
      <c r="AE30" s="8">
        <v>2359</v>
      </c>
      <c r="AF30" s="9">
        <v>1175</v>
      </c>
      <c r="AG30" s="10">
        <v>3760</v>
      </c>
      <c r="AH30" s="12">
        <v>5.4485308425763768E-3</v>
      </c>
      <c r="AI30" s="12">
        <v>0.18622300058377117</v>
      </c>
      <c r="AJ30" s="12">
        <v>0.17979485194503581</v>
      </c>
      <c r="AK30" s="12">
        <v>-0.10463169642857142</v>
      </c>
      <c r="AL30" s="12">
        <v>-1.953125E-3</v>
      </c>
      <c r="AM30" s="12">
        <v>0.11467746961670303</v>
      </c>
      <c r="AN30" s="13">
        <v>1.111394712853236</v>
      </c>
      <c r="AO30" s="12">
        <v>0.65214220601640838</v>
      </c>
      <c r="AP30" s="12">
        <v>0.21422060164083864</v>
      </c>
      <c r="AQ30" s="12">
        <v>0.68550592525068366</v>
      </c>
      <c r="AR30" s="12">
        <v>5.5775520743673611E-2</v>
      </c>
      <c r="AS30" s="131">
        <v>6.6727438468550587E-2</v>
      </c>
      <c r="AT30" s="14">
        <v>3.9380127620783953E-2</v>
      </c>
      <c r="AU30" s="8">
        <v>171</v>
      </c>
      <c r="AV30" s="9">
        <v>185</v>
      </c>
      <c r="AW30" s="10">
        <v>202</v>
      </c>
      <c r="AX30" s="12">
        <v>8.1871345029239762E-2</v>
      </c>
      <c r="AY30" s="12">
        <v>0.18128654970760233</v>
      </c>
      <c r="AZ30" s="12">
        <v>9.1891891891891897E-2</v>
      </c>
      <c r="BA30" s="8">
        <v>29</v>
      </c>
      <c r="BB30" s="10">
        <v>29</v>
      </c>
      <c r="BC30" s="8">
        <v>4</v>
      </c>
      <c r="BD30" s="9">
        <v>2</v>
      </c>
      <c r="BE30" s="8">
        <v>6091</v>
      </c>
      <c r="BF30" s="9">
        <v>6096</v>
      </c>
      <c r="BG30" s="12">
        <v>0.99917979002624668</v>
      </c>
      <c r="BH30" s="9">
        <v>201</v>
      </c>
      <c r="BI30" s="9">
        <v>202</v>
      </c>
      <c r="BJ30" s="14">
        <v>0.99504950495049505</v>
      </c>
    </row>
    <row r="31" spans="1:62" x14ac:dyDescent="0.25">
      <c r="A31" s="15"/>
      <c r="B31" s="16"/>
      <c r="C31" s="16" t="s">
        <v>81</v>
      </c>
      <c r="D31" s="16"/>
      <c r="E31" s="17"/>
      <c r="F31" s="18">
        <v>1098</v>
      </c>
      <c r="G31" s="15">
        <v>978</v>
      </c>
      <c r="H31" s="16">
        <v>0</v>
      </c>
      <c r="I31" s="16">
        <v>0</v>
      </c>
      <c r="J31" s="17">
        <v>978</v>
      </c>
      <c r="K31" s="15">
        <v>0</v>
      </c>
      <c r="L31" s="16">
        <v>25</v>
      </c>
      <c r="M31" s="16">
        <v>0</v>
      </c>
      <c r="N31" s="16">
        <v>8</v>
      </c>
      <c r="O31" s="16">
        <v>6</v>
      </c>
      <c r="P31" s="16">
        <v>0</v>
      </c>
      <c r="Q31" s="16">
        <v>0</v>
      </c>
      <c r="R31" s="17">
        <v>80</v>
      </c>
      <c r="S31" s="18">
        <v>65</v>
      </c>
      <c r="T31" s="15">
        <v>32</v>
      </c>
      <c r="U31" s="16">
        <v>0</v>
      </c>
      <c r="V31" s="16">
        <v>0</v>
      </c>
      <c r="W31" s="16">
        <v>0</v>
      </c>
      <c r="X31" s="17">
        <v>32</v>
      </c>
      <c r="Y31" s="15">
        <v>910</v>
      </c>
      <c r="Z31" s="17">
        <v>698</v>
      </c>
      <c r="AA31" s="15">
        <v>757</v>
      </c>
      <c r="AB31" s="17">
        <v>493</v>
      </c>
      <c r="AC31" s="15">
        <v>1035</v>
      </c>
      <c r="AD31" s="17">
        <v>586</v>
      </c>
      <c r="AE31" s="15">
        <v>499</v>
      </c>
      <c r="AF31" s="16">
        <v>279</v>
      </c>
      <c r="AG31" s="17">
        <v>600</v>
      </c>
      <c r="AH31" s="19">
        <v>-0.16813186813186815</v>
      </c>
      <c r="AI31" s="19">
        <v>0.13736263736263737</v>
      </c>
      <c r="AJ31" s="19">
        <v>0.36723910171730517</v>
      </c>
      <c r="AK31" s="19">
        <v>-0.29369627507163326</v>
      </c>
      <c r="AL31" s="19">
        <v>-0.16045845272206305</v>
      </c>
      <c r="AM31" s="19">
        <v>0.18864097363083165</v>
      </c>
      <c r="AN31" s="20">
        <v>1.0582822085889572</v>
      </c>
      <c r="AO31" s="19">
        <v>0.59918200408997957</v>
      </c>
      <c r="AP31" s="19">
        <v>0.28527607361963192</v>
      </c>
      <c r="AQ31" s="19">
        <v>0.61349693251533743</v>
      </c>
      <c r="AR31" s="19">
        <v>7.5614366729678639E-2</v>
      </c>
      <c r="AS31" s="133">
        <v>6.646216768916155E-2</v>
      </c>
      <c r="AT31" s="21">
        <v>3.3742331288343558E-2</v>
      </c>
      <c r="AU31" s="15">
        <v>99</v>
      </c>
      <c r="AV31" s="16">
        <v>105</v>
      </c>
      <c r="AW31" s="17">
        <v>131</v>
      </c>
      <c r="AX31" s="19">
        <v>6.0606060606060608E-2</v>
      </c>
      <c r="AY31" s="19">
        <v>0.32323232323232326</v>
      </c>
      <c r="AZ31" s="19">
        <v>0.24761904761904763</v>
      </c>
      <c r="BA31" s="15">
        <v>29</v>
      </c>
      <c r="BB31" s="17">
        <v>29</v>
      </c>
      <c r="BC31" s="15">
        <v>4</v>
      </c>
      <c r="BD31" s="16">
        <v>2</v>
      </c>
      <c r="BE31" s="15">
        <v>1035</v>
      </c>
      <c r="BF31" s="16">
        <v>1035</v>
      </c>
      <c r="BG31" s="19">
        <v>1</v>
      </c>
      <c r="BH31" s="16">
        <v>131</v>
      </c>
      <c r="BI31" s="16">
        <v>131</v>
      </c>
      <c r="BJ31" s="21">
        <v>1</v>
      </c>
    </row>
    <row r="32" spans="1:62" x14ac:dyDescent="0.25">
      <c r="A32" s="29"/>
      <c r="B32" s="30"/>
      <c r="C32" s="30"/>
      <c r="D32" s="30"/>
      <c r="E32" s="31" t="s">
        <v>82</v>
      </c>
      <c r="F32" s="32">
        <v>15</v>
      </c>
      <c r="G32" s="29">
        <v>14</v>
      </c>
      <c r="H32" s="30">
        <v>0</v>
      </c>
      <c r="I32" s="30">
        <v>0</v>
      </c>
      <c r="J32" s="31">
        <v>14</v>
      </c>
      <c r="K32" s="29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1">
        <v>1</v>
      </c>
      <c r="S32" s="32">
        <v>0</v>
      </c>
      <c r="T32" s="29"/>
      <c r="U32" s="30"/>
      <c r="V32" s="30"/>
      <c r="W32" s="30"/>
      <c r="X32" s="31"/>
      <c r="Y32" s="29">
        <v>16</v>
      </c>
      <c r="Z32" s="31">
        <v>11</v>
      </c>
      <c r="AA32" s="29">
        <v>17</v>
      </c>
      <c r="AB32" s="31">
        <v>8</v>
      </c>
      <c r="AC32" s="29">
        <v>26</v>
      </c>
      <c r="AD32" s="31">
        <v>7</v>
      </c>
      <c r="AE32" s="29">
        <v>8</v>
      </c>
      <c r="AF32" s="30">
        <v>2</v>
      </c>
      <c r="AG32" s="31">
        <v>9</v>
      </c>
      <c r="AH32" s="33">
        <v>6.25E-2</v>
      </c>
      <c r="AI32" s="33">
        <v>0.625</v>
      </c>
      <c r="AJ32" s="33">
        <v>0.52941176470588236</v>
      </c>
      <c r="AK32" s="33">
        <v>-0.27272727272727271</v>
      </c>
      <c r="AL32" s="33">
        <v>-0.36363636363636365</v>
      </c>
      <c r="AM32" s="33">
        <v>-0.125</v>
      </c>
      <c r="AN32" s="34">
        <v>1.8571428571428572</v>
      </c>
      <c r="AO32" s="33">
        <v>0.5</v>
      </c>
      <c r="AP32" s="33">
        <v>0.14285714285714285</v>
      </c>
      <c r="AQ32" s="33">
        <v>0.6428571428571429</v>
      </c>
      <c r="AR32" s="33">
        <v>6.6666666666666666E-2</v>
      </c>
      <c r="AS32" s="136">
        <v>0</v>
      </c>
      <c r="AT32" s="35">
        <v>0</v>
      </c>
      <c r="AU32" s="29">
        <v>11</v>
      </c>
      <c r="AV32" s="30">
        <v>10</v>
      </c>
      <c r="AW32" s="31">
        <v>14</v>
      </c>
      <c r="AX32" s="33">
        <v>-9.0909090909090912E-2</v>
      </c>
      <c r="AY32" s="33">
        <v>0.27272727272727271</v>
      </c>
      <c r="AZ32" s="33">
        <v>0.4</v>
      </c>
      <c r="BA32" s="29"/>
      <c r="BB32" s="31"/>
      <c r="BC32" s="29">
        <v>2</v>
      </c>
      <c r="BD32" s="30">
        <v>2</v>
      </c>
      <c r="BE32" s="29">
        <v>26</v>
      </c>
      <c r="BF32" s="30">
        <v>26</v>
      </c>
      <c r="BG32" s="33">
        <v>1</v>
      </c>
      <c r="BH32" s="30">
        <v>14</v>
      </c>
      <c r="BI32" s="30">
        <v>14</v>
      </c>
      <c r="BJ32" s="35">
        <v>1</v>
      </c>
    </row>
    <row r="33" spans="1:62" x14ac:dyDescent="0.25">
      <c r="A33" s="29"/>
      <c r="B33" s="30"/>
      <c r="C33" s="30"/>
      <c r="D33" s="30"/>
      <c r="E33" s="31" t="s">
        <v>68</v>
      </c>
      <c r="F33" s="32">
        <v>1070</v>
      </c>
      <c r="G33" s="29">
        <v>952</v>
      </c>
      <c r="H33" s="30">
        <v>0</v>
      </c>
      <c r="I33" s="30">
        <v>0</v>
      </c>
      <c r="J33" s="31">
        <v>952</v>
      </c>
      <c r="K33" s="29">
        <v>0</v>
      </c>
      <c r="L33" s="30">
        <v>24</v>
      </c>
      <c r="M33" s="30">
        <v>0</v>
      </c>
      <c r="N33" s="30">
        <v>8</v>
      </c>
      <c r="O33" s="30">
        <v>6</v>
      </c>
      <c r="P33" s="30">
        <v>0</v>
      </c>
      <c r="Q33" s="30">
        <v>0</v>
      </c>
      <c r="R33" s="31">
        <v>79</v>
      </c>
      <c r="S33" s="32">
        <v>52</v>
      </c>
      <c r="T33" s="29">
        <v>32</v>
      </c>
      <c r="U33" s="30">
        <v>0</v>
      </c>
      <c r="V33" s="30">
        <v>0</v>
      </c>
      <c r="W33" s="30">
        <v>0</v>
      </c>
      <c r="X33" s="31">
        <v>32</v>
      </c>
      <c r="Y33" s="29">
        <v>894</v>
      </c>
      <c r="Z33" s="31">
        <v>687</v>
      </c>
      <c r="AA33" s="29">
        <v>740</v>
      </c>
      <c r="AB33" s="31">
        <v>485</v>
      </c>
      <c r="AC33" s="29">
        <v>1004</v>
      </c>
      <c r="AD33" s="31">
        <v>574</v>
      </c>
      <c r="AE33" s="29">
        <v>484</v>
      </c>
      <c r="AF33" s="30">
        <v>270</v>
      </c>
      <c r="AG33" s="31">
        <v>586</v>
      </c>
      <c r="AH33" s="33">
        <v>-0.17225950782997762</v>
      </c>
      <c r="AI33" s="33">
        <v>0.12304250559284116</v>
      </c>
      <c r="AJ33" s="33">
        <v>0.35675675675675678</v>
      </c>
      <c r="AK33" s="33">
        <v>-0.29403202328966521</v>
      </c>
      <c r="AL33" s="33">
        <v>-0.16448326055312956</v>
      </c>
      <c r="AM33" s="33">
        <v>0.18350515463917524</v>
      </c>
      <c r="AN33" s="34">
        <v>1.0546218487394958</v>
      </c>
      <c r="AO33" s="33">
        <v>0.6029411764705882</v>
      </c>
      <c r="AP33" s="33">
        <v>0.28361344537815125</v>
      </c>
      <c r="AQ33" s="33">
        <v>0.61554621848739499</v>
      </c>
      <c r="AR33" s="33">
        <v>7.662463627546072E-2</v>
      </c>
      <c r="AS33" s="136">
        <v>5.4621848739495799E-2</v>
      </c>
      <c r="AT33" s="35">
        <v>2.100840336134454E-2</v>
      </c>
      <c r="AU33" s="29">
        <v>99</v>
      </c>
      <c r="AV33" s="30">
        <v>105</v>
      </c>
      <c r="AW33" s="31">
        <v>131</v>
      </c>
      <c r="AX33" s="33">
        <v>6.0606060606060608E-2</v>
      </c>
      <c r="AY33" s="33">
        <v>0.32323232323232326</v>
      </c>
      <c r="AZ33" s="33">
        <v>0.24761904761904763</v>
      </c>
      <c r="BA33" s="29">
        <v>29</v>
      </c>
      <c r="BB33" s="31">
        <v>29</v>
      </c>
      <c r="BC33" s="29">
        <v>4</v>
      </c>
      <c r="BD33" s="30">
        <v>2</v>
      </c>
      <c r="BE33" s="29">
        <v>1004</v>
      </c>
      <c r="BF33" s="30">
        <v>1004</v>
      </c>
      <c r="BG33" s="33">
        <v>1</v>
      </c>
      <c r="BH33" s="30">
        <v>131</v>
      </c>
      <c r="BI33" s="30">
        <v>131</v>
      </c>
      <c r="BJ33" s="35">
        <v>1</v>
      </c>
    </row>
    <row r="34" spans="1:62" x14ac:dyDescent="0.25">
      <c r="A34" s="15"/>
      <c r="B34" s="16"/>
      <c r="C34" s="16" t="s">
        <v>83</v>
      </c>
      <c r="D34" s="16"/>
      <c r="E34" s="17"/>
      <c r="F34" s="18">
        <v>135</v>
      </c>
      <c r="G34" s="15">
        <v>123</v>
      </c>
      <c r="H34" s="16">
        <v>0</v>
      </c>
      <c r="I34" s="16">
        <v>0</v>
      </c>
      <c r="J34" s="17">
        <v>123</v>
      </c>
      <c r="K34" s="15">
        <v>0</v>
      </c>
      <c r="L34" s="16">
        <v>0</v>
      </c>
      <c r="M34" s="16">
        <v>2</v>
      </c>
      <c r="N34" s="16">
        <v>2</v>
      </c>
      <c r="O34" s="16">
        <v>2</v>
      </c>
      <c r="P34" s="16">
        <v>0</v>
      </c>
      <c r="Q34" s="16">
        <v>0</v>
      </c>
      <c r="R34" s="17">
        <v>6</v>
      </c>
      <c r="S34" s="18">
        <v>3</v>
      </c>
      <c r="T34" s="15">
        <v>2</v>
      </c>
      <c r="U34" s="16">
        <v>0</v>
      </c>
      <c r="V34" s="16">
        <v>0</v>
      </c>
      <c r="W34" s="16">
        <v>0</v>
      </c>
      <c r="X34" s="17">
        <v>2</v>
      </c>
      <c r="Y34" s="15">
        <v>277</v>
      </c>
      <c r="Z34" s="17">
        <v>128</v>
      </c>
      <c r="AA34" s="15">
        <v>310</v>
      </c>
      <c r="AB34" s="17">
        <v>107</v>
      </c>
      <c r="AC34" s="15">
        <v>330</v>
      </c>
      <c r="AD34" s="17">
        <v>106</v>
      </c>
      <c r="AE34" s="15">
        <v>34</v>
      </c>
      <c r="AF34" s="16">
        <v>22</v>
      </c>
      <c r="AG34" s="17">
        <v>80</v>
      </c>
      <c r="AH34" s="19">
        <v>0.11913357400722022</v>
      </c>
      <c r="AI34" s="19">
        <v>0.19133574007220217</v>
      </c>
      <c r="AJ34" s="19">
        <v>6.4516129032258063E-2</v>
      </c>
      <c r="AK34" s="19">
        <v>-0.1640625</v>
      </c>
      <c r="AL34" s="19">
        <v>-0.171875</v>
      </c>
      <c r="AM34" s="19">
        <v>-9.3457943925233638E-3</v>
      </c>
      <c r="AN34" s="20">
        <v>2.6829268292682928</v>
      </c>
      <c r="AO34" s="19">
        <v>0.86178861788617889</v>
      </c>
      <c r="AP34" s="19">
        <v>0.17886178861788618</v>
      </c>
      <c r="AQ34" s="19">
        <v>0.65040650406504064</v>
      </c>
      <c r="AR34" s="19">
        <v>4.6511627906976744E-2</v>
      </c>
      <c r="AS34" s="133">
        <v>2.4390243902439025E-2</v>
      </c>
      <c r="AT34" s="21">
        <v>8.130081300813009E-3</v>
      </c>
      <c r="AU34" s="15">
        <v>70</v>
      </c>
      <c r="AV34" s="16">
        <v>73</v>
      </c>
      <c r="AW34" s="17">
        <v>66</v>
      </c>
      <c r="AX34" s="19">
        <v>4.2857142857142858E-2</v>
      </c>
      <c r="AY34" s="19">
        <v>-5.7142857142857141E-2</v>
      </c>
      <c r="AZ34" s="19">
        <v>-9.5890410958904104E-2</v>
      </c>
      <c r="BA34" s="15"/>
      <c r="BB34" s="17"/>
      <c r="BC34" s="15">
        <v>4</v>
      </c>
      <c r="BD34" s="16">
        <v>4</v>
      </c>
      <c r="BE34" s="15">
        <v>325</v>
      </c>
      <c r="BF34" s="16">
        <v>330</v>
      </c>
      <c r="BG34" s="19">
        <v>0.98484848484848486</v>
      </c>
      <c r="BH34" s="16">
        <v>65</v>
      </c>
      <c r="BI34" s="16">
        <v>66</v>
      </c>
      <c r="BJ34" s="21">
        <v>0.98484848484848486</v>
      </c>
    </row>
    <row r="35" spans="1:62" x14ac:dyDescent="0.25">
      <c r="A35" s="29"/>
      <c r="B35" s="30"/>
      <c r="C35" s="30"/>
      <c r="D35" s="30"/>
      <c r="E35" s="31" t="s">
        <v>68</v>
      </c>
      <c r="F35" s="32">
        <v>135</v>
      </c>
      <c r="G35" s="29">
        <v>123</v>
      </c>
      <c r="H35" s="30">
        <v>0</v>
      </c>
      <c r="I35" s="30">
        <v>0</v>
      </c>
      <c r="J35" s="31">
        <v>123</v>
      </c>
      <c r="K35" s="29">
        <v>0</v>
      </c>
      <c r="L35" s="30">
        <v>0</v>
      </c>
      <c r="M35" s="30">
        <v>2</v>
      </c>
      <c r="N35" s="30">
        <v>2</v>
      </c>
      <c r="O35" s="30">
        <v>2</v>
      </c>
      <c r="P35" s="30">
        <v>0</v>
      </c>
      <c r="Q35" s="30">
        <v>0</v>
      </c>
      <c r="R35" s="31">
        <v>6</v>
      </c>
      <c r="S35" s="32">
        <v>3</v>
      </c>
      <c r="T35" s="29">
        <v>2</v>
      </c>
      <c r="U35" s="30">
        <v>0</v>
      </c>
      <c r="V35" s="30">
        <v>0</v>
      </c>
      <c r="W35" s="30">
        <v>0</v>
      </c>
      <c r="X35" s="31">
        <v>2</v>
      </c>
      <c r="Y35" s="29">
        <v>277</v>
      </c>
      <c r="Z35" s="31">
        <v>128</v>
      </c>
      <c r="AA35" s="29">
        <v>310</v>
      </c>
      <c r="AB35" s="31">
        <v>107</v>
      </c>
      <c r="AC35" s="29">
        <v>330</v>
      </c>
      <c r="AD35" s="31">
        <v>106</v>
      </c>
      <c r="AE35" s="29">
        <v>34</v>
      </c>
      <c r="AF35" s="30">
        <v>22</v>
      </c>
      <c r="AG35" s="31">
        <v>80</v>
      </c>
      <c r="AH35" s="33">
        <v>0.11913357400722022</v>
      </c>
      <c r="AI35" s="33">
        <v>0.19133574007220217</v>
      </c>
      <c r="AJ35" s="33">
        <v>6.4516129032258063E-2</v>
      </c>
      <c r="AK35" s="33">
        <v>-0.1640625</v>
      </c>
      <c r="AL35" s="33">
        <v>-0.171875</v>
      </c>
      <c r="AM35" s="33">
        <v>-9.3457943925233638E-3</v>
      </c>
      <c r="AN35" s="34">
        <v>2.6829268292682928</v>
      </c>
      <c r="AO35" s="33">
        <v>0.86178861788617889</v>
      </c>
      <c r="AP35" s="33">
        <v>0.17886178861788618</v>
      </c>
      <c r="AQ35" s="33">
        <v>0.65040650406504064</v>
      </c>
      <c r="AR35" s="33">
        <v>4.6511627906976744E-2</v>
      </c>
      <c r="AS35" s="136">
        <v>2.4390243902439025E-2</v>
      </c>
      <c r="AT35" s="35">
        <v>8.130081300813009E-3</v>
      </c>
      <c r="AU35" s="29">
        <v>70</v>
      </c>
      <c r="AV35" s="30">
        <v>73</v>
      </c>
      <c r="AW35" s="31">
        <v>66</v>
      </c>
      <c r="AX35" s="33">
        <v>4.2857142857142858E-2</v>
      </c>
      <c r="AY35" s="33">
        <v>-5.7142857142857141E-2</v>
      </c>
      <c r="AZ35" s="33">
        <v>-9.5890410958904104E-2</v>
      </c>
      <c r="BA35" s="29"/>
      <c r="BB35" s="31"/>
      <c r="BC35" s="29">
        <v>4</v>
      </c>
      <c r="BD35" s="30">
        <v>4</v>
      </c>
      <c r="BE35" s="29">
        <v>325</v>
      </c>
      <c r="BF35" s="30">
        <v>330</v>
      </c>
      <c r="BG35" s="33">
        <v>0.98484848484848486</v>
      </c>
      <c r="BH35" s="30">
        <v>65</v>
      </c>
      <c r="BI35" s="30">
        <v>66</v>
      </c>
      <c r="BJ35" s="35">
        <v>0.98484848484848486</v>
      </c>
    </row>
    <row r="36" spans="1:62" x14ac:dyDescent="0.25">
      <c r="A36" s="15"/>
      <c r="B36" s="16"/>
      <c r="C36" s="16" t="s">
        <v>84</v>
      </c>
      <c r="D36" s="16"/>
      <c r="E36" s="17"/>
      <c r="F36" s="18">
        <v>1084</v>
      </c>
      <c r="G36" s="15">
        <v>1013</v>
      </c>
      <c r="H36" s="16">
        <v>0</v>
      </c>
      <c r="I36" s="16">
        <v>0</v>
      </c>
      <c r="J36" s="17">
        <v>1013</v>
      </c>
      <c r="K36" s="15">
        <v>0</v>
      </c>
      <c r="L36" s="16">
        <v>19</v>
      </c>
      <c r="M36" s="16">
        <v>1</v>
      </c>
      <c r="N36" s="16">
        <v>5</v>
      </c>
      <c r="O36" s="16">
        <v>4</v>
      </c>
      <c r="P36" s="16">
        <v>0</v>
      </c>
      <c r="Q36" s="16">
        <v>0</v>
      </c>
      <c r="R36" s="17">
        <v>41</v>
      </c>
      <c r="S36" s="18">
        <v>45</v>
      </c>
      <c r="T36" s="15">
        <v>25</v>
      </c>
      <c r="U36" s="16">
        <v>0</v>
      </c>
      <c r="V36" s="16">
        <v>0</v>
      </c>
      <c r="W36" s="16">
        <v>0</v>
      </c>
      <c r="X36" s="17">
        <v>25</v>
      </c>
      <c r="Y36" s="15">
        <v>1014</v>
      </c>
      <c r="Z36" s="17">
        <v>688</v>
      </c>
      <c r="AA36" s="15">
        <v>890</v>
      </c>
      <c r="AB36" s="17">
        <v>524</v>
      </c>
      <c r="AC36" s="15">
        <v>1034</v>
      </c>
      <c r="AD36" s="17">
        <v>626</v>
      </c>
      <c r="AE36" s="15">
        <v>443</v>
      </c>
      <c r="AF36" s="16">
        <v>192</v>
      </c>
      <c r="AG36" s="17">
        <v>552</v>
      </c>
      <c r="AH36" s="19">
        <v>-0.1222879684418146</v>
      </c>
      <c r="AI36" s="19">
        <v>1.9723865877712032E-2</v>
      </c>
      <c r="AJ36" s="19">
        <v>0.16179775280898875</v>
      </c>
      <c r="AK36" s="19">
        <v>-0.23837209302325582</v>
      </c>
      <c r="AL36" s="19">
        <v>-9.0116279069767435E-2</v>
      </c>
      <c r="AM36" s="19">
        <v>0.19465648854961831</v>
      </c>
      <c r="AN36" s="20">
        <v>1.020730503455084</v>
      </c>
      <c r="AO36" s="19">
        <v>0.6179664363277394</v>
      </c>
      <c r="AP36" s="19">
        <v>0.1895360315893386</v>
      </c>
      <c r="AQ36" s="19">
        <v>0.54491609081934844</v>
      </c>
      <c r="AR36" s="19">
        <v>3.8899430740037953E-2</v>
      </c>
      <c r="AS36" s="133">
        <v>4.4422507403751234E-2</v>
      </c>
      <c r="AT36" s="21">
        <v>1.9743336623889437E-2</v>
      </c>
      <c r="AU36" s="15">
        <v>60</v>
      </c>
      <c r="AV36" s="16">
        <v>67</v>
      </c>
      <c r="AW36" s="17">
        <v>81</v>
      </c>
      <c r="AX36" s="19">
        <v>0.11666666666666667</v>
      </c>
      <c r="AY36" s="19">
        <v>0.35</v>
      </c>
      <c r="AZ36" s="19">
        <v>0.20895522388059701</v>
      </c>
      <c r="BA36" s="15">
        <v>38</v>
      </c>
      <c r="BB36" s="17">
        <v>38</v>
      </c>
      <c r="BC36" s="15">
        <v>3</v>
      </c>
      <c r="BD36" s="16">
        <v>2</v>
      </c>
      <c r="BE36" s="15">
        <v>1034</v>
      </c>
      <c r="BF36" s="16">
        <v>1034</v>
      </c>
      <c r="BG36" s="19">
        <v>1</v>
      </c>
      <c r="BH36" s="16">
        <v>81</v>
      </c>
      <c r="BI36" s="16">
        <v>81</v>
      </c>
      <c r="BJ36" s="21">
        <v>1</v>
      </c>
    </row>
    <row r="37" spans="1:62" x14ac:dyDescent="0.25">
      <c r="A37" s="29"/>
      <c r="B37" s="30"/>
      <c r="C37" s="30"/>
      <c r="D37" s="30"/>
      <c r="E37" s="31" t="s">
        <v>68</v>
      </c>
      <c r="F37" s="32">
        <v>1074</v>
      </c>
      <c r="G37" s="29">
        <v>1005</v>
      </c>
      <c r="H37" s="30">
        <v>0</v>
      </c>
      <c r="I37" s="30">
        <v>0</v>
      </c>
      <c r="J37" s="31">
        <v>1005</v>
      </c>
      <c r="K37" s="29">
        <v>0</v>
      </c>
      <c r="L37" s="30">
        <v>17</v>
      </c>
      <c r="M37" s="30">
        <v>1</v>
      </c>
      <c r="N37" s="30">
        <v>5</v>
      </c>
      <c r="O37" s="30">
        <v>4</v>
      </c>
      <c r="P37" s="30">
        <v>0</v>
      </c>
      <c r="Q37" s="30">
        <v>0</v>
      </c>
      <c r="R37" s="31">
        <v>41</v>
      </c>
      <c r="S37" s="32">
        <v>35</v>
      </c>
      <c r="T37" s="29">
        <v>25</v>
      </c>
      <c r="U37" s="30">
        <v>0</v>
      </c>
      <c r="V37" s="30">
        <v>0</v>
      </c>
      <c r="W37" s="30">
        <v>0</v>
      </c>
      <c r="X37" s="31">
        <v>25</v>
      </c>
      <c r="Y37" s="29">
        <v>1014</v>
      </c>
      <c r="Z37" s="31">
        <v>688</v>
      </c>
      <c r="AA37" s="29">
        <v>890</v>
      </c>
      <c r="AB37" s="31">
        <v>524</v>
      </c>
      <c r="AC37" s="29">
        <v>1031</v>
      </c>
      <c r="AD37" s="31">
        <v>623</v>
      </c>
      <c r="AE37" s="29">
        <v>438</v>
      </c>
      <c r="AF37" s="30">
        <v>187</v>
      </c>
      <c r="AG37" s="31">
        <v>550</v>
      </c>
      <c r="AH37" s="33">
        <v>-0.1222879684418146</v>
      </c>
      <c r="AI37" s="33">
        <v>1.6765285996055226E-2</v>
      </c>
      <c r="AJ37" s="33">
        <v>0.15842696629213482</v>
      </c>
      <c r="AK37" s="33">
        <v>-0.23837209302325582</v>
      </c>
      <c r="AL37" s="33">
        <v>-9.4476744186046513E-2</v>
      </c>
      <c r="AM37" s="33">
        <v>0.18893129770992367</v>
      </c>
      <c r="AN37" s="34">
        <v>1.0258706467661691</v>
      </c>
      <c r="AO37" s="33">
        <v>0.61990049751243781</v>
      </c>
      <c r="AP37" s="33">
        <v>0.18606965174129353</v>
      </c>
      <c r="AQ37" s="33">
        <v>0.54726368159203975</v>
      </c>
      <c r="AR37" s="33">
        <v>3.9196940726577437E-2</v>
      </c>
      <c r="AS37" s="136">
        <v>3.482587064676617E-2</v>
      </c>
      <c r="AT37" s="35">
        <v>9.9502487562189053E-3</v>
      </c>
      <c r="AU37" s="29">
        <v>60</v>
      </c>
      <c r="AV37" s="30">
        <v>67</v>
      </c>
      <c r="AW37" s="31">
        <v>81</v>
      </c>
      <c r="AX37" s="33">
        <v>0.11666666666666667</v>
      </c>
      <c r="AY37" s="33">
        <v>0.35</v>
      </c>
      <c r="AZ37" s="33">
        <v>0.20895522388059701</v>
      </c>
      <c r="BA37" s="29">
        <v>38</v>
      </c>
      <c r="BB37" s="31">
        <v>38</v>
      </c>
      <c r="BC37" s="29">
        <v>3</v>
      </c>
      <c r="BD37" s="30">
        <v>2</v>
      </c>
      <c r="BE37" s="29">
        <v>1031</v>
      </c>
      <c r="BF37" s="30">
        <v>1031</v>
      </c>
      <c r="BG37" s="33">
        <v>1</v>
      </c>
      <c r="BH37" s="30">
        <v>81</v>
      </c>
      <c r="BI37" s="30">
        <v>81</v>
      </c>
      <c r="BJ37" s="35">
        <v>1</v>
      </c>
    </row>
    <row r="38" spans="1:62" x14ac:dyDescent="0.25">
      <c r="A38" s="15"/>
      <c r="B38" s="16"/>
      <c r="C38" s="16" t="s">
        <v>85</v>
      </c>
      <c r="D38" s="16"/>
      <c r="E38" s="17"/>
      <c r="F38" s="18">
        <v>63</v>
      </c>
      <c r="G38" s="15">
        <v>49</v>
      </c>
      <c r="H38" s="16">
        <v>0</v>
      </c>
      <c r="I38" s="16">
        <v>0</v>
      </c>
      <c r="J38" s="17">
        <v>49</v>
      </c>
      <c r="K38" s="15">
        <v>0</v>
      </c>
      <c r="L38" s="16">
        <v>8</v>
      </c>
      <c r="M38" s="16">
        <v>0</v>
      </c>
      <c r="N38" s="16">
        <v>1</v>
      </c>
      <c r="O38" s="16">
        <v>2</v>
      </c>
      <c r="P38" s="16">
        <v>0</v>
      </c>
      <c r="Q38" s="16">
        <v>0</v>
      </c>
      <c r="R38" s="17">
        <v>3</v>
      </c>
      <c r="S38" s="18">
        <v>11</v>
      </c>
      <c r="T38" s="15"/>
      <c r="U38" s="16"/>
      <c r="V38" s="16"/>
      <c r="W38" s="16"/>
      <c r="X38" s="17"/>
      <c r="Y38" s="15">
        <v>19</v>
      </c>
      <c r="Z38" s="17">
        <v>15</v>
      </c>
      <c r="AA38" s="15">
        <v>31</v>
      </c>
      <c r="AB38" s="17">
        <v>31</v>
      </c>
      <c r="AC38" s="15">
        <v>34</v>
      </c>
      <c r="AD38" s="17">
        <v>28</v>
      </c>
      <c r="AE38" s="15">
        <v>27</v>
      </c>
      <c r="AF38" s="16">
        <v>12</v>
      </c>
      <c r="AG38" s="17">
        <v>36</v>
      </c>
      <c r="AH38" s="19">
        <v>0.63157894736842102</v>
      </c>
      <c r="AI38" s="19">
        <v>0.78947368421052633</v>
      </c>
      <c r="AJ38" s="19">
        <v>9.6774193548387094E-2</v>
      </c>
      <c r="AK38" s="19">
        <v>1.0666666666666667</v>
      </c>
      <c r="AL38" s="19">
        <v>0.8666666666666667</v>
      </c>
      <c r="AM38" s="19">
        <v>-9.6774193548387094E-2</v>
      </c>
      <c r="AN38" s="20">
        <v>0.69387755102040816</v>
      </c>
      <c r="AO38" s="19">
        <v>0.5714285714285714</v>
      </c>
      <c r="AP38" s="19">
        <v>0.24489795918367346</v>
      </c>
      <c r="AQ38" s="19">
        <v>0.73469387755102045</v>
      </c>
      <c r="AR38" s="19">
        <v>5.7692307692307696E-2</v>
      </c>
      <c r="AS38" s="133">
        <v>0.22448979591836735</v>
      </c>
      <c r="AT38" s="21">
        <v>0.22448979591836735</v>
      </c>
      <c r="AU38" s="15">
        <v>14</v>
      </c>
      <c r="AV38" s="16">
        <v>16</v>
      </c>
      <c r="AW38" s="17">
        <v>17</v>
      </c>
      <c r="AX38" s="19">
        <v>0.14285714285714285</v>
      </c>
      <c r="AY38" s="19">
        <v>0.21428571428571427</v>
      </c>
      <c r="AZ38" s="19">
        <v>6.25E-2</v>
      </c>
      <c r="BA38" s="15"/>
      <c r="BB38" s="17"/>
      <c r="BC38" s="15">
        <v>13</v>
      </c>
      <c r="BD38" s="16">
        <v>13</v>
      </c>
      <c r="BE38" s="15">
        <v>34</v>
      </c>
      <c r="BF38" s="16">
        <v>34</v>
      </c>
      <c r="BG38" s="19">
        <v>1</v>
      </c>
      <c r="BH38" s="16">
        <v>17</v>
      </c>
      <c r="BI38" s="16">
        <v>17</v>
      </c>
      <c r="BJ38" s="21">
        <v>1</v>
      </c>
    </row>
    <row r="39" spans="1:62" x14ac:dyDescent="0.25">
      <c r="A39" s="29"/>
      <c r="B39" s="30"/>
      <c r="C39" s="30"/>
      <c r="D39" s="30"/>
      <c r="E39" s="31" t="s">
        <v>68</v>
      </c>
      <c r="F39" s="32">
        <v>63</v>
      </c>
      <c r="G39" s="29">
        <v>49</v>
      </c>
      <c r="H39" s="30">
        <v>0</v>
      </c>
      <c r="I39" s="30">
        <v>0</v>
      </c>
      <c r="J39" s="31">
        <v>49</v>
      </c>
      <c r="K39" s="29">
        <v>0</v>
      </c>
      <c r="L39" s="30">
        <v>8</v>
      </c>
      <c r="M39" s="30">
        <v>0</v>
      </c>
      <c r="N39" s="30">
        <v>1</v>
      </c>
      <c r="O39" s="30">
        <v>2</v>
      </c>
      <c r="P39" s="30">
        <v>0</v>
      </c>
      <c r="Q39" s="30">
        <v>0</v>
      </c>
      <c r="R39" s="31">
        <v>3</v>
      </c>
      <c r="S39" s="32">
        <v>11</v>
      </c>
      <c r="T39" s="29"/>
      <c r="U39" s="30"/>
      <c r="V39" s="30"/>
      <c r="W39" s="30"/>
      <c r="X39" s="31"/>
      <c r="Y39" s="29">
        <v>19</v>
      </c>
      <c r="Z39" s="31">
        <v>15</v>
      </c>
      <c r="AA39" s="29">
        <v>31</v>
      </c>
      <c r="AB39" s="31">
        <v>31</v>
      </c>
      <c r="AC39" s="29">
        <v>34</v>
      </c>
      <c r="AD39" s="31">
        <v>28</v>
      </c>
      <c r="AE39" s="29">
        <v>27</v>
      </c>
      <c r="AF39" s="30">
        <v>12</v>
      </c>
      <c r="AG39" s="31">
        <v>36</v>
      </c>
      <c r="AH39" s="33">
        <v>0.63157894736842102</v>
      </c>
      <c r="AI39" s="33">
        <v>0.78947368421052633</v>
      </c>
      <c r="AJ39" s="33">
        <v>9.6774193548387094E-2</v>
      </c>
      <c r="AK39" s="33">
        <v>1.0666666666666667</v>
      </c>
      <c r="AL39" s="33">
        <v>0.8666666666666667</v>
      </c>
      <c r="AM39" s="33">
        <v>-9.6774193548387094E-2</v>
      </c>
      <c r="AN39" s="34">
        <v>0.69387755102040816</v>
      </c>
      <c r="AO39" s="33">
        <v>0.5714285714285714</v>
      </c>
      <c r="AP39" s="33">
        <v>0.24489795918367346</v>
      </c>
      <c r="AQ39" s="33">
        <v>0.73469387755102045</v>
      </c>
      <c r="AR39" s="33">
        <v>5.7692307692307696E-2</v>
      </c>
      <c r="AS39" s="136">
        <v>0.22448979591836735</v>
      </c>
      <c r="AT39" s="35">
        <v>0.22448979591836735</v>
      </c>
      <c r="AU39" s="29">
        <v>14</v>
      </c>
      <c r="AV39" s="30">
        <v>16</v>
      </c>
      <c r="AW39" s="31">
        <v>17</v>
      </c>
      <c r="AX39" s="33">
        <v>0.14285714285714285</v>
      </c>
      <c r="AY39" s="33">
        <v>0.21428571428571427</v>
      </c>
      <c r="AZ39" s="33">
        <v>6.25E-2</v>
      </c>
      <c r="BA39" s="29"/>
      <c r="BB39" s="31"/>
      <c r="BC39" s="29">
        <v>13</v>
      </c>
      <c r="BD39" s="30">
        <v>13</v>
      </c>
      <c r="BE39" s="29">
        <v>34</v>
      </c>
      <c r="BF39" s="30">
        <v>34</v>
      </c>
      <c r="BG39" s="33">
        <v>1</v>
      </c>
      <c r="BH39" s="30">
        <v>17</v>
      </c>
      <c r="BI39" s="30">
        <v>17</v>
      </c>
      <c r="BJ39" s="35">
        <v>1</v>
      </c>
    </row>
    <row r="40" spans="1:62" x14ac:dyDescent="0.25">
      <c r="A40" s="15"/>
      <c r="B40" s="16"/>
      <c r="C40" s="16" t="s">
        <v>86</v>
      </c>
      <c r="D40" s="16"/>
      <c r="E40" s="17"/>
      <c r="F40" s="18">
        <v>60</v>
      </c>
      <c r="G40" s="15">
        <v>58</v>
      </c>
      <c r="H40" s="16">
        <v>0</v>
      </c>
      <c r="I40" s="16">
        <v>0</v>
      </c>
      <c r="J40" s="17">
        <v>58</v>
      </c>
      <c r="K40" s="15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7">
        <v>2</v>
      </c>
      <c r="S40" s="18">
        <v>0</v>
      </c>
      <c r="T40" s="15"/>
      <c r="U40" s="16"/>
      <c r="V40" s="16"/>
      <c r="W40" s="16"/>
      <c r="X40" s="17"/>
      <c r="Y40" s="15">
        <v>26</v>
      </c>
      <c r="Z40" s="17">
        <v>15</v>
      </c>
      <c r="AA40" s="15">
        <v>65</v>
      </c>
      <c r="AB40" s="17">
        <v>45</v>
      </c>
      <c r="AC40" s="15">
        <v>79</v>
      </c>
      <c r="AD40" s="17">
        <v>37</v>
      </c>
      <c r="AE40" s="15">
        <v>23</v>
      </c>
      <c r="AF40" s="16">
        <v>9</v>
      </c>
      <c r="AG40" s="17">
        <v>31</v>
      </c>
      <c r="AH40" s="19">
        <v>1.5</v>
      </c>
      <c r="AI40" s="19">
        <v>2.0384615384615383</v>
      </c>
      <c r="AJ40" s="19">
        <v>0.2153846153846154</v>
      </c>
      <c r="AK40" s="19">
        <v>2</v>
      </c>
      <c r="AL40" s="19">
        <v>1.4666666666666666</v>
      </c>
      <c r="AM40" s="19">
        <v>-0.17777777777777778</v>
      </c>
      <c r="AN40" s="20">
        <v>1.3620689655172413</v>
      </c>
      <c r="AO40" s="19">
        <v>0.63793103448275867</v>
      </c>
      <c r="AP40" s="19">
        <v>0.15517241379310345</v>
      </c>
      <c r="AQ40" s="19">
        <v>0.53448275862068961</v>
      </c>
      <c r="AR40" s="19">
        <v>3.3333333333333333E-2</v>
      </c>
      <c r="AS40" s="133">
        <v>0</v>
      </c>
      <c r="AT40" s="21">
        <v>0</v>
      </c>
      <c r="AU40" s="15">
        <v>13</v>
      </c>
      <c r="AV40" s="16">
        <v>27</v>
      </c>
      <c r="AW40" s="17">
        <v>26</v>
      </c>
      <c r="AX40" s="19">
        <v>1.0769230769230769</v>
      </c>
      <c r="AY40" s="19">
        <v>1</v>
      </c>
      <c r="AZ40" s="19">
        <v>-3.7037037037037035E-2</v>
      </c>
      <c r="BA40" s="15"/>
      <c r="BB40" s="17"/>
      <c r="BC40" s="15">
        <v>1</v>
      </c>
      <c r="BD40" s="16">
        <v>4</v>
      </c>
      <c r="BE40" s="15">
        <v>79</v>
      </c>
      <c r="BF40" s="16">
        <v>79</v>
      </c>
      <c r="BG40" s="19">
        <v>1</v>
      </c>
      <c r="BH40" s="16">
        <v>26</v>
      </c>
      <c r="BI40" s="16">
        <v>26</v>
      </c>
      <c r="BJ40" s="21">
        <v>1</v>
      </c>
    </row>
    <row r="41" spans="1:62" x14ac:dyDescent="0.25">
      <c r="A41" s="29"/>
      <c r="B41" s="30"/>
      <c r="C41" s="30"/>
      <c r="D41" s="30"/>
      <c r="E41" s="31" t="s">
        <v>68</v>
      </c>
      <c r="F41" s="32">
        <v>60</v>
      </c>
      <c r="G41" s="29">
        <v>58</v>
      </c>
      <c r="H41" s="30">
        <v>0</v>
      </c>
      <c r="I41" s="30">
        <v>0</v>
      </c>
      <c r="J41" s="31">
        <v>58</v>
      </c>
      <c r="K41" s="29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1">
        <v>2</v>
      </c>
      <c r="S41" s="32">
        <v>0</v>
      </c>
      <c r="T41" s="29"/>
      <c r="U41" s="30"/>
      <c r="V41" s="30"/>
      <c r="W41" s="30"/>
      <c r="X41" s="31"/>
      <c r="Y41" s="29">
        <v>26</v>
      </c>
      <c r="Z41" s="31">
        <v>15</v>
      </c>
      <c r="AA41" s="29">
        <v>65</v>
      </c>
      <c r="AB41" s="31">
        <v>45</v>
      </c>
      <c r="AC41" s="29">
        <v>79</v>
      </c>
      <c r="AD41" s="31">
        <v>37</v>
      </c>
      <c r="AE41" s="29">
        <v>23</v>
      </c>
      <c r="AF41" s="30">
        <v>9</v>
      </c>
      <c r="AG41" s="31">
        <v>31</v>
      </c>
      <c r="AH41" s="33">
        <v>1.5</v>
      </c>
      <c r="AI41" s="33">
        <v>2.0384615384615383</v>
      </c>
      <c r="AJ41" s="33">
        <v>0.2153846153846154</v>
      </c>
      <c r="AK41" s="33">
        <v>2</v>
      </c>
      <c r="AL41" s="33">
        <v>1.4666666666666666</v>
      </c>
      <c r="AM41" s="33">
        <v>-0.17777777777777778</v>
      </c>
      <c r="AN41" s="34">
        <v>1.3620689655172413</v>
      </c>
      <c r="AO41" s="33">
        <v>0.63793103448275867</v>
      </c>
      <c r="AP41" s="33">
        <v>0.15517241379310345</v>
      </c>
      <c r="AQ41" s="33">
        <v>0.53448275862068961</v>
      </c>
      <c r="AR41" s="33">
        <v>3.3333333333333333E-2</v>
      </c>
      <c r="AS41" s="136">
        <v>0</v>
      </c>
      <c r="AT41" s="35">
        <v>0</v>
      </c>
      <c r="AU41" s="29">
        <v>13</v>
      </c>
      <c r="AV41" s="30">
        <v>27</v>
      </c>
      <c r="AW41" s="31">
        <v>26</v>
      </c>
      <c r="AX41" s="33">
        <v>1.0769230769230769</v>
      </c>
      <c r="AY41" s="33">
        <v>1</v>
      </c>
      <c r="AZ41" s="33">
        <v>-3.7037037037037035E-2</v>
      </c>
      <c r="BA41" s="29"/>
      <c r="BB41" s="31"/>
      <c r="BC41" s="29">
        <v>1</v>
      </c>
      <c r="BD41" s="30">
        <v>4</v>
      </c>
      <c r="BE41" s="29">
        <v>79</v>
      </c>
      <c r="BF41" s="30">
        <v>79</v>
      </c>
      <c r="BG41" s="33">
        <v>1</v>
      </c>
      <c r="BH41" s="30">
        <v>26</v>
      </c>
      <c r="BI41" s="30">
        <v>26</v>
      </c>
      <c r="BJ41" s="35">
        <v>1</v>
      </c>
    </row>
    <row r="42" spans="1:62" x14ac:dyDescent="0.25">
      <c r="A42" s="15"/>
      <c r="B42" s="16"/>
      <c r="C42" s="16" t="s">
        <v>87</v>
      </c>
      <c r="D42" s="16"/>
      <c r="E42" s="17"/>
      <c r="F42" s="18">
        <v>356</v>
      </c>
      <c r="G42" s="15">
        <v>350</v>
      </c>
      <c r="H42" s="16">
        <v>0</v>
      </c>
      <c r="I42" s="16">
        <v>0</v>
      </c>
      <c r="J42" s="17">
        <v>350</v>
      </c>
      <c r="K42" s="15">
        <v>0</v>
      </c>
      <c r="L42" s="16">
        <v>1</v>
      </c>
      <c r="M42" s="16">
        <v>0</v>
      </c>
      <c r="N42" s="16">
        <v>2</v>
      </c>
      <c r="O42" s="16">
        <v>0</v>
      </c>
      <c r="P42" s="16">
        <v>0</v>
      </c>
      <c r="Q42" s="16">
        <v>0</v>
      </c>
      <c r="R42" s="17">
        <v>3</v>
      </c>
      <c r="S42" s="18">
        <v>3</v>
      </c>
      <c r="T42" s="15">
        <v>7</v>
      </c>
      <c r="U42" s="16">
        <v>0</v>
      </c>
      <c r="V42" s="16">
        <v>0</v>
      </c>
      <c r="W42" s="16">
        <v>0</v>
      </c>
      <c r="X42" s="17">
        <v>7</v>
      </c>
      <c r="Y42" s="15">
        <v>398</v>
      </c>
      <c r="Z42" s="17">
        <v>185</v>
      </c>
      <c r="AA42" s="15">
        <v>276</v>
      </c>
      <c r="AB42" s="17">
        <v>105</v>
      </c>
      <c r="AC42" s="15">
        <v>381</v>
      </c>
      <c r="AD42" s="17">
        <v>128</v>
      </c>
      <c r="AE42" s="15">
        <v>231</v>
      </c>
      <c r="AF42" s="16">
        <v>187</v>
      </c>
      <c r="AG42" s="17">
        <v>93</v>
      </c>
      <c r="AH42" s="19">
        <v>-0.30653266331658291</v>
      </c>
      <c r="AI42" s="19">
        <v>-4.2713567839195977E-2</v>
      </c>
      <c r="AJ42" s="19">
        <v>0.38043478260869568</v>
      </c>
      <c r="AK42" s="19">
        <v>-0.43243243243243246</v>
      </c>
      <c r="AL42" s="19">
        <v>-0.30810810810810813</v>
      </c>
      <c r="AM42" s="19">
        <v>0.21904761904761905</v>
      </c>
      <c r="AN42" s="20">
        <v>1.0885714285714285</v>
      </c>
      <c r="AO42" s="19">
        <v>0.36571428571428571</v>
      </c>
      <c r="AP42" s="19">
        <v>0.53428571428571425</v>
      </c>
      <c r="AQ42" s="19">
        <v>0.26571428571428574</v>
      </c>
      <c r="AR42" s="19">
        <v>8.4985835694051E-3</v>
      </c>
      <c r="AS42" s="133">
        <v>8.5714285714285719E-3</v>
      </c>
      <c r="AT42" s="21">
        <v>-1.1428571428571429E-2</v>
      </c>
      <c r="AU42" s="15">
        <v>73</v>
      </c>
      <c r="AV42" s="16">
        <v>62</v>
      </c>
      <c r="AW42" s="17">
        <v>74</v>
      </c>
      <c r="AX42" s="19">
        <v>-0.15068493150684931</v>
      </c>
      <c r="AY42" s="19">
        <v>1.3698630136986301E-2</v>
      </c>
      <c r="AZ42" s="19">
        <v>0.19354838709677419</v>
      </c>
      <c r="BA42" s="15"/>
      <c r="BB42" s="17"/>
      <c r="BC42" s="15">
        <v>2</v>
      </c>
      <c r="BD42" s="16">
        <v>1.5</v>
      </c>
      <c r="BE42" s="15">
        <v>381</v>
      </c>
      <c r="BF42" s="16">
        <v>381</v>
      </c>
      <c r="BG42" s="19">
        <v>1</v>
      </c>
      <c r="BH42" s="16">
        <v>74</v>
      </c>
      <c r="BI42" s="16">
        <v>74</v>
      </c>
      <c r="BJ42" s="21">
        <v>1</v>
      </c>
    </row>
    <row r="43" spans="1:62" x14ac:dyDescent="0.25">
      <c r="A43" s="29"/>
      <c r="B43" s="30"/>
      <c r="C43" s="30"/>
      <c r="D43" s="30"/>
      <c r="E43" s="31" t="s">
        <v>68</v>
      </c>
      <c r="F43" s="32">
        <v>356</v>
      </c>
      <c r="G43" s="29">
        <v>350</v>
      </c>
      <c r="H43" s="30">
        <v>0</v>
      </c>
      <c r="I43" s="30">
        <v>0</v>
      </c>
      <c r="J43" s="31">
        <v>350</v>
      </c>
      <c r="K43" s="29">
        <v>0</v>
      </c>
      <c r="L43" s="30">
        <v>1</v>
      </c>
      <c r="M43" s="30">
        <v>0</v>
      </c>
      <c r="N43" s="30">
        <v>2</v>
      </c>
      <c r="O43" s="30">
        <v>0</v>
      </c>
      <c r="P43" s="30">
        <v>0</v>
      </c>
      <c r="Q43" s="30">
        <v>0</v>
      </c>
      <c r="R43" s="31">
        <v>3</v>
      </c>
      <c r="S43" s="32">
        <v>3</v>
      </c>
      <c r="T43" s="29">
        <v>7</v>
      </c>
      <c r="U43" s="30">
        <v>0</v>
      </c>
      <c r="V43" s="30">
        <v>0</v>
      </c>
      <c r="W43" s="30">
        <v>0</v>
      </c>
      <c r="X43" s="31">
        <v>7</v>
      </c>
      <c r="Y43" s="29">
        <v>398</v>
      </c>
      <c r="Z43" s="31">
        <v>185</v>
      </c>
      <c r="AA43" s="29">
        <v>276</v>
      </c>
      <c r="AB43" s="31">
        <v>105</v>
      </c>
      <c r="AC43" s="29">
        <v>381</v>
      </c>
      <c r="AD43" s="31">
        <v>128</v>
      </c>
      <c r="AE43" s="29">
        <v>231</v>
      </c>
      <c r="AF43" s="30">
        <v>187</v>
      </c>
      <c r="AG43" s="31">
        <v>93</v>
      </c>
      <c r="AH43" s="33">
        <v>-0.30653266331658291</v>
      </c>
      <c r="AI43" s="33">
        <v>-4.2713567839195977E-2</v>
      </c>
      <c r="AJ43" s="33">
        <v>0.38043478260869568</v>
      </c>
      <c r="AK43" s="33">
        <v>-0.43243243243243246</v>
      </c>
      <c r="AL43" s="33">
        <v>-0.30810810810810813</v>
      </c>
      <c r="AM43" s="33">
        <v>0.21904761904761905</v>
      </c>
      <c r="AN43" s="34">
        <v>1.0885714285714285</v>
      </c>
      <c r="AO43" s="33">
        <v>0.36571428571428571</v>
      </c>
      <c r="AP43" s="33">
        <v>0.53428571428571425</v>
      </c>
      <c r="AQ43" s="33">
        <v>0.26571428571428574</v>
      </c>
      <c r="AR43" s="33">
        <v>8.4985835694051E-3</v>
      </c>
      <c r="AS43" s="136">
        <v>8.5714285714285719E-3</v>
      </c>
      <c r="AT43" s="35">
        <v>-1.1428571428571429E-2</v>
      </c>
      <c r="AU43" s="29">
        <v>73</v>
      </c>
      <c r="AV43" s="30">
        <v>62</v>
      </c>
      <c r="AW43" s="31">
        <v>74</v>
      </c>
      <c r="AX43" s="33">
        <v>-0.15068493150684931</v>
      </c>
      <c r="AY43" s="33">
        <v>1.3698630136986301E-2</v>
      </c>
      <c r="AZ43" s="33">
        <v>0.19354838709677419</v>
      </c>
      <c r="BA43" s="29"/>
      <c r="BB43" s="31"/>
      <c r="BC43" s="29">
        <v>2</v>
      </c>
      <c r="BD43" s="30">
        <v>1.5</v>
      </c>
      <c r="BE43" s="29">
        <v>381</v>
      </c>
      <c r="BF43" s="30">
        <v>381</v>
      </c>
      <c r="BG43" s="33">
        <v>1</v>
      </c>
      <c r="BH43" s="30">
        <v>74</v>
      </c>
      <c r="BI43" s="30">
        <v>74</v>
      </c>
      <c r="BJ43" s="35">
        <v>1</v>
      </c>
    </row>
    <row r="44" spans="1:62" x14ac:dyDescent="0.25">
      <c r="A44" s="15"/>
      <c r="B44" s="16"/>
      <c r="C44" s="16" t="s">
        <v>88</v>
      </c>
      <c r="D44" s="16"/>
      <c r="E44" s="17"/>
      <c r="F44" s="18">
        <v>429</v>
      </c>
      <c r="G44" s="15">
        <v>134</v>
      </c>
      <c r="H44" s="16">
        <v>280</v>
      </c>
      <c r="I44" s="16">
        <v>0</v>
      </c>
      <c r="J44" s="17">
        <v>414</v>
      </c>
      <c r="K44" s="15">
        <v>0</v>
      </c>
      <c r="L44" s="16">
        <v>0</v>
      </c>
      <c r="M44" s="16">
        <v>0</v>
      </c>
      <c r="N44" s="16">
        <v>0</v>
      </c>
      <c r="O44" s="16">
        <v>12</v>
      </c>
      <c r="P44" s="16">
        <v>0</v>
      </c>
      <c r="Q44" s="16">
        <v>0</v>
      </c>
      <c r="R44" s="17">
        <v>3</v>
      </c>
      <c r="S44" s="18">
        <v>0</v>
      </c>
      <c r="T44" s="15"/>
      <c r="U44" s="16"/>
      <c r="V44" s="16"/>
      <c r="W44" s="16"/>
      <c r="X44" s="17"/>
      <c r="Y44" s="15">
        <v>88</v>
      </c>
      <c r="Z44" s="17">
        <v>85</v>
      </c>
      <c r="AA44" s="15">
        <v>80</v>
      </c>
      <c r="AB44" s="17">
        <v>80</v>
      </c>
      <c r="AC44" s="15">
        <v>80</v>
      </c>
      <c r="AD44" s="17">
        <v>80</v>
      </c>
      <c r="AE44" s="15">
        <v>69</v>
      </c>
      <c r="AF44" s="16">
        <v>48</v>
      </c>
      <c r="AG44" s="17">
        <v>83</v>
      </c>
      <c r="AH44" s="19">
        <v>-9.0909090909090912E-2</v>
      </c>
      <c r="AI44" s="19">
        <v>-9.0909090909090912E-2</v>
      </c>
      <c r="AJ44" s="19">
        <v>0</v>
      </c>
      <c r="AK44" s="19">
        <v>-5.8823529411764705E-2</v>
      </c>
      <c r="AL44" s="19">
        <v>-5.8823529411764705E-2</v>
      </c>
      <c r="AM44" s="19">
        <v>0</v>
      </c>
      <c r="AN44" s="20">
        <v>0.59701492537313428</v>
      </c>
      <c r="AO44" s="19">
        <v>0.59701492537313428</v>
      </c>
      <c r="AP44" s="19">
        <v>0.35820895522388058</v>
      </c>
      <c r="AQ44" s="19">
        <v>0.61940298507462688</v>
      </c>
      <c r="AR44" s="19">
        <v>2.1897810218978103E-2</v>
      </c>
      <c r="AS44" s="133">
        <v>0</v>
      </c>
      <c r="AT44" s="21">
        <v>0</v>
      </c>
      <c r="AU44" s="15">
        <v>14</v>
      </c>
      <c r="AV44" s="16">
        <v>4</v>
      </c>
      <c r="AW44" s="17">
        <v>4</v>
      </c>
      <c r="AX44" s="19">
        <v>-0.7142857142857143</v>
      </c>
      <c r="AY44" s="19">
        <v>-0.7142857142857143</v>
      </c>
      <c r="AZ44" s="19">
        <v>0</v>
      </c>
      <c r="BA44" s="15"/>
      <c r="BB44" s="17"/>
      <c r="BC44" s="15">
        <v>0</v>
      </c>
      <c r="BD44" s="16">
        <v>0</v>
      </c>
      <c r="BE44" s="15">
        <v>80</v>
      </c>
      <c r="BF44" s="16">
        <v>80</v>
      </c>
      <c r="BG44" s="19">
        <v>1</v>
      </c>
      <c r="BH44" s="16">
        <v>4</v>
      </c>
      <c r="BI44" s="16">
        <v>4</v>
      </c>
      <c r="BJ44" s="21">
        <v>1</v>
      </c>
    </row>
    <row r="45" spans="1:62" x14ac:dyDescent="0.25">
      <c r="A45" s="29"/>
      <c r="B45" s="30"/>
      <c r="C45" s="30"/>
      <c r="D45" s="30"/>
      <c r="E45" s="31" t="s">
        <v>68</v>
      </c>
      <c r="F45" s="32">
        <v>429</v>
      </c>
      <c r="G45" s="29">
        <v>134</v>
      </c>
      <c r="H45" s="30">
        <v>280</v>
      </c>
      <c r="I45" s="30">
        <v>0</v>
      </c>
      <c r="J45" s="31">
        <v>414</v>
      </c>
      <c r="K45" s="29">
        <v>0</v>
      </c>
      <c r="L45" s="30">
        <v>0</v>
      </c>
      <c r="M45" s="30">
        <v>0</v>
      </c>
      <c r="N45" s="30">
        <v>0</v>
      </c>
      <c r="O45" s="30">
        <v>12</v>
      </c>
      <c r="P45" s="30">
        <v>0</v>
      </c>
      <c r="Q45" s="30">
        <v>0</v>
      </c>
      <c r="R45" s="31">
        <v>3</v>
      </c>
      <c r="S45" s="32">
        <v>0</v>
      </c>
      <c r="T45" s="29"/>
      <c r="U45" s="30"/>
      <c r="V45" s="30"/>
      <c r="W45" s="30"/>
      <c r="X45" s="31"/>
      <c r="Y45" s="29">
        <v>88</v>
      </c>
      <c r="Z45" s="31">
        <v>85</v>
      </c>
      <c r="AA45" s="29">
        <v>80</v>
      </c>
      <c r="AB45" s="31">
        <v>80</v>
      </c>
      <c r="AC45" s="29">
        <v>80</v>
      </c>
      <c r="AD45" s="31">
        <v>80</v>
      </c>
      <c r="AE45" s="29">
        <v>69</v>
      </c>
      <c r="AF45" s="30">
        <v>48</v>
      </c>
      <c r="AG45" s="31">
        <v>83</v>
      </c>
      <c r="AH45" s="33">
        <v>-9.0909090909090912E-2</v>
      </c>
      <c r="AI45" s="33">
        <v>-9.0909090909090912E-2</v>
      </c>
      <c r="AJ45" s="33">
        <v>0</v>
      </c>
      <c r="AK45" s="33">
        <v>-5.8823529411764705E-2</v>
      </c>
      <c r="AL45" s="33">
        <v>-5.8823529411764705E-2</v>
      </c>
      <c r="AM45" s="33">
        <v>0</v>
      </c>
      <c r="AN45" s="34">
        <v>0.59701492537313428</v>
      </c>
      <c r="AO45" s="33">
        <v>0.59701492537313428</v>
      </c>
      <c r="AP45" s="33">
        <v>0.35820895522388058</v>
      </c>
      <c r="AQ45" s="33">
        <v>0.61940298507462688</v>
      </c>
      <c r="AR45" s="33">
        <v>2.1897810218978103E-2</v>
      </c>
      <c r="AS45" s="136">
        <v>0</v>
      </c>
      <c r="AT45" s="35">
        <v>0</v>
      </c>
      <c r="AU45" s="29">
        <v>14</v>
      </c>
      <c r="AV45" s="30">
        <v>4</v>
      </c>
      <c r="AW45" s="31">
        <v>4</v>
      </c>
      <c r="AX45" s="33">
        <v>-0.7142857142857143</v>
      </c>
      <c r="AY45" s="33">
        <v>-0.7142857142857143</v>
      </c>
      <c r="AZ45" s="33">
        <v>0</v>
      </c>
      <c r="BA45" s="29"/>
      <c r="BB45" s="31"/>
      <c r="BC45" s="29">
        <v>0</v>
      </c>
      <c r="BD45" s="30">
        <v>0</v>
      </c>
      <c r="BE45" s="29">
        <v>80</v>
      </c>
      <c r="BF45" s="30">
        <v>80</v>
      </c>
      <c r="BG45" s="33">
        <v>1</v>
      </c>
      <c r="BH45" s="30">
        <v>4</v>
      </c>
      <c r="BI45" s="30">
        <v>4</v>
      </c>
      <c r="BJ45" s="35">
        <v>1</v>
      </c>
    </row>
    <row r="46" spans="1:62" x14ac:dyDescent="0.25">
      <c r="A46" s="15"/>
      <c r="B46" s="16"/>
      <c r="C46" s="16" t="s">
        <v>89</v>
      </c>
      <c r="D46" s="16"/>
      <c r="E46" s="17"/>
      <c r="F46" s="18">
        <v>79</v>
      </c>
      <c r="G46" s="15">
        <v>67</v>
      </c>
      <c r="H46" s="16">
        <v>0</v>
      </c>
      <c r="I46" s="16">
        <v>0</v>
      </c>
      <c r="J46" s="17">
        <v>67</v>
      </c>
      <c r="K46" s="15">
        <v>0</v>
      </c>
      <c r="L46" s="16">
        <v>1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7">
        <v>11</v>
      </c>
      <c r="S46" s="18">
        <v>6</v>
      </c>
      <c r="T46" s="15">
        <v>4</v>
      </c>
      <c r="U46" s="16">
        <v>0</v>
      </c>
      <c r="V46" s="16">
        <v>0</v>
      </c>
      <c r="W46" s="16">
        <v>0</v>
      </c>
      <c r="X46" s="17">
        <v>4</v>
      </c>
      <c r="Y46" s="15">
        <v>61</v>
      </c>
      <c r="Z46" s="17">
        <v>44</v>
      </c>
      <c r="AA46" s="15">
        <v>60</v>
      </c>
      <c r="AB46" s="17">
        <v>45</v>
      </c>
      <c r="AC46" s="15">
        <v>50</v>
      </c>
      <c r="AD46" s="17">
        <v>37</v>
      </c>
      <c r="AE46" s="15">
        <v>41</v>
      </c>
      <c r="AF46" s="16">
        <v>6</v>
      </c>
      <c r="AG46" s="17">
        <v>56</v>
      </c>
      <c r="AH46" s="19">
        <v>-1.6393442622950821E-2</v>
      </c>
      <c r="AI46" s="19">
        <v>-0.18032786885245902</v>
      </c>
      <c r="AJ46" s="19">
        <v>-0.16666666666666666</v>
      </c>
      <c r="AK46" s="19">
        <v>2.2727272727272728E-2</v>
      </c>
      <c r="AL46" s="19">
        <v>-0.15909090909090909</v>
      </c>
      <c r="AM46" s="19">
        <v>-0.17777777777777778</v>
      </c>
      <c r="AN46" s="20">
        <v>0.74626865671641796</v>
      </c>
      <c r="AO46" s="19">
        <v>0.55223880597014929</v>
      </c>
      <c r="AP46" s="19">
        <v>8.9552238805970144E-2</v>
      </c>
      <c r="AQ46" s="19">
        <v>0.83582089552238803</v>
      </c>
      <c r="AR46" s="19">
        <v>0.14102564102564102</v>
      </c>
      <c r="AS46" s="133">
        <v>8.9552238805970144E-2</v>
      </c>
      <c r="AT46" s="21">
        <v>2.9850746268656716E-2</v>
      </c>
      <c r="AU46" s="15">
        <v>29</v>
      </c>
      <c r="AV46" s="16">
        <v>23</v>
      </c>
      <c r="AW46" s="17">
        <v>27</v>
      </c>
      <c r="AX46" s="19">
        <v>-0.20689655172413793</v>
      </c>
      <c r="AY46" s="19">
        <v>-6.8965517241379309E-2</v>
      </c>
      <c r="AZ46" s="19">
        <v>0.17391304347826086</v>
      </c>
      <c r="BA46" s="15"/>
      <c r="BB46" s="17"/>
      <c r="BC46" s="15">
        <v>13</v>
      </c>
      <c r="BD46" s="16">
        <v>5</v>
      </c>
      <c r="BE46" s="15">
        <v>50</v>
      </c>
      <c r="BF46" s="16">
        <v>50</v>
      </c>
      <c r="BG46" s="19">
        <v>1</v>
      </c>
      <c r="BH46" s="16">
        <v>27</v>
      </c>
      <c r="BI46" s="16">
        <v>27</v>
      </c>
      <c r="BJ46" s="21">
        <v>1</v>
      </c>
    </row>
    <row r="47" spans="1:62" x14ac:dyDescent="0.25">
      <c r="A47" s="29"/>
      <c r="B47" s="30"/>
      <c r="C47" s="30"/>
      <c r="D47" s="30"/>
      <c r="E47" s="31" t="s">
        <v>68</v>
      </c>
      <c r="F47" s="32">
        <v>79</v>
      </c>
      <c r="G47" s="29">
        <v>67</v>
      </c>
      <c r="H47" s="30">
        <v>0</v>
      </c>
      <c r="I47" s="30">
        <v>0</v>
      </c>
      <c r="J47" s="31">
        <v>67</v>
      </c>
      <c r="K47" s="29">
        <v>0</v>
      </c>
      <c r="L47" s="30">
        <v>1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1">
        <v>11</v>
      </c>
      <c r="S47" s="32">
        <v>6</v>
      </c>
      <c r="T47" s="29">
        <v>4</v>
      </c>
      <c r="U47" s="30">
        <v>0</v>
      </c>
      <c r="V47" s="30">
        <v>0</v>
      </c>
      <c r="W47" s="30">
        <v>0</v>
      </c>
      <c r="X47" s="31">
        <v>4</v>
      </c>
      <c r="Y47" s="29">
        <v>61</v>
      </c>
      <c r="Z47" s="31">
        <v>44</v>
      </c>
      <c r="AA47" s="29">
        <v>60</v>
      </c>
      <c r="AB47" s="31">
        <v>45</v>
      </c>
      <c r="AC47" s="29">
        <v>50</v>
      </c>
      <c r="AD47" s="31">
        <v>37</v>
      </c>
      <c r="AE47" s="29">
        <v>41</v>
      </c>
      <c r="AF47" s="30">
        <v>6</v>
      </c>
      <c r="AG47" s="31">
        <v>56</v>
      </c>
      <c r="AH47" s="33">
        <v>-1.6393442622950821E-2</v>
      </c>
      <c r="AI47" s="33">
        <v>-0.18032786885245902</v>
      </c>
      <c r="AJ47" s="33">
        <v>-0.16666666666666666</v>
      </c>
      <c r="AK47" s="33">
        <v>2.2727272727272728E-2</v>
      </c>
      <c r="AL47" s="33">
        <v>-0.15909090909090909</v>
      </c>
      <c r="AM47" s="33">
        <v>-0.17777777777777778</v>
      </c>
      <c r="AN47" s="34">
        <v>0.74626865671641796</v>
      </c>
      <c r="AO47" s="33">
        <v>0.55223880597014929</v>
      </c>
      <c r="AP47" s="33">
        <v>8.9552238805970144E-2</v>
      </c>
      <c r="AQ47" s="33">
        <v>0.83582089552238803</v>
      </c>
      <c r="AR47" s="33">
        <v>0.14102564102564102</v>
      </c>
      <c r="AS47" s="136">
        <v>8.9552238805970144E-2</v>
      </c>
      <c r="AT47" s="35">
        <v>2.9850746268656716E-2</v>
      </c>
      <c r="AU47" s="29">
        <v>29</v>
      </c>
      <c r="AV47" s="30">
        <v>23</v>
      </c>
      <c r="AW47" s="31">
        <v>27</v>
      </c>
      <c r="AX47" s="33">
        <v>-0.20689655172413793</v>
      </c>
      <c r="AY47" s="33">
        <v>-6.8965517241379309E-2</v>
      </c>
      <c r="AZ47" s="33">
        <v>0.17391304347826086</v>
      </c>
      <c r="BA47" s="29"/>
      <c r="BB47" s="31"/>
      <c r="BC47" s="29">
        <v>13</v>
      </c>
      <c r="BD47" s="30">
        <v>5</v>
      </c>
      <c r="BE47" s="29">
        <v>50</v>
      </c>
      <c r="BF47" s="30">
        <v>50</v>
      </c>
      <c r="BG47" s="33">
        <v>1</v>
      </c>
      <c r="BH47" s="30">
        <v>27</v>
      </c>
      <c r="BI47" s="30">
        <v>27</v>
      </c>
      <c r="BJ47" s="35">
        <v>1</v>
      </c>
    </row>
    <row r="48" spans="1:62" x14ac:dyDescent="0.25">
      <c r="A48" s="15"/>
      <c r="B48" s="16"/>
      <c r="C48" s="16" t="s">
        <v>90</v>
      </c>
      <c r="D48" s="16"/>
      <c r="E48" s="17"/>
      <c r="F48" s="18">
        <v>67</v>
      </c>
      <c r="G48" s="15">
        <v>63</v>
      </c>
      <c r="H48" s="16">
        <v>0</v>
      </c>
      <c r="I48" s="16">
        <v>0</v>
      </c>
      <c r="J48" s="17">
        <v>63</v>
      </c>
      <c r="K48" s="15">
        <v>0</v>
      </c>
      <c r="L48" s="16">
        <v>2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7">
        <v>2</v>
      </c>
      <c r="S48" s="18">
        <v>3</v>
      </c>
      <c r="T48" s="15"/>
      <c r="U48" s="16"/>
      <c r="V48" s="16"/>
      <c r="W48" s="16"/>
      <c r="X48" s="17"/>
      <c r="Y48" s="15">
        <v>28</v>
      </c>
      <c r="Z48" s="17">
        <v>16</v>
      </c>
      <c r="AA48" s="15">
        <v>36</v>
      </c>
      <c r="AB48" s="17">
        <v>19</v>
      </c>
      <c r="AC48" s="15">
        <v>39</v>
      </c>
      <c r="AD48" s="17">
        <v>26</v>
      </c>
      <c r="AE48" s="15">
        <v>39</v>
      </c>
      <c r="AF48" s="16">
        <v>35</v>
      </c>
      <c r="AG48" s="17">
        <v>21</v>
      </c>
      <c r="AH48" s="19">
        <v>0.2857142857142857</v>
      </c>
      <c r="AI48" s="19">
        <v>0.39285714285714285</v>
      </c>
      <c r="AJ48" s="19">
        <v>8.3333333333333329E-2</v>
      </c>
      <c r="AK48" s="19">
        <v>0.1875</v>
      </c>
      <c r="AL48" s="19">
        <v>0.625</v>
      </c>
      <c r="AM48" s="19">
        <v>0.36842105263157893</v>
      </c>
      <c r="AN48" s="20">
        <v>0.61904761904761907</v>
      </c>
      <c r="AO48" s="19">
        <v>0.41269841269841268</v>
      </c>
      <c r="AP48" s="19">
        <v>0.55555555555555558</v>
      </c>
      <c r="AQ48" s="19">
        <v>0.33333333333333331</v>
      </c>
      <c r="AR48" s="19">
        <v>3.0769230769230771E-2</v>
      </c>
      <c r="AS48" s="133">
        <v>4.7619047619047616E-2</v>
      </c>
      <c r="AT48" s="21">
        <v>4.7619047619047616E-2</v>
      </c>
      <c r="AU48" s="15">
        <v>12</v>
      </c>
      <c r="AV48" s="16">
        <v>21</v>
      </c>
      <c r="AW48" s="17">
        <v>24</v>
      </c>
      <c r="AX48" s="19">
        <v>0.75</v>
      </c>
      <c r="AY48" s="19">
        <v>1</v>
      </c>
      <c r="AZ48" s="19">
        <v>0.14285714285714285</v>
      </c>
      <c r="BA48" s="15"/>
      <c r="BB48" s="17"/>
      <c r="BC48" s="15">
        <v>1</v>
      </c>
      <c r="BD48" s="16">
        <v>2</v>
      </c>
      <c r="BE48" s="15">
        <v>39</v>
      </c>
      <c r="BF48" s="16">
        <v>39</v>
      </c>
      <c r="BG48" s="19">
        <v>1</v>
      </c>
      <c r="BH48" s="16">
        <v>24</v>
      </c>
      <c r="BI48" s="16">
        <v>24</v>
      </c>
      <c r="BJ48" s="21">
        <v>1</v>
      </c>
    </row>
    <row r="49" spans="1:62" x14ac:dyDescent="0.25">
      <c r="A49" s="29"/>
      <c r="B49" s="30"/>
      <c r="C49" s="30"/>
      <c r="D49" s="30"/>
      <c r="E49" s="31" t="s">
        <v>68</v>
      </c>
      <c r="F49" s="32">
        <v>67</v>
      </c>
      <c r="G49" s="29">
        <v>63</v>
      </c>
      <c r="H49" s="30">
        <v>0</v>
      </c>
      <c r="I49" s="30">
        <v>0</v>
      </c>
      <c r="J49" s="31">
        <v>63</v>
      </c>
      <c r="K49" s="29">
        <v>0</v>
      </c>
      <c r="L49" s="30">
        <v>2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1">
        <v>2</v>
      </c>
      <c r="S49" s="32">
        <v>3</v>
      </c>
      <c r="T49" s="29"/>
      <c r="U49" s="30"/>
      <c r="V49" s="30"/>
      <c r="W49" s="30"/>
      <c r="X49" s="31"/>
      <c r="Y49" s="29">
        <v>28</v>
      </c>
      <c r="Z49" s="31">
        <v>16</v>
      </c>
      <c r="AA49" s="29">
        <v>36</v>
      </c>
      <c r="AB49" s="31">
        <v>19</v>
      </c>
      <c r="AC49" s="29">
        <v>39</v>
      </c>
      <c r="AD49" s="31">
        <v>26</v>
      </c>
      <c r="AE49" s="29">
        <v>39</v>
      </c>
      <c r="AF49" s="30">
        <v>35</v>
      </c>
      <c r="AG49" s="31">
        <v>21</v>
      </c>
      <c r="AH49" s="33">
        <v>0.2857142857142857</v>
      </c>
      <c r="AI49" s="33">
        <v>0.39285714285714285</v>
      </c>
      <c r="AJ49" s="33">
        <v>8.3333333333333329E-2</v>
      </c>
      <c r="AK49" s="33">
        <v>0.1875</v>
      </c>
      <c r="AL49" s="33">
        <v>0.625</v>
      </c>
      <c r="AM49" s="33">
        <v>0.36842105263157893</v>
      </c>
      <c r="AN49" s="34">
        <v>0.61904761904761907</v>
      </c>
      <c r="AO49" s="33">
        <v>0.41269841269841268</v>
      </c>
      <c r="AP49" s="33">
        <v>0.55555555555555558</v>
      </c>
      <c r="AQ49" s="33">
        <v>0.33333333333333331</v>
      </c>
      <c r="AR49" s="33">
        <v>3.0769230769230771E-2</v>
      </c>
      <c r="AS49" s="136">
        <v>4.7619047619047616E-2</v>
      </c>
      <c r="AT49" s="35">
        <v>4.7619047619047616E-2</v>
      </c>
      <c r="AU49" s="29">
        <v>12</v>
      </c>
      <c r="AV49" s="30">
        <v>21</v>
      </c>
      <c r="AW49" s="31">
        <v>24</v>
      </c>
      <c r="AX49" s="33">
        <v>0.75</v>
      </c>
      <c r="AY49" s="33">
        <v>1</v>
      </c>
      <c r="AZ49" s="33">
        <v>0.14285714285714285</v>
      </c>
      <c r="BA49" s="29"/>
      <c r="BB49" s="31"/>
      <c r="BC49" s="29">
        <v>1</v>
      </c>
      <c r="BD49" s="30">
        <v>2</v>
      </c>
      <c r="BE49" s="29">
        <v>39</v>
      </c>
      <c r="BF49" s="30">
        <v>39</v>
      </c>
      <c r="BG49" s="33">
        <v>1</v>
      </c>
      <c r="BH49" s="30">
        <v>24</v>
      </c>
      <c r="BI49" s="30">
        <v>24</v>
      </c>
      <c r="BJ49" s="35">
        <v>1</v>
      </c>
    </row>
    <row r="50" spans="1:62" x14ac:dyDescent="0.25">
      <c r="A50" s="15"/>
      <c r="B50" s="16"/>
      <c r="C50" s="16" t="s">
        <v>91</v>
      </c>
      <c r="D50" s="16"/>
      <c r="E50" s="17"/>
      <c r="F50" s="18">
        <v>775</v>
      </c>
      <c r="G50" s="15">
        <v>682</v>
      </c>
      <c r="H50" s="16">
        <v>0</v>
      </c>
      <c r="I50" s="16">
        <v>0</v>
      </c>
      <c r="J50" s="17">
        <v>682</v>
      </c>
      <c r="K50" s="15">
        <v>0</v>
      </c>
      <c r="L50" s="16">
        <v>30</v>
      </c>
      <c r="M50" s="16">
        <v>0</v>
      </c>
      <c r="N50" s="16">
        <v>5</v>
      </c>
      <c r="O50" s="16">
        <v>5</v>
      </c>
      <c r="P50" s="16">
        <v>0</v>
      </c>
      <c r="Q50" s="16">
        <v>0</v>
      </c>
      <c r="R50" s="17">
        <v>53</v>
      </c>
      <c r="S50" s="18">
        <v>76</v>
      </c>
      <c r="T50" s="15">
        <v>25</v>
      </c>
      <c r="U50" s="16">
        <v>0</v>
      </c>
      <c r="V50" s="16">
        <v>0</v>
      </c>
      <c r="W50" s="16">
        <v>0</v>
      </c>
      <c r="X50" s="17">
        <v>25</v>
      </c>
      <c r="Y50" s="15">
        <v>586</v>
      </c>
      <c r="Z50" s="17">
        <v>467</v>
      </c>
      <c r="AA50" s="15">
        <v>617</v>
      </c>
      <c r="AB50" s="17">
        <v>432</v>
      </c>
      <c r="AC50" s="15">
        <v>816</v>
      </c>
      <c r="AD50" s="17">
        <v>517</v>
      </c>
      <c r="AE50" s="15">
        <v>235</v>
      </c>
      <c r="AF50" s="16">
        <v>86</v>
      </c>
      <c r="AG50" s="17">
        <v>595</v>
      </c>
      <c r="AH50" s="19">
        <v>5.2901023890784986E-2</v>
      </c>
      <c r="AI50" s="19">
        <v>0.39249146757679182</v>
      </c>
      <c r="AJ50" s="19">
        <v>0.32252836304700161</v>
      </c>
      <c r="AK50" s="19">
        <v>-7.4946466809421838E-2</v>
      </c>
      <c r="AL50" s="19">
        <v>0.10706638115631692</v>
      </c>
      <c r="AM50" s="19">
        <v>0.19675925925925927</v>
      </c>
      <c r="AN50" s="20">
        <v>1.1964809384164223</v>
      </c>
      <c r="AO50" s="19">
        <v>0.75806451612903225</v>
      </c>
      <c r="AP50" s="19">
        <v>0.12609970674486803</v>
      </c>
      <c r="AQ50" s="19">
        <v>0.87243401759530792</v>
      </c>
      <c r="AR50" s="19">
        <v>7.2108843537414966E-2</v>
      </c>
      <c r="AS50" s="133">
        <v>0.11143695014662756</v>
      </c>
      <c r="AT50" s="21">
        <v>7.4780058651026396E-2</v>
      </c>
      <c r="AU50" s="15">
        <v>75</v>
      </c>
      <c r="AV50" s="16">
        <v>75</v>
      </c>
      <c r="AW50" s="17">
        <v>94</v>
      </c>
      <c r="AX50" s="19">
        <v>0</v>
      </c>
      <c r="AY50" s="19">
        <v>0.25333333333333335</v>
      </c>
      <c r="AZ50" s="19">
        <v>0.25333333333333335</v>
      </c>
      <c r="BA50" s="15">
        <v>10</v>
      </c>
      <c r="BB50" s="17">
        <v>10</v>
      </c>
      <c r="BC50" s="15">
        <v>5</v>
      </c>
      <c r="BD50" s="16">
        <v>3</v>
      </c>
      <c r="BE50" s="15">
        <v>816</v>
      </c>
      <c r="BF50" s="16">
        <v>816</v>
      </c>
      <c r="BG50" s="19">
        <v>1</v>
      </c>
      <c r="BH50" s="16">
        <v>94</v>
      </c>
      <c r="BI50" s="16">
        <v>94</v>
      </c>
      <c r="BJ50" s="21">
        <v>1</v>
      </c>
    </row>
    <row r="51" spans="1:62" x14ac:dyDescent="0.25">
      <c r="A51" s="29"/>
      <c r="B51" s="30"/>
      <c r="C51" s="30"/>
      <c r="D51" s="30"/>
      <c r="E51" s="31" t="s">
        <v>68</v>
      </c>
      <c r="F51" s="32">
        <v>757</v>
      </c>
      <c r="G51" s="29">
        <v>666</v>
      </c>
      <c r="H51" s="30">
        <v>0</v>
      </c>
      <c r="I51" s="30">
        <v>0</v>
      </c>
      <c r="J51" s="31">
        <v>666</v>
      </c>
      <c r="K51" s="29">
        <v>0</v>
      </c>
      <c r="L51" s="30">
        <v>28</v>
      </c>
      <c r="M51" s="30">
        <v>0</v>
      </c>
      <c r="N51" s="30">
        <v>5</v>
      </c>
      <c r="O51" s="30">
        <v>5</v>
      </c>
      <c r="P51" s="30">
        <v>0</v>
      </c>
      <c r="Q51" s="30">
        <v>0</v>
      </c>
      <c r="R51" s="31">
        <v>53</v>
      </c>
      <c r="S51" s="32">
        <v>58</v>
      </c>
      <c r="T51" s="29">
        <v>25</v>
      </c>
      <c r="U51" s="30">
        <v>0</v>
      </c>
      <c r="V51" s="30">
        <v>0</v>
      </c>
      <c r="W51" s="30">
        <v>0</v>
      </c>
      <c r="X51" s="31">
        <v>25</v>
      </c>
      <c r="Y51" s="29">
        <v>586</v>
      </c>
      <c r="Z51" s="31">
        <v>467</v>
      </c>
      <c r="AA51" s="29">
        <v>617</v>
      </c>
      <c r="AB51" s="31">
        <v>432</v>
      </c>
      <c r="AC51" s="29">
        <v>805</v>
      </c>
      <c r="AD51" s="31">
        <v>506</v>
      </c>
      <c r="AE51" s="29">
        <v>230</v>
      </c>
      <c r="AF51" s="30">
        <v>81</v>
      </c>
      <c r="AG51" s="31">
        <v>584</v>
      </c>
      <c r="AH51" s="33">
        <v>5.2901023890784986E-2</v>
      </c>
      <c r="AI51" s="33">
        <v>0.37372013651877134</v>
      </c>
      <c r="AJ51" s="33">
        <v>0.3047001620745543</v>
      </c>
      <c r="AK51" s="33">
        <v>-7.4946466809421838E-2</v>
      </c>
      <c r="AL51" s="33">
        <v>8.3511777301927201E-2</v>
      </c>
      <c r="AM51" s="33">
        <v>0.17129629629629631</v>
      </c>
      <c r="AN51" s="34">
        <v>1.2087087087087087</v>
      </c>
      <c r="AO51" s="33">
        <v>0.75975975975975973</v>
      </c>
      <c r="AP51" s="33">
        <v>0.12162162162162163</v>
      </c>
      <c r="AQ51" s="33">
        <v>0.87687687687687688</v>
      </c>
      <c r="AR51" s="33">
        <v>7.37134909596662E-2</v>
      </c>
      <c r="AS51" s="136">
        <v>8.7087087087087081E-2</v>
      </c>
      <c r="AT51" s="35">
        <v>4.954954954954955E-2</v>
      </c>
      <c r="AU51" s="29">
        <v>75</v>
      </c>
      <c r="AV51" s="30">
        <v>75</v>
      </c>
      <c r="AW51" s="31">
        <v>94</v>
      </c>
      <c r="AX51" s="33">
        <v>0</v>
      </c>
      <c r="AY51" s="33">
        <v>0.25333333333333335</v>
      </c>
      <c r="AZ51" s="33">
        <v>0.25333333333333335</v>
      </c>
      <c r="BA51" s="29">
        <v>10</v>
      </c>
      <c r="BB51" s="31">
        <v>10</v>
      </c>
      <c r="BC51" s="29">
        <v>5</v>
      </c>
      <c r="BD51" s="30">
        <v>3</v>
      </c>
      <c r="BE51" s="29">
        <v>805</v>
      </c>
      <c r="BF51" s="30">
        <v>805</v>
      </c>
      <c r="BG51" s="33">
        <v>1</v>
      </c>
      <c r="BH51" s="30">
        <v>94</v>
      </c>
      <c r="BI51" s="30">
        <v>94</v>
      </c>
      <c r="BJ51" s="35">
        <v>1</v>
      </c>
    </row>
    <row r="52" spans="1:62" x14ac:dyDescent="0.25">
      <c r="A52" s="15"/>
      <c r="B52" s="16"/>
      <c r="C52" s="16" t="s">
        <v>92</v>
      </c>
      <c r="D52" s="16"/>
      <c r="E52" s="17"/>
      <c r="F52" s="18">
        <v>1614</v>
      </c>
      <c r="G52" s="15">
        <v>1476</v>
      </c>
      <c r="H52" s="16">
        <v>0</v>
      </c>
      <c r="I52" s="16">
        <v>0</v>
      </c>
      <c r="J52" s="17">
        <v>1476</v>
      </c>
      <c r="K52" s="15">
        <v>0</v>
      </c>
      <c r="L52" s="16">
        <v>32</v>
      </c>
      <c r="M52" s="16">
        <v>1</v>
      </c>
      <c r="N52" s="16">
        <v>14</v>
      </c>
      <c r="O52" s="16">
        <v>0</v>
      </c>
      <c r="P52" s="16">
        <v>0</v>
      </c>
      <c r="Q52" s="16">
        <v>0</v>
      </c>
      <c r="R52" s="17">
        <v>88</v>
      </c>
      <c r="S52" s="18">
        <v>131</v>
      </c>
      <c r="T52" s="15">
        <v>38</v>
      </c>
      <c r="U52" s="16">
        <v>0</v>
      </c>
      <c r="V52" s="16">
        <v>0</v>
      </c>
      <c r="W52" s="16">
        <v>0</v>
      </c>
      <c r="X52" s="17">
        <v>38</v>
      </c>
      <c r="Y52" s="15">
        <v>1211</v>
      </c>
      <c r="Z52" s="17">
        <v>930</v>
      </c>
      <c r="AA52" s="15">
        <v>1499</v>
      </c>
      <c r="AB52" s="17">
        <v>1055</v>
      </c>
      <c r="AC52" s="15">
        <v>1668</v>
      </c>
      <c r="AD52" s="17">
        <v>1129</v>
      </c>
      <c r="AE52" s="15">
        <v>460</v>
      </c>
      <c r="AF52" s="16">
        <v>134</v>
      </c>
      <c r="AG52" s="17">
        <v>1314</v>
      </c>
      <c r="AH52" s="19">
        <v>0.23781998348472336</v>
      </c>
      <c r="AI52" s="19">
        <v>0.37737407101568954</v>
      </c>
      <c r="AJ52" s="19">
        <v>0.11274182788525684</v>
      </c>
      <c r="AK52" s="19">
        <v>0.13440860215053763</v>
      </c>
      <c r="AL52" s="19">
        <v>0.21397849462365592</v>
      </c>
      <c r="AM52" s="19">
        <v>7.0142180094786732E-2</v>
      </c>
      <c r="AN52" s="20">
        <v>1.1300813008130082</v>
      </c>
      <c r="AO52" s="19">
        <v>0.76490514905149054</v>
      </c>
      <c r="AP52" s="19">
        <v>9.0785907859078585E-2</v>
      </c>
      <c r="AQ52" s="19">
        <v>0.8902439024390244</v>
      </c>
      <c r="AR52" s="19">
        <v>5.6265984654731455E-2</v>
      </c>
      <c r="AS52" s="133">
        <v>8.8753387533875336E-2</v>
      </c>
      <c r="AT52" s="21">
        <v>6.3008130081300809E-2</v>
      </c>
      <c r="AU52" s="15">
        <v>81</v>
      </c>
      <c r="AV52" s="16">
        <v>87</v>
      </c>
      <c r="AW52" s="17">
        <v>111</v>
      </c>
      <c r="AX52" s="19">
        <v>7.407407407407407E-2</v>
      </c>
      <c r="AY52" s="19">
        <v>0.37037037037037035</v>
      </c>
      <c r="AZ52" s="19">
        <v>0.27586206896551724</v>
      </c>
      <c r="BA52" s="15"/>
      <c r="BB52" s="17"/>
      <c r="BC52" s="15">
        <v>5</v>
      </c>
      <c r="BD52" s="16">
        <v>2</v>
      </c>
      <c r="BE52" s="15">
        <v>1668</v>
      </c>
      <c r="BF52" s="16">
        <v>1668</v>
      </c>
      <c r="BG52" s="19">
        <v>1</v>
      </c>
      <c r="BH52" s="16">
        <v>111</v>
      </c>
      <c r="BI52" s="16">
        <v>111</v>
      </c>
      <c r="BJ52" s="21">
        <v>1</v>
      </c>
    </row>
    <row r="53" spans="1:62" x14ac:dyDescent="0.25">
      <c r="A53" s="29"/>
      <c r="B53" s="30"/>
      <c r="C53" s="30"/>
      <c r="D53" s="30"/>
      <c r="E53" s="31" t="s">
        <v>68</v>
      </c>
      <c r="F53" s="32">
        <v>1590</v>
      </c>
      <c r="G53" s="29">
        <v>1456</v>
      </c>
      <c r="H53" s="30">
        <v>0</v>
      </c>
      <c r="I53" s="30">
        <v>0</v>
      </c>
      <c r="J53" s="31">
        <v>1456</v>
      </c>
      <c r="K53" s="29">
        <v>0</v>
      </c>
      <c r="L53" s="30">
        <v>28</v>
      </c>
      <c r="M53" s="30">
        <v>1</v>
      </c>
      <c r="N53" s="30">
        <v>14</v>
      </c>
      <c r="O53" s="30">
        <v>0</v>
      </c>
      <c r="P53" s="30">
        <v>0</v>
      </c>
      <c r="Q53" s="30">
        <v>0</v>
      </c>
      <c r="R53" s="31">
        <v>88</v>
      </c>
      <c r="S53" s="32">
        <v>108</v>
      </c>
      <c r="T53" s="29">
        <v>38</v>
      </c>
      <c r="U53" s="30">
        <v>0</v>
      </c>
      <c r="V53" s="30">
        <v>0</v>
      </c>
      <c r="W53" s="30">
        <v>0</v>
      </c>
      <c r="X53" s="31">
        <v>38</v>
      </c>
      <c r="Y53" s="29">
        <v>1211</v>
      </c>
      <c r="Z53" s="31">
        <v>930</v>
      </c>
      <c r="AA53" s="29">
        <v>1499</v>
      </c>
      <c r="AB53" s="31">
        <v>1055</v>
      </c>
      <c r="AC53" s="29">
        <v>1660</v>
      </c>
      <c r="AD53" s="31">
        <v>1121</v>
      </c>
      <c r="AE53" s="29">
        <v>448</v>
      </c>
      <c r="AF53" s="30">
        <v>122</v>
      </c>
      <c r="AG53" s="31">
        <v>1307</v>
      </c>
      <c r="AH53" s="33">
        <v>0.23781998348472336</v>
      </c>
      <c r="AI53" s="33">
        <v>0.37076796036333609</v>
      </c>
      <c r="AJ53" s="33">
        <v>0.10740493662441628</v>
      </c>
      <c r="AK53" s="33">
        <v>0.13440860215053763</v>
      </c>
      <c r="AL53" s="33">
        <v>0.20537634408602151</v>
      </c>
      <c r="AM53" s="33">
        <v>6.2559241706161131E-2</v>
      </c>
      <c r="AN53" s="34">
        <v>1.1401098901098901</v>
      </c>
      <c r="AO53" s="33">
        <v>0.76991758241758246</v>
      </c>
      <c r="AP53" s="33">
        <v>8.3791208791208785E-2</v>
      </c>
      <c r="AQ53" s="33">
        <v>0.8976648351648352</v>
      </c>
      <c r="AR53" s="33">
        <v>5.6994818652849742E-2</v>
      </c>
      <c r="AS53" s="136">
        <v>7.4175824175824176E-2</v>
      </c>
      <c r="AT53" s="35">
        <v>4.807692307692308E-2</v>
      </c>
      <c r="AU53" s="29">
        <v>81</v>
      </c>
      <c r="AV53" s="30">
        <v>87</v>
      </c>
      <c r="AW53" s="31">
        <v>111</v>
      </c>
      <c r="AX53" s="33">
        <v>7.407407407407407E-2</v>
      </c>
      <c r="AY53" s="33">
        <v>0.37037037037037035</v>
      </c>
      <c r="AZ53" s="33">
        <v>0.27586206896551724</v>
      </c>
      <c r="BA53" s="29"/>
      <c r="BB53" s="31"/>
      <c r="BC53" s="29">
        <v>5</v>
      </c>
      <c r="BD53" s="30">
        <v>2</v>
      </c>
      <c r="BE53" s="29">
        <v>1660</v>
      </c>
      <c r="BF53" s="30">
        <v>1660</v>
      </c>
      <c r="BG53" s="33">
        <v>1</v>
      </c>
      <c r="BH53" s="30">
        <v>111</v>
      </c>
      <c r="BI53" s="30">
        <v>111</v>
      </c>
      <c r="BJ53" s="35">
        <v>1</v>
      </c>
    </row>
    <row r="54" spans="1:62" x14ac:dyDescent="0.25">
      <c r="A54" s="15"/>
      <c r="B54" s="16"/>
      <c r="C54" s="16" t="s">
        <v>93</v>
      </c>
      <c r="D54" s="16"/>
      <c r="E54" s="17"/>
      <c r="F54" s="18">
        <v>539</v>
      </c>
      <c r="G54" s="15">
        <v>492</v>
      </c>
      <c r="H54" s="16">
        <v>0</v>
      </c>
      <c r="I54" s="16">
        <v>0</v>
      </c>
      <c r="J54" s="17">
        <v>492</v>
      </c>
      <c r="K54" s="15">
        <v>0</v>
      </c>
      <c r="L54" s="16">
        <v>7</v>
      </c>
      <c r="M54" s="16">
        <v>2</v>
      </c>
      <c r="N54" s="16">
        <v>3</v>
      </c>
      <c r="O54" s="16">
        <v>3</v>
      </c>
      <c r="P54" s="16">
        <v>0</v>
      </c>
      <c r="Q54" s="16">
        <v>0</v>
      </c>
      <c r="R54" s="17">
        <v>32</v>
      </c>
      <c r="S54" s="18">
        <v>23</v>
      </c>
      <c r="T54" s="15">
        <v>17</v>
      </c>
      <c r="U54" s="16">
        <v>0</v>
      </c>
      <c r="V54" s="16">
        <v>0</v>
      </c>
      <c r="W54" s="16">
        <v>0</v>
      </c>
      <c r="X54" s="17">
        <v>17</v>
      </c>
      <c r="Y54" s="15">
        <v>521</v>
      </c>
      <c r="Z54" s="17">
        <v>313</v>
      </c>
      <c r="AA54" s="15">
        <v>546</v>
      </c>
      <c r="AB54" s="17">
        <v>273</v>
      </c>
      <c r="AC54" s="15">
        <v>550</v>
      </c>
      <c r="AD54" s="17">
        <v>277</v>
      </c>
      <c r="AE54" s="15">
        <v>258</v>
      </c>
      <c r="AF54" s="16">
        <v>165</v>
      </c>
      <c r="AG54" s="17">
        <v>299</v>
      </c>
      <c r="AH54" s="19">
        <v>4.7984644913627639E-2</v>
      </c>
      <c r="AI54" s="19">
        <v>5.5662188099808059E-2</v>
      </c>
      <c r="AJ54" s="19">
        <v>7.326007326007326E-3</v>
      </c>
      <c r="AK54" s="19">
        <v>-0.12779552715654952</v>
      </c>
      <c r="AL54" s="19">
        <v>-0.11501597444089456</v>
      </c>
      <c r="AM54" s="19">
        <v>1.4652014652014652E-2</v>
      </c>
      <c r="AN54" s="20">
        <v>1.1178861788617886</v>
      </c>
      <c r="AO54" s="19">
        <v>0.56300813008130079</v>
      </c>
      <c r="AP54" s="19">
        <v>0.33536585365853661</v>
      </c>
      <c r="AQ54" s="19">
        <v>0.60772357723577231</v>
      </c>
      <c r="AR54" s="19">
        <v>6.1068702290076333E-2</v>
      </c>
      <c r="AS54" s="133">
        <v>4.6747967479674794E-2</v>
      </c>
      <c r="AT54" s="21">
        <v>1.2195121951219513E-2</v>
      </c>
      <c r="AU54" s="15">
        <v>77</v>
      </c>
      <c r="AV54" s="16">
        <v>88</v>
      </c>
      <c r="AW54" s="17">
        <v>99</v>
      </c>
      <c r="AX54" s="19">
        <v>0.14285714285714285</v>
      </c>
      <c r="AY54" s="19">
        <v>0.2857142857142857</v>
      </c>
      <c r="AZ54" s="19">
        <v>0.125</v>
      </c>
      <c r="BA54" s="15"/>
      <c r="BB54" s="17"/>
      <c r="BC54" s="15">
        <v>3</v>
      </c>
      <c r="BD54" s="16">
        <v>3</v>
      </c>
      <c r="BE54" s="15">
        <v>550</v>
      </c>
      <c r="BF54" s="16">
        <v>550</v>
      </c>
      <c r="BG54" s="19">
        <v>1</v>
      </c>
      <c r="BH54" s="16">
        <v>99</v>
      </c>
      <c r="BI54" s="16">
        <v>99</v>
      </c>
      <c r="BJ54" s="21">
        <v>1</v>
      </c>
    </row>
    <row r="55" spans="1:62" x14ac:dyDescent="0.25">
      <c r="A55" s="29"/>
      <c r="B55" s="30"/>
      <c r="C55" s="30"/>
      <c r="D55" s="30"/>
      <c r="E55" s="31" t="s">
        <v>68</v>
      </c>
      <c r="F55" s="32">
        <v>533</v>
      </c>
      <c r="G55" s="29">
        <v>486</v>
      </c>
      <c r="H55" s="30">
        <v>0</v>
      </c>
      <c r="I55" s="30">
        <v>0</v>
      </c>
      <c r="J55" s="31">
        <v>486</v>
      </c>
      <c r="K55" s="29">
        <v>0</v>
      </c>
      <c r="L55" s="30">
        <v>7</v>
      </c>
      <c r="M55" s="30">
        <v>2</v>
      </c>
      <c r="N55" s="30">
        <v>3</v>
      </c>
      <c r="O55" s="30">
        <v>3</v>
      </c>
      <c r="P55" s="30">
        <v>0</v>
      </c>
      <c r="Q55" s="30">
        <v>0</v>
      </c>
      <c r="R55" s="31">
        <v>32</v>
      </c>
      <c r="S55" s="32">
        <v>17</v>
      </c>
      <c r="T55" s="29">
        <v>17</v>
      </c>
      <c r="U55" s="30">
        <v>0</v>
      </c>
      <c r="V55" s="30">
        <v>0</v>
      </c>
      <c r="W55" s="30">
        <v>0</v>
      </c>
      <c r="X55" s="31">
        <v>17</v>
      </c>
      <c r="Y55" s="29">
        <v>521</v>
      </c>
      <c r="Z55" s="31">
        <v>313</v>
      </c>
      <c r="AA55" s="29">
        <v>546</v>
      </c>
      <c r="AB55" s="31">
        <v>273</v>
      </c>
      <c r="AC55" s="29">
        <v>550</v>
      </c>
      <c r="AD55" s="31">
        <v>277</v>
      </c>
      <c r="AE55" s="29">
        <v>252</v>
      </c>
      <c r="AF55" s="30">
        <v>159</v>
      </c>
      <c r="AG55" s="31">
        <v>299</v>
      </c>
      <c r="AH55" s="33">
        <v>4.7984644913627639E-2</v>
      </c>
      <c r="AI55" s="33">
        <v>5.5662188099808059E-2</v>
      </c>
      <c r="AJ55" s="33">
        <v>7.326007326007326E-3</v>
      </c>
      <c r="AK55" s="33">
        <v>-0.12779552715654952</v>
      </c>
      <c r="AL55" s="33">
        <v>-0.11501597444089456</v>
      </c>
      <c r="AM55" s="33">
        <v>1.4652014652014652E-2</v>
      </c>
      <c r="AN55" s="34">
        <v>1.131687242798354</v>
      </c>
      <c r="AO55" s="33">
        <v>0.56995884773662553</v>
      </c>
      <c r="AP55" s="33">
        <v>0.3271604938271605</v>
      </c>
      <c r="AQ55" s="33">
        <v>0.6152263374485597</v>
      </c>
      <c r="AR55" s="33">
        <v>6.1776061776061778E-2</v>
      </c>
      <c r="AS55" s="136">
        <v>3.4979423868312758E-2</v>
      </c>
      <c r="AT55" s="35">
        <v>0</v>
      </c>
      <c r="AU55" s="29">
        <v>77</v>
      </c>
      <c r="AV55" s="30">
        <v>88</v>
      </c>
      <c r="AW55" s="31">
        <v>99</v>
      </c>
      <c r="AX55" s="33">
        <v>0.14285714285714285</v>
      </c>
      <c r="AY55" s="33">
        <v>0.2857142857142857</v>
      </c>
      <c r="AZ55" s="33">
        <v>0.125</v>
      </c>
      <c r="BA55" s="29"/>
      <c r="BB55" s="31"/>
      <c r="BC55" s="29">
        <v>3</v>
      </c>
      <c r="BD55" s="30">
        <v>3</v>
      </c>
      <c r="BE55" s="29">
        <v>550</v>
      </c>
      <c r="BF55" s="30">
        <v>550</v>
      </c>
      <c r="BG55" s="33">
        <v>1</v>
      </c>
      <c r="BH55" s="30">
        <v>99</v>
      </c>
      <c r="BI55" s="30">
        <v>99</v>
      </c>
      <c r="BJ55" s="35">
        <v>1</v>
      </c>
    </row>
    <row r="56" spans="1:62" x14ac:dyDescent="0.25">
      <c r="A56" s="8"/>
      <c r="B56" s="9" t="s">
        <v>94</v>
      </c>
      <c r="C56" s="9"/>
      <c r="D56" s="9"/>
      <c r="E56" s="10"/>
      <c r="F56" s="11">
        <v>105</v>
      </c>
      <c r="G56" s="8">
        <v>103</v>
      </c>
      <c r="H56" s="9">
        <v>0</v>
      </c>
      <c r="I56" s="9">
        <v>0</v>
      </c>
      <c r="J56" s="10">
        <v>103</v>
      </c>
      <c r="K56" s="8">
        <v>0</v>
      </c>
      <c r="L56" s="9">
        <v>2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10">
        <v>0</v>
      </c>
      <c r="S56" s="11">
        <v>5</v>
      </c>
      <c r="T56" s="8">
        <v>2</v>
      </c>
      <c r="U56" s="9">
        <v>0</v>
      </c>
      <c r="V56" s="9">
        <v>0</v>
      </c>
      <c r="W56" s="9">
        <v>0</v>
      </c>
      <c r="X56" s="10">
        <v>2</v>
      </c>
      <c r="Y56" s="8">
        <v>26</v>
      </c>
      <c r="Z56" s="10">
        <v>17</v>
      </c>
      <c r="AA56" s="8">
        <v>81</v>
      </c>
      <c r="AB56" s="10">
        <v>37</v>
      </c>
      <c r="AC56" s="8">
        <v>94</v>
      </c>
      <c r="AD56" s="10">
        <v>44</v>
      </c>
      <c r="AE56" s="8">
        <v>60</v>
      </c>
      <c r="AF56" s="9">
        <v>43</v>
      </c>
      <c r="AG56" s="10">
        <v>42</v>
      </c>
      <c r="AH56" s="12">
        <v>2.1153846153846154</v>
      </c>
      <c r="AI56" s="12">
        <v>2.6153846153846154</v>
      </c>
      <c r="AJ56" s="12">
        <v>0.16049382716049382</v>
      </c>
      <c r="AK56" s="12">
        <v>1.1764705882352942</v>
      </c>
      <c r="AL56" s="12">
        <v>1.588235294117647</v>
      </c>
      <c r="AM56" s="12">
        <v>0.1891891891891892</v>
      </c>
      <c r="AN56" s="13">
        <v>0.91262135922330101</v>
      </c>
      <c r="AO56" s="12">
        <v>0.42718446601941745</v>
      </c>
      <c r="AP56" s="12">
        <v>0.41747572815533979</v>
      </c>
      <c r="AQ56" s="12">
        <v>0.40776699029126212</v>
      </c>
      <c r="AR56" s="12">
        <v>0</v>
      </c>
      <c r="AS56" s="131">
        <v>4.8543689320388349E-2</v>
      </c>
      <c r="AT56" s="14">
        <v>2.9126213592233011E-2</v>
      </c>
      <c r="AU56" s="8">
        <v>9</v>
      </c>
      <c r="AV56" s="9">
        <v>30</v>
      </c>
      <c r="AW56" s="10">
        <v>40</v>
      </c>
      <c r="AX56" s="12">
        <v>2.3333333333333335</v>
      </c>
      <c r="AY56" s="12">
        <v>3.4444444444444446</v>
      </c>
      <c r="AZ56" s="12">
        <v>0.33333333333333331</v>
      </c>
      <c r="BA56" s="8"/>
      <c r="BB56" s="10"/>
      <c r="BC56" s="8">
        <v>1.5</v>
      </c>
      <c r="BD56" s="9">
        <v>2</v>
      </c>
      <c r="BE56" s="8">
        <v>94</v>
      </c>
      <c r="BF56" s="9">
        <v>94</v>
      </c>
      <c r="BG56" s="12">
        <v>1</v>
      </c>
      <c r="BH56" s="9">
        <v>40</v>
      </c>
      <c r="BI56" s="9">
        <v>40</v>
      </c>
      <c r="BJ56" s="14">
        <v>1</v>
      </c>
    </row>
    <row r="57" spans="1:62" x14ac:dyDescent="0.25">
      <c r="A57" s="29"/>
      <c r="B57" s="30"/>
      <c r="C57" s="30"/>
      <c r="D57" s="30"/>
      <c r="E57" s="31" t="s">
        <v>68</v>
      </c>
      <c r="F57" s="32">
        <v>104</v>
      </c>
      <c r="G57" s="29">
        <v>103</v>
      </c>
      <c r="H57" s="30">
        <v>0</v>
      </c>
      <c r="I57" s="30">
        <v>0</v>
      </c>
      <c r="J57" s="31">
        <v>103</v>
      </c>
      <c r="K57" s="29">
        <v>0</v>
      </c>
      <c r="L57" s="30">
        <v>1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1">
        <v>0</v>
      </c>
      <c r="S57" s="32">
        <v>4</v>
      </c>
      <c r="T57" s="29">
        <v>2</v>
      </c>
      <c r="U57" s="30">
        <v>0</v>
      </c>
      <c r="V57" s="30">
        <v>0</v>
      </c>
      <c r="W57" s="30">
        <v>0</v>
      </c>
      <c r="X57" s="31">
        <v>2</v>
      </c>
      <c r="Y57" s="29">
        <v>26</v>
      </c>
      <c r="Z57" s="31">
        <v>17</v>
      </c>
      <c r="AA57" s="29">
        <v>81</v>
      </c>
      <c r="AB57" s="31">
        <v>37</v>
      </c>
      <c r="AC57" s="29">
        <v>94</v>
      </c>
      <c r="AD57" s="31">
        <v>44</v>
      </c>
      <c r="AE57" s="29">
        <v>60</v>
      </c>
      <c r="AF57" s="30">
        <v>43</v>
      </c>
      <c r="AG57" s="31">
        <v>42</v>
      </c>
      <c r="AH57" s="33">
        <v>2.1153846153846154</v>
      </c>
      <c r="AI57" s="33">
        <v>2.6153846153846154</v>
      </c>
      <c r="AJ57" s="33">
        <v>0.16049382716049382</v>
      </c>
      <c r="AK57" s="33">
        <v>1.1764705882352942</v>
      </c>
      <c r="AL57" s="33">
        <v>1.588235294117647</v>
      </c>
      <c r="AM57" s="33">
        <v>0.1891891891891892</v>
      </c>
      <c r="AN57" s="34">
        <v>0.91262135922330101</v>
      </c>
      <c r="AO57" s="33">
        <v>0.42718446601941745</v>
      </c>
      <c r="AP57" s="33">
        <v>0.41747572815533979</v>
      </c>
      <c r="AQ57" s="33">
        <v>0.40776699029126212</v>
      </c>
      <c r="AR57" s="33">
        <v>0</v>
      </c>
      <c r="AS57" s="136">
        <v>3.8834951456310676E-2</v>
      </c>
      <c r="AT57" s="35">
        <v>1.9417475728155338E-2</v>
      </c>
      <c r="AU57" s="29">
        <v>9</v>
      </c>
      <c r="AV57" s="30">
        <v>30</v>
      </c>
      <c r="AW57" s="31">
        <v>40</v>
      </c>
      <c r="AX57" s="33">
        <v>2.3333333333333335</v>
      </c>
      <c r="AY57" s="33">
        <v>3.4444444444444446</v>
      </c>
      <c r="AZ57" s="33">
        <v>0.33333333333333331</v>
      </c>
      <c r="BA57" s="29"/>
      <c r="BB57" s="31"/>
      <c r="BC57" s="29">
        <v>1.5</v>
      </c>
      <c r="BD57" s="30">
        <v>2</v>
      </c>
      <c r="BE57" s="29">
        <v>94</v>
      </c>
      <c r="BF57" s="30">
        <v>94</v>
      </c>
      <c r="BG57" s="33">
        <v>1</v>
      </c>
      <c r="BH57" s="30">
        <v>40</v>
      </c>
      <c r="BI57" s="30">
        <v>40</v>
      </c>
      <c r="BJ57" s="35">
        <v>1</v>
      </c>
    </row>
    <row r="58" spans="1:62" x14ac:dyDescent="0.25">
      <c r="A58" s="8"/>
      <c r="B58" s="9" t="s">
        <v>95</v>
      </c>
      <c r="C58" s="9"/>
      <c r="D58" s="9"/>
      <c r="E58" s="10"/>
      <c r="F58" s="11">
        <v>5096</v>
      </c>
      <c r="G58" s="8">
        <v>4505</v>
      </c>
      <c r="H58" s="9">
        <v>0</v>
      </c>
      <c r="I58" s="9">
        <v>0</v>
      </c>
      <c r="J58" s="10">
        <v>4505</v>
      </c>
      <c r="K58" s="8">
        <v>0</v>
      </c>
      <c r="L58" s="9">
        <v>127</v>
      </c>
      <c r="M58" s="9">
        <v>1</v>
      </c>
      <c r="N58" s="9">
        <v>54</v>
      </c>
      <c r="O58" s="9">
        <v>2</v>
      </c>
      <c r="P58" s="9">
        <v>0</v>
      </c>
      <c r="Q58" s="9">
        <v>1</v>
      </c>
      <c r="R58" s="10">
        <v>193</v>
      </c>
      <c r="S58" s="11">
        <v>255</v>
      </c>
      <c r="T58" s="8">
        <v>764</v>
      </c>
      <c r="U58" s="9">
        <v>1</v>
      </c>
      <c r="V58" s="9">
        <v>1</v>
      </c>
      <c r="W58" s="9">
        <v>1</v>
      </c>
      <c r="X58" s="10">
        <v>761</v>
      </c>
      <c r="Y58" s="8">
        <v>2926</v>
      </c>
      <c r="Z58" s="10">
        <v>2291</v>
      </c>
      <c r="AA58" s="8">
        <v>2841</v>
      </c>
      <c r="AB58" s="10">
        <v>2223</v>
      </c>
      <c r="AC58" s="8">
        <v>3444</v>
      </c>
      <c r="AD58" s="10">
        <v>2344</v>
      </c>
      <c r="AE58" s="8">
        <v>2636</v>
      </c>
      <c r="AF58" s="9">
        <v>1658</v>
      </c>
      <c r="AG58" s="10">
        <v>2725</v>
      </c>
      <c r="AH58" s="12">
        <v>-2.9049897470950103E-2</v>
      </c>
      <c r="AI58" s="12">
        <v>0.17703349282296652</v>
      </c>
      <c r="AJ58" s="12">
        <v>0.21224920802534319</v>
      </c>
      <c r="AK58" s="12">
        <v>-2.9681361850720209E-2</v>
      </c>
      <c r="AL58" s="12">
        <v>2.3134002618943692E-2</v>
      </c>
      <c r="AM58" s="12">
        <v>5.4430949167791273E-2</v>
      </c>
      <c r="AN58" s="13">
        <v>0.76448390677025524</v>
      </c>
      <c r="AO58" s="12">
        <v>0.5203107658157603</v>
      </c>
      <c r="AP58" s="12">
        <v>0.36803551609322976</v>
      </c>
      <c r="AQ58" s="12">
        <v>0.60488346281908989</v>
      </c>
      <c r="AR58" s="12">
        <v>4.1081311196253724E-2</v>
      </c>
      <c r="AS58" s="131">
        <v>5.6603773584905662E-2</v>
      </c>
      <c r="AT58" s="14">
        <v>-0.11298557158712541</v>
      </c>
      <c r="AU58" s="8">
        <v>118</v>
      </c>
      <c r="AV58" s="9">
        <v>104</v>
      </c>
      <c r="AW58" s="10">
        <v>131</v>
      </c>
      <c r="AX58" s="12">
        <v>-0.11864406779661017</v>
      </c>
      <c r="AY58" s="12">
        <v>0.11016949152542373</v>
      </c>
      <c r="AZ58" s="12">
        <v>0.25961538461538464</v>
      </c>
      <c r="BA58" s="8">
        <v>11.5</v>
      </c>
      <c r="BB58" s="10">
        <v>13</v>
      </c>
      <c r="BC58" s="8">
        <v>11</v>
      </c>
      <c r="BD58" s="9">
        <v>2</v>
      </c>
      <c r="BE58" s="8">
        <v>3442</v>
      </c>
      <c r="BF58" s="9">
        <v>3444</v>
      </c>
      <c r="BG58" s="12">
        <v>0.99941927990708479</v>
      </c>
      <c r="BH58" s="9">
        <v>129</v>
      </c>
      <c r="BI58" s="9">
        <v>131</v>
      </c>
      <c r="BJ58" s="14">
        <v>0.98473282442748089</v>
      </c>
    </row>
    <row r="59" spans="1:62" x14ac:dyDescent="0.25">
      <c r="A59" s="15"/>
      <c r="B59" s="16"/>
      <c r="C59" s="16" t="s">
        <v>96</v>
      </c>
      <c r="D59" s="16"/>
      <c r="E59" s="17"/>
      <c r="F59" s="18">
        <v>1561</v>
      </c>
      <c r="G59" s="15">
        <v>1395</v>
      </c>
      <c r="H59" s="16">
        <v>0</v>
      </c>
      <c r="I59" s="16">
        <v>0</v>
      </c>
      <c r="J59" s="17">
        <v>1395</v>
      </c>
      <c r="K59" s="15">
        <v>0</v>
      </c>
      <c r="L59" s="16">
        <v>65</v>
      </c>
      <c r="M59" s="16">
        <v>0</v>
      </c>
      <c r="N59" s="16">
        <v>37</v>
      </c>
      <c r="O59" s="16">
        <v>0</v>
      </c>
      <c r="P59" s="16">
        <v>0</v>
      </c>
      <c r="Q59" s="16">
        <v>0</v>
      </c>
      <c r="R59" s="17">
        <v>63</v>
      </c>
      <c r="S59" s="18">
        <v>108</v>
      </c>
      <c r="T59" s="15">
        <v>50</v>
      </c>
      <c r="U59" s="16">
        <v>1</v>
      </c>
      <c r="V59" s="16">
        <v>0</v>
      </c>
      <c r="W59" s="16">
        <v>0</v>
      </c>
      <c r="X59" s="17">
        <v>49</v>
      </c>
      <c r="Y59" s="15">
        <v>1186</v>
      </c>
      <c r="Z59" s="17">
        <v>833</v>
      </c>
      <c r="AA59" s="15">
        <v>1185</v>
      </c>
      <c r="AB59" s="17">
        <v>959</v>
      </c>
      <c r="AC59" s="15">
        <v>1721</v>
      </c>
      <c r="AD59" s="17">
        <v>1096</v>
      </c>
      <c r="AE59" s="15">
        <v>407</v>
      </c>
      <c r="AF59" s="16">
        <v>147</v>
      </c>
      <c r="AG59" s="17">
        <v>1183</v>
      </c>
      <c r="AH59" s="19">
        <v>-8.4317032040472171E-4</v>
      </c>
      <c r="AI59" s="19">
        <v>0.45109612141652616</v>
      </c>
      <c r="AJ59" s="19">
        <v>0.45232067510548524</v>
      </c>
      <c r="AK59" s="19">
        <v>0.15126050420168066</v>
      </c>
      <c r="AL59" s="19">
        <v>0.31572629051620649</v>
      </c>
      <c r="AM59" s="19">
        <v>0.14285714285714285</v>
      </c>
      <c r="AN59" s="20">
        <v>1.2336917562724015</v>
      </c>
      <c r="AO59" s="19">
        <v>0.78566308243727601</v>
      </c>
      <c r="AP59" s="19">
        <v>0.10537634408602151</v>
      </c>
      <c r="AQ59" s="19">
        <v>0.84802867383512548</v>
      </c>
      <c r="AR59" s="19">
        <v>4.3209876543209874E-2</v>
      </c>
      <c r="AS59" s="133">
        <v>7.7419354838709681E-2</v>
      </c>
      <c r="AT59" s="21">
        <v>4.157706093189964E-2</v>
      </c>
      <c r="AU59" s="15">
        <v>81</v>
      </c>
      <c r="AV59" s="16">
        <v>62</v>
      </c>
      <c r="AW59" s="17">
        <v>98</v>
      </c>
      <c r="AX59" s="19">
        <v>-0.23456790123456789</v>
      </c>
      <c r="AY59" s="19">
        <v>0.20987654320987653</v>
      </c>
      <c r="AZ59" s="19">
        <v>0.58064516129032262</v>
      </c>
      <c r="BA59" s="15">
        <v>12</v>
      </c>
      <c r="BB59" s="17">
        <v>19.5</v>
      </c>
      <c r="BC59" s="15">
        <v>6</v>
      </c>
      <c r="BD59" s="16">
        <v>2</v>
      </c>
      <c r="BE59" s="15">
        <v>1721</v>
      </c>
      <c r="BF59" s="16">
        <v>1721</v>
      </c>
      <c r="BG59" s="19">
        <v>1</v>
      </c>
      <c r="BH59" s="16">
        <v>98</v>
      </c>
      <c r="BI59" s="16">
        <v>98</v>
      </c>
      <c r="BJ59" s="21">
        <v>1</v>
      </c>
    </row>
    <row r="60" spans="1:62" x14ac:dyDescent="0.25">
      <c r="A60" s="29"/>
      <c r="B60" s="30"/>
      <c r="C60" s="30"/>
      <c r="D60" s="30"/>
      <c r="E60" s="31" t="s">
        <v>68</v>
      </c>
      <c r="F60" s="32">
        <v>1533</v>
      </c>
      <c r="G60" s="29">
        <v>1395</v>
      </c>
      <c r="H60" s="30">
        <v>0</v>
      </c>
      <c r="I60" s="30">
        <v>0</v>
      </c>
      <c r="J60" s="31">
        <v>1395</v>
      </c>
      <c r="K60" s="29">
        <v>0</v>
      </c>
      <c r="L60" s="30">
        <v>37</v>
      </c>
      <c r="M60" s="30">
        <v>0</v>
      </c>
      <c r="N60" s="30">
        <v>37</v>
      </c>
      <c r="O60" s="30">
        <v>0</v>
      </c>
      <c r="P60" s="30">
        <v>0</v>
      </c>
      <c r="Q60" s="30">
        <v>0</v>
      </c>
      <c r="R60" s="31">
        <v>63</v>
      </c>
      <c r="S60" s="32">
        <v>80</v>
      </c>
      <c r="T60" s="29">
        <v>50</v>
      </c>
      <c r="U60" s="30">
        <v>1</v>
      </c>
      <c r="V60" s="30">
        <v>0</v>
      </c>
      <c r="W60" s="30">
        <v>0</v>
      </c>
      <c r="X60" s="31">
        <v>49</v>
      </c>
      <c r="Y60" s="29">
        <v>1186</v>
      </c>
      <c r="Z60" s="31">
        <v>833</v>
      </c>
      <c r="AA60" s="29">
        <v>1185</v>
      </c>
      <c r="AB60" s="31">
        <v>959</v>
      </c>
      <c r="AC60" s="29">
        <v>1721</v>
      </c>
      <c r="AD60" s="31">
        <v>1096</v>
      </c>
      <c r="AE60" s="29">
        <v>407</v>
      </c>
      <c r="AF60" s="30">
        <v>147</v>
      </c>
      <c r="AG60" s="31">
        <v>1183</v>
      </c>
      <c r="AH60" s="33">
        <v>-8.4317032040472171E-4</v>
      </c>
      <c r="AI60" s="33">
        <v>0.45109612141652616</v>
      </c>
      <c r="AJ60" s="33">
        <v>0.45232067510548524</v>
      </c>
      <c r="AK60" s="33">
        <v>0.15126050420168066</v>
      </c>
      <c r="AL60" s="33">
        <v>0.31572629051620649</v>
      </c>
      <c r="AM60" s="33">
        <v>0.14285714285714285</v>
      </c>
      <c r="AN60" s="34">
        <v>1.2336917562724015</v>
      </c>
      <c r="AO60" s="33">
        <v>0.78566308243727601</v>
      </c>
      <c r="AP60" s="33">
        <v>0.10537634408602151</v>
      </c>
      <c r="AQ60" s="33">
        <v>0.84802867383512548</v>
      </c>
      <c r="AR60" s="33">
        <v>4.3209876543209874E-2</v>
      </c>
      <c r="AS60" s="136">
        <v>5.7347670250896057E-2</v>
      </c>
      <c r="AT60" s="35">
        <v>2.1505376344086023E-2</v>
      </c>
      <c r="AU60" s="29">
        <v>81</v>
      </c>
      <c r="AV60" s="30">
        <v>62</v>
      </c>
      <c r="AW60" s="31">
        <v>98</v>
      </c>
      <c r="AX60" s="33">
        <v>-0.23456790123456789</v>
      </c>
      <c r="AY60" s="33">
        <v>0.20987654320987653</v>
      </c>
      <c r="AZ60" s="33">
        <v>0.58064516129032262</v>
      </c>
      <c r="BA60" s="29">
        <v>12</v>
      </c>
      <c r="BB60" s="31">
        <v>19.5</v>
      </c>
      <c r="BC60" s="29">
        <v>6</v>
      </c>
      <c r="BD60" s="30">
        <v>2</v>
      </c>
      <c r="BE60" s="29">
        <v>1721</v>
      </c>
      <c r="BF60" s="30">
        <v>1721</v>
      </c>
      <c r="BG60" s="33">
        <v>1</v>
      </c>
      <c r="BH60" s="30">
        <v>98</v>
      </c>
      <c r="BI60" s="30">
        <v>98</v>
      </c>
      <c r="BJ60" s="35">
        <v>1</v>
      </c>
    </row>
    <row r="61" spans="1:62" x14ac:dyDescent="0.25">
      <c r="A61" s="29"/>
      <c r="B61" s="30"/>
      <c r="C61" s="30"/>
      <c r="D61" s="30"/>
      <c r="E61" s="31" t="s">
        <v>97</v>
      </c>
      <c r="F61" s="32">
        <v>25</v>
      </c>
      <c r="G61" s="29">
        <v>0</v>
      </c>
      <c r="H61" s="30">
        <v>0</v>
      </c>
      <c r="I61" s="30">
        <v>0</v>
      </c>
      <c r="J61" s="31">
        <v>0</v>
      </c>
      <c r="K61" s="29">
        <v>0</v>
      </c>
      <c r="L61" s="30">
        <v>25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1">
        <v>0</v>
      </c>
      <c r="S61" s="32">
        <v>25</v>
      </c>
      <c r="T61" s="29"/>
      <c r="U61" s="30"/>
      <c r="V61" s="30"/>
      <c r="W61" s="30"/>
      <c r="X61" s="31"/>
      <c r="Y61" s="29"/>
      <c r="Z61" s="31"/>
      <c r="AA61" s="29"/>
      <c r="AB61" s="31"/>
      <c r="AC61" s="29"/>
      <c r="AD61" s="31"/>
      <c r="AE61" s="29">
        <v>0</v>
      </c>
      <c r="AF61" s="30">
        <v>0</v>
      </c>
      <c r="AG61" s="31">
        <v>0</v>
      </c>
      <c r="AH61" s="33"/>
      <c r="AI61" s="33"/>
      <c r="AJ61" s="33"/>
      <c r="AK61" s="33"/>
      <c r="AL61" s="33"/>
      <c r="AM61" s="33"/>
      <c r="AN61" s="34"/>
      <c r="AO61" s="33"/>
      <c r="AP61" s="33"/>
      <c r="AQ61" s="33"/>
      <c r="AR61" s="33"/>
      <c r="AS61" s="136" t="e">
        <v>#DIV/0!</v>
      </c>
      <c r="AT61" s="35" t="e">
        <v>#DIV/0!</v>
      </c>
      <c r="AU61" s="29">
        <v>0</v>
      </c>
      <c r="AV61" s="30">
        <v>0</v>
      </c>
      <c r="AW61" s="31">
        <v>0</v>
      </c>
      <c r="AX61" s="33"/>
      <c r="AY61" s="33"/>
      <c r="AZ61" s="33"/>
      <c r="BA61" s="29"/>
      <c r="BB61" s="31"/>
      <c r="BC61" s="29"/>
      <c r="BD61" s="30"/>
      <c r="BE61" s="29">
        <v>0</v>
      </c>
      <c r="BF61" s="30">
        <v>0</v>
      </c>
      <c r="BG61" s="33"/>
      <c r="BH61" s="30">
        <v>0</v>
      </c>
      <c r="BI61" s="30">
        <v>0</v>
      </c>
      <c r="BJ61" s="35"/>
    </row>
    <row r="62" spans="1:62" x14ac:dyDescent="0.25">
      <c r="A62" s="15"/>
      <c r="B62" s="16"/>
      <c r="C62" s="16" t="s">
        <v>98</v>
      </c>
      <c r="D62" s="16"/>
      <c r="E62" s="17"/>
      <c r="F62" s="18">
        <v>314</v>
      </c>
      <c r="G62" s="15">
        <v>301</v>
      </c>
      <c r="H62" s="16">
        <v>0</v>
      </c>
      <c r="I62" s="16">
        <v>0</v>
      </c>
      <c r="J62" s="17">
        <v>301</v>
      </c>
      <c r="K62" s="15">
        <v>0</v>
      </c>
      <c r="L62" s="16">
        <v>1</v>
      </c>
      <c r="M62" s="16">
        <v>0</v>
      </c>
      <c r="N62" s="16">
        <v>2</v>
      </c>
      <c r="O62" s="16">
        <v>0</v>
      </c>
      <c r="P62" s="16">
        <v>0</v>
      </c>
      <c r="Q62" s="16">
        <v>1</v>
      </c>
      <c r="R62" s="17">
        <v>9</v>
      </c>
      <c r="S62" s="18">
        <v>25</v>
      </c>
      <c r="T62" s="15">
        <v>2</v>
      </c>
      <c r="U62" s="16">
        <v>0</v>
      </c>
      <c r="V62" s="16">
        <v>1</v>
      </c>
      <c r="W62" s="16">
        <v>0</v>
      </c>
      <c r="X62" s="17">
        <v>1</v>
      </c>
      <c r="Y62" s="15">
        <v>261</v>
      </c>
      <c r="Z62" s="17">
        <v>141</v>
      </c>
      <c r="AA62" s="15">
        <v>368</v>
      </c>
      <c r="AB62" s="17">
        <v>127</v>
      </c>
      <c r="AC62" s="15">
        <v>393</v>
      </c>
      <c r="AD62" s="17">
        <v>123</v>
      </c>
      <c r="AE62" s="15">
        <v>190</v>
      </c>
      <c r="AF62" s="16">
        <v>140</v>
      </c>
      <c r="AG62" s="17">
        <v>115</v>
      </c>
      <c r="AH62" s="19">
        <v>0.40996168582375481</v>
      </c>
      <c r="AI62" s="19">
        <v>0.50574712643678166</v>
      </c>
      <c r="AJ62" s="19">
        <v>6.7934782608695649E-2</v>
      </c>
      <c r="AK62" s="19">
        <v>-9.9290780141843976E-2</v>
      </c>
      <c r="AL62" s="19">
        <v>-0.1276595744680851</v>
      </c>
      <c r="AM62" s="19">
        <v>-3.1496062992125984E-2</v>
      </c>
      <c r="AN62" s="20">
        <v>1.3056478405315615</v>
      </c>
      <c r="AO62" s="19">
        <v>0.40863787375415284</v>
      </c>
      <c r="AP62" s="19">
        <v>0.46511627906976744</v>
      </c>
      <c r="AQ62" s="19">
        <v>0.38205980066445183</v>
      </c>
      <c r="AR62" s="19">
        <v>2.903225806451613E-2</v>
      </c>
      <c r="AS62" s="133">
        <v>8.3056478405315617E-2</v>
      </c>
      <c r="AT62" s="21">
        <v>7.6411960132890366E-2</v>
      </c>
      <c r="AU62" s="15">
        <v>26</v>
      </c>
      <c r="AV62" s="16">
        <v>34</v>
      </c>
      <c r="AW62" s="17">
        <v>24</v>
      </c>
      <c r="AX62" s="19">
        <v>0.30769230769230771</v>
      </c>
      <c r="AY62" s="19">
        <v>-7.6923076923076927E-2</v>
      </c>
      <c r="AZ62" s="19">
        <v>-0.29411764705882354</v>
      </c>
      <c r="BA62" s="15"/>
      <c r="BB62" s="17"/>
      <c r="BC62" s="15">
        <v>2</v>
      </c>
      <c r="BD62" s="16">
        <v>5.5</v>
      </c>
      <c r="BE62" s="15">
        <v>393</v>
      </c>
      <c r="BF62" s="16">
        <v>393</v>
      </c>
      <c r="BG62" s="19">
        <v>1</v>
      </c>
      <c r="BH62" s="16">
        <v>24</v>
      </c>
      <c r="BI62" s="16">
        <v>24</v>
      </c>
      <c r="BJ62" s="21">
        <v>1</v>
      </c>
    </row>
    <row r="63" spans="1:62" x14ac:dyDescent="0.25">
      <c r="A63" s="29"/>
      <c r="B63" s="30"/>
      <c r="C63" s="30"/>
      <c r="D63" s="30"/>
      <c r="E63" s="31" t="s">
        <v>68</v>
      </c>
      <c r="F63" s="32">
        <v>300</v>
      </c>
      <c r="G63" s="29">
        <v>287</v>
      </c>
      <c r="H63" s="30">
        <v>0</v>
      </c>
      <c r="I63" s="30">
        <v>0</v>
      </c>
      <c r="J63" s="31">
        <v>287</v>
      </c>
      <c r="K63" s="29">
        <v>0</v>
      </c>
      <c r="L63" s="30">
        <v>1</v>
      </c>
      <c r="M63" s="30">
        <v>0</v>
      </c>
      <c r="N63" s="30">
        <v>2</v>
      </c>
      <c r="O63" s="30">
        <v>0</v>
      </c>
      <c r="P63" s="30">
        <v>0</v>
      </c>
      <c r="Q63" s="30">
        <v>1</v>
      </c>
      <c r="R63" s="31">
        <v>9</v>
      </c>
      <c r="S63" s="32">
        <v>11</v>
      </c>
      <c r="T63" s="29">
        <v>2</v>
      </c>
      <c r="U63" s="30">
        <v>0</v>
      </c>
      <c r="V63" s="30">
        <v>1</v>
      </c>
      <c r="W63" s="30">
        <v>0</v>
      </c>
      <c r="X63" s="31">
        <v>1</v>
      </c>
      <c r="Y63" s="29">
        <v>261</v>
      </c>
      <c r="Z63" s="31">
        <v>141</v>
      </c>
      <c r="AA63" s="29">
        <v>368</v>
      </c>
      <c r="AB63" s="31">
        <v>127</v>
      </c>
      <c r="AC63" s="29">
        <v>393</v>
      </c>
      <c r="AD63" s="31">
        <v>123</v>
      </c>
      <c r="AE63" s="29">
        <v>176</v>
      </c>
      <c r="AF63" s="30">
        <v>126</v>
      </c>
      <c r="AG63" s="31">
        <v>115</v>
      </c>
      <c r="AH63" s="33">
        <v>0.40996168582375481</v>
      </c>
      <c r="AI63" s="33">
        <v>0.50574712643678166</v>
      </c>
      <c r="AJ63" s="33">
        <v>6.7934782608695649E-2</v>
      </c>
      <c r="AK63" s="33">
        <v>-9.9290780141843976E-2</v>
      </c>
      <c r="AL63" s="33">
        <v>-0.1276595744680851</v>
      </c>
      <c r="AM63" s="33">
        <v>-3.1496062992125984E-2</v>
      </c>
      <c r="AN63" s="34">
        <v>1.3693379790940767</v>
      </c>
      <c r="AO63" s="33">
        <v>0.42857142857142855</v>
      </c>
      <c r="AP63" s="33">
        <v>0.43902439024390244</v>
      </c>
      <c r="AQ63" s="33">
        <v>0.40069686411149824</v>
      </c>
      <c r="AR63" s="33">
        <v>3.0405405405405407E-2</v>
      </c>
      <c r="AS63" s="136">
        <v>3.8327526132404179E-2</v>
      </c>
      <c r="AT63" s="35">
        <v>3.1358885017421602E-2</v>
      </c>
      <c r="AU63" s="29">
        <v>26</v>
      </c>
      <c r="AV63" s="30">
        <v>34</v>
      </c>
      <c r="AW63" s="31">
        <v>24</v>
      </c>
      <c r="AX63" s="33">
        <v>0.30769230769230771</v>
      </c>
      <c r="AY63" s="33">
        <v>-7.6923076923076927E-2</v>
      </c>
      <c r="AZ63" s="33">
        <v>-0.29411764705882354</v>
      </c>
      <c r="BA63" s="29"/>
      <c r="BB63" s="31"/>
      <c r="BC63" s="29">
        <v>2</v>
      </c>
      <c r="BD63" s="30">
        <v>5.5</v>
      </c>
      <c r="BE63" s="29">
        <v>393</v>
      </c>
      <c r="BF63" s="30">
        <v>393</v>
      </c>
      <c r="BG63" s="33">
        <v>1</v>
      </c>
      <c r="BH63" s="30">
        <v>24</v>
      </c>
      <c r="BI63" s="30">
        <v>24</v>
      </c>
      <c r="BJ63" s="35">
        <v>1</v>
      </c>
    </row>
    <row r="64" spans="1:62" x14ac:dyDescent="0.25">
      <c r="A64" s="15"/>
      <c r="B64" s="16"/>
      <c r="C64" s="16" t="s">
        <v>99</v>
      </c>
      <c r="D64" s="16"/>
      <c r="E64" s="17"/>
      <c r="F64" s="18">
        <v>3195</v>
      </c>
      <c r="G64" s="15">
        <v>2783</v>
      </c>
      <c r="H64" s="16">
        <v>0</v>
      </c>
      <c r="I64" s="16">
        <v>0</v>
      </c>
      <c r="J64" s="17">
        <v>2783</v>
      </c>
      <c r="K64" s="15">
        <v>0</v>
      </c>
      <c r="L64" s="16">
        <v>61</v>
      </c>
      <c r="M64" s="16">
        <v>1</v>
      </c>
      <c r="N64" s="16">
        <v>15</v>
      </c>
      <c r="O64" s="16">
        <v>2</v>
      </c>
      <c r="P64" s="16">
        <v>0</v>
      </c>
      <c r="Q64" s="16">
        <v>0</v>
      </c>
      <c r="R64" s="17">
        <v>121</v>
      </c>
      <c r="S64" s="18">
        <v>122</v>
      </c>
      <c r="T64" s="15">
        <v>712</v>
      </c>
      <c r="U64" s="16">
        <v>0</v>
      </c>
      <c r="V64" s="16">
        <v>0</v>
      </c>
      <c r="W64" s="16">
        <v>1</v>
      </c>
      <c r="X64" s="17">
        <v>711</v>
      </c>
      <c r="Y64" s="15">
        <v>1472</v>
      </c>
      <c r="Z64" s="17">
        <v>1312</v>
      </c>
      <c r="AA64" s="15">
        <v>1275</v>
      </c>
      <c r="AB64" s="17">
        <v>1131</v>
      </c>
      <c r="AC64" s="15">
        <v>1319</v>
      </c>
      <c r="AD64" s="17">
        <v>1122</v>
      </c>
      <c r="AE64" s="15">
        <v>2016</v>
      </c>
      <c r="AF64" s="16">
        <v>1352</v>
      </c>
      <c r="AG64" s="17">
        <v>1421</v>
      </c>
      <c r="AH64" s="19">
        <v>-0.13383152173913043</v>
      </c>
      <c r="AI64" s="19">
        <v>-0.10394021739130435</v>
      </c>
      <c r="AJ64" s="19">
        <v>3.4509803921568626E-2</v>
      </c>
      <c r="AK64" s="19">
        <v>-0.13795731707317074</v>
      </c>
      <c r="AL64" s="19">
        <v>-0.1448170731707317</v>
      </c>
      <c r="AM64" s="19">
        <v>-7.9575596816976128E-3</v>
      </c>
      <c r="AN64" s="20">
        <v>0.47394897592526053</v>
      </c>
      <c r="AO64" s="19">
        <v>0.40316205533596838</v>
      </c>
      <c r="AP64" s="19">
        <v>0.48580668343514194</v>
      </c>
      <c r="AQ64" s="19">
        <v>0.51060007186489398</v>
      </c>
      <c r="AR64" s="19">
        <v>4.1666666666666664E-2</v>
      </c>
      <c r="AS64" s="133">
        <v>4.3837585339561627E-2</v>
      </c>
      <c r="AT64" s="21">
        <v>-0.21200143729787999</v>
      </c>
      <c r="AU64" s="15">
        <v>90</v>
      </c>
      <c r="AV64" s="16">
        <v>90</v>
      </c>
      <c r="AW64" s="17">
        <v>100</v>
      </c>
      <c r="AX64" s="19">
        <v>0</v>
      </c>
      <c r="AY64" s="19">
        <v>0.1111111111111111</v>
      </c>
      <c r="AZ64" s="19">
        <v>0.1111111111111111</v>
      </c>
      <c r="BA64" s="15">
        <v>11</v>
      </c>
      <c r="BB64" s="17">
        <v>12.5</v>
      </c>
      <c r="BC64" s="15">
        <v>13</v>
      </c>
      <c r="BD64" s="16">
        <v>2</v>
      </c>
      <c r="BE64" s="15">
        <v>1317</v>
      </c>
      <c r="BF64" s="16">
        <v>1319</v>
      </c>
      <c r="BG64" s="19">
        <v>0.99848369977255491</v>
      </c>
      <c r="BH64" s="16">
        <v>98</v>
      </c>
      <c r="BI64" s="16">
        <v>100</v>
      </c>
      <c r="BJ64" s="21">
        <v>0.98</v>
      </c>
    </row>
    <row r="65" spans="1:62" x14ac:dyDescent="0.25">
      <c r="A65" s="29"/>
      <c r="B65" s="30"/>
      <c r="C65" s="30"/>
      <c r="D65" s="30"/>
      <c r="E65" s="31" t="s">
        <v>68</v>
      </c>
      <c r="F65" s="32">
        <v>3168</v>
      </c>
      <c r="G65" s="29">
        <v>2782</v>
      </c>
      <c r="H65" s="30">
        <v>0</v>
      </c>
      <c r="I65" s="30">
        <v>0</v>
      </c>
      <c r="J65" s="31">
        <v>2782</v>
      </c>
      <c r="K65" s="29">
        <v>0</v>
      </c>
      <c r="L65" s="30">
        <v>35</v>
      </c>
      <c r="M65" s="30">
        <v>1</v>
      </c>
      <c r="N65" s="30">
        <v>15</v>
      </c>
      <c r="O65" s="30">
        <v>2</v>
      </c>
      <c r="P65" s="30">
        <v>0</v>
      </c>
      <c r="Q65" s="30">
        <v>0</v>
      </c>
      <c r="R65" s="31">
        <v>121</v>
      </c>
      <c r="S65" s="32">
        <v>95</v>
      </c>
      <c r="T65" s="29">
        <v>712</v>
      </c>
      <c r="U65" s="30">
        <v>0</v>
      </c>
      <c r="V65" s="30">
        <v>0</v>
      </c>
      <c r="W65" s="30">
        <v>1</v>
      </c>
      <c r="X65" s="31">
        <v>711</v>
      </c>
      <c r="Y65" s="29">
        <v>1472</v>
      </c>
      <c r="Z65" s="31">
        <v>1312</v>
      </c>
      <c r="AA65" s="29">
        <v>1275</v>
      </c>
      <c r="AB65" s="31">
        <v>1131</v>
      </c>
      <c r="AC65" s="29">
        <v>1318</v>
      </c>
      <c r="AD65" s="31">
        <v>1121</v>
      </c>
      <c r="AE65" s="29">
        <v>2016</v>
      </c>
      <c r="AF65" s="30">
        <v>1352</v>
      </c>
      <c r="AG65" s="31">
        <v>1420</v>
      </c>
      <c r="AH65" s="33">
        <v>-0.13383152173913043</v>
      </c>
      <c r="AI65" s="33">
        <v>-0.10461956521739131</v>
      </c>
      <c r="AJ65" s="33">
        <v>3.3725490196078428E-2</v>
      </c>
      <c r="AK65" s="33">
        <v>-0.13795731707317074</v>
      </c>
      <c r="AL65" s="33">
        <v>-0.14557926829268292</v>
      </c>
      <c r="AM65" s="33">
        <v>-8.8417329796640146E-3</v>
      </c>
      <c r="AN65" s="34">
        <v>0.47375988497483823</v>
      </c>
      <c r="AO65" s="33">
        <v>0.40294751976994969</v>
      </c>
      <c r="AP65" s="33">
        <v>0.48598130841121495</v>
      </c>
      <c r="AQ65" s="33">
        <v>0.51042415528396834</v>
      </c>
      <c r="AR65" s="33">
        <v>4.168101963486049E-2</v>
      </c>
      <c r="AS65" s="136">
        <v>3.414809489575845E-2</v>
      </c>
      <c r="AT65" s="35">
        <v>-0.22178289000718907</v>
      </c>
      <c r="AU65" s="29">
        <v>90</v>
      </c>
      <c r="AV65" s="30">
        <v>90</v>
      </c>
      <c r="AW65" s="31">
        <v>100</v>
      </c>
      <c r="AX65" s="33">
        <v>0</v>
      </c>
      <c r="AY65" s="33">
        <v>0.1111111111111111</v>
      </c>
      <c r="AZ65" s="33">
        <v>0.1111111111111111</v>
      </c>
      <c r="BA65" s="29">
        <v>11</v>
      </c>
      <c r="BB65" s="31">
        <v>12.5</v>
      </c>
      <c r="BC65" s="29">
        <v>13</v>
      </c>
      <c r="BD65" s="30">
        <v>2</v>
      </c>
      <c r="BE65" s="29">
        <v>1316</v>
      </c>
      <c r="BF65" s="30">
        <v>1318</v>
      </c>
      <c r="BG65" s="33">
        <v>0.99848254931714719</v>
      </c>
      <c r="BH65" s="30">
        <v>98</v>
      </c>
      <c r="BI65" s="30">
        <v>100</v>
      </c>
      <c r="BJ65" s="35">
        <v>0.98</v>
      </c>
    </row>
    <row r="66" spans="1:62" x14ac:dyDescent="0.25">
      <c r="A66" s="29"/>
      <c r="B66" s="30"/>
      <c r="C66" s="30"/>
      <c r="D66" s="30"/>
      <c r="E66" s="31" t="s">
        <v>97</v>
      </c>
      <c r="F66" s="32">
        <v>24</v>
      </c>
      <c r="G66" s="29">
        <v>1</v>
      </c>
      <c r="H66" s="30">
        <v>0</v>
      </c>
      <c r="I66" s="30">
        <v>0</v>
      </c>
      <c r="J66" s="31">
        <v>1</v>
      </c>
      <c r="K66" s="29">
        <v>0</v>
      </c>
      <c r="L66" s="30">
        <v>23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1">
        <v>0</v>
      </c>
      <c r="S66" s="32">
        <v>24</v>
      </c>
      <c r="T66" s="29"/>
      <c r="U66" s="30"/>
      <c r="V66" s="30"/>
      <c r="W66" s="30"/>
      <c r="X66" s="31"/>
      <c r="Y66" s="29">
        <v>0</v>
      </c>
      <c r="Z66" s="31">
        <v>0</v>
      </c>
      <c r="AA66" s="29">
        <v>0</v>
      </c>
      <c r="AB66" s="31">
        <v>0</v>
      </c>
      <c r="AC66" s="29">
        <v>1</v>
      </c>
      <c r="AD66" s="31">
        <v>1</v>
      </c>
      <c r="AE66" s="29">
        <v>0</v>
      </c>
      <c r="AF66" s="30">
        <v>0</v>
      </c>
      <c r="AG66" s="31">
        <v>1</v>
      </c>
      <c r="AH66" s="33"/>
      <c r="AI66" s="33"/>
      <c r="AJ66" s="33"/>
      <c r="AK66" s="33"/>
      <c r="AL66" s="33"/>
      <c r="AM66" s="33"/>
      <c r="AN66" s="34">
        <v>1</v>
      </c>
      <c r="AO66" s="33">
        <v>1</v>
      </c>
      <c r="AP66" s="33">
        <v>0</v>
      </c>
      <c r="AQ66" s="33">
        <v>1</v>
      </c>
      <c r="AR66" s="33">
        <v>0</v>
      </c>
      <c r="AS66" s="136">
        <v>24</v>
      </c>
      <c r="AT66" s="35">
        <v>24</v>
      </c>
      <c r="AU66" s="29">
        <v>0</v>
      </c>
      <c r="AV66" s="30">
        <v>0</v>
      </c>
      <c r="AW66" s="31">
        <v>1</v>
      </c>
      <c r="AX66" s="33"/>
      <c r="AY66" s="33"/>
      <c r="AZ66" s="33"/>
      <c r="BA66" s="29"/>
      <c r="BB66" s="31"/>
      <c r="BC66" s="29">
        <v>0</v>
      </c>
      <c r="BD66" s="30">
        <v>0</v>
      </c>
      <c r="BE66" s="29">
        <v>1</v>
      </c>
      <c r="BF66" s="30">
        <v>1</v>
      </c>
      <c r="BG66" s="33">
        <v>1</v>
      </c>
      <c r="BH66" s="30">
        <v>1</v>
      </c>
      <c r="BI66" s="30">
        <v>1</v>
      </c>
      <c r="BJ66" s="35">
        <v>1</v>
      </c>
    </row>
    <row r="67" spans="1:62" x14ac:dyDescent="0.25">
      <c r="A67" s="15"/>
      <c r="B67" s="16"/>
      <c r="C67" s="16" t="s">
        <v>100</v>
      </c>
      <c r="D67" s="16"/>
      <c r="E67" s="17"/>
      <c r="F67" s="18">
        <v>26</v>
      </c>
      <c r="G67" s="15">
        <v>26</v>
      </c>
      <c r="H67" s="16">
        <v>0</v>
      </c>
      <c r="I67" s="16">
        <v>0</v>
      </c>
      <c r="J67" s="17">
        <v>26</v>
      </c>
      <c r="K67" s="15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7">
        <v>0</v>
      </c>
      <c r="S67" s="18">
        <v>0</v>
      </c>
      <c r="T67" s="15"/>
      <c r="U67" s="16"/>
      <c r="V67" s="16"/>
      <c r="W67" s="16"/>
      <c r="X67" s="17"/>
      <c r="Y67" s="15">
        <v>7</v>
      </c>
      <c r="Z67" s="17">
        <v>5</v>
      </c>
      <c r="AA67" s="15">
        <v>13</v>
      </c>
      <c r="AB67" s="17">
        <v>6</v>
      </c>
      <c r="AC67" s="15">
        <v>11</v>
      </c>
      <c r="AD67" s="17">
        <v>3</v>
      </c>
      <c r="AE67" s="15">
        <v>23</v>
      </c>
      <c r="AF67" s="16">
        <v>19</v>
      </c>
      <c r="AG67" s="17">
        <v>6</v>
      </c>
      <c r="AH67" s="19">
        <v>0.8571428571428571</v>
      </c>
      <c r="AI67" s="19">
        <v>0.5714285714285714</v>
      </c>
      <c r="AJ67" s="19">
        <v>-0.15384615384615385</v>
      </c>
      <c r="AK67" s="19">
        <v>0.2</v>
      </c>
      <c r="AL67" s="19">
        <v>-0.4</v>
      </c>
      <c r="AM67" s="19">
        <v>-0.5</v>
      </c>
      <c r="AN67" s="20">
        <v>0.42307692307692307</v>
      </c>
      <c r="AO67" s="19">
        <v>0.11538461538461539</v>
      </c>
      <c r="AP67" s="19">
        <v>0.73076923076923073</v>
      </c>
      <c r="AQ67" s="19">
        <v>0.23076923076923078</v>
      </c>
      <c r="AR67" s="19">
        <v>0</v>
      </c>
      <c r="AS67" s="133">
        <v>0</v>
      </c>
      <c r="AT67" s="21">
        <v>0</v>
      </c>
      <c r="AU67" s="15">
        <v>6</v>
      </c>
      <c r="AV67" s="16">
        <v>11</v>
      </c>
      <c r="AW67" s="17">
        <v>9</v>
      </c>
      <c r="AX67" s="19">
        <v>0.83333333333333337</v>
      </c>
      <c r="AY67" s="19">
        <v>0.5</v>
      </c>
      <c r="AZ67" s="19">
        <v>-0.18181818181818182</v>
      </c>
      <c r="BA67" s="15"/>
      <c r="BB67" s="17"/>
      <c r="BC67" s="15">
        <v>1</v>
      </c>
      <c r="BD67" s="16">
        <v>1</v>
      </c>
      <c r="BE67" s="15">
        <v>11</v>
      </c>
      <c r="BF67" s="16">
        <v>11</v>
      </c>
      <c r="BG67" s="19">
        <v>1</v>
      </c>
      <c r="BH67" s="16">
        <v>9</v>
      </c>
      <c r="BI67" s="16">
        <v>9</v>
      </c>
      <c r="BJ67" s="21">
        <v>1</v>
      </c>
    </row>
    <row r="68" spans="1:62" x14ac:dyDescent="0.25">
      <c r="A68" s="29"/>
      <c r="B68" s="30"/>
      <c r="C68" s="30"/>
      <c r="D68" s="30"/>
      <c r="E68" s="31" t="s">
        <v>68</v>
      </c>
      <c r="F68" s="32">
        <v>26</v>
      </c>
      <c r="G68" s="29">
        <v>26</v>
      </c>
      <c r="H68" s="30">
        <v>0</v>
      </c>
      <c r="I68" s="30">
        <v>0</v>
      </c>
      <c r="J68" s="31">
        <v>26</v>
      </c>
      <c r="K68" s="29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1">
        <v>0</v>
      </c>
      <c r="S68" s="32">
        <v>0</v>
      </c>
      <c r="T68" s="29"/>
      <c r="U68" s="30"/>
      <c r="V68" s="30"/>
      <c r="W68" s="30"/>
      <c r="X68" s="31"/>
      <c r="Y68" s="29">
        <v>7</v>
      </c>
      <c r="Z68" s="31">
        <v>5</v>
      </c>
      <c r="AA68" s="29">
        <v>13</v>
      </c>
      <c r="AB68" s="31">
        <v>6</v>
      </c>
      <c r="AC68" s="29">
        <v>11</v>
      </c>
      <c r="AD68" s="31">
        <v>3</v>
      </c>
      <c r="AE68" s="29">
        <v>23</v>
      </c>
      <c r="AF68" s="30">
        <v>19</v>
      </c>
      <c r="AG68" s="31">
        <v>6</v>
      </c>
      <c r="AH68" s="33">
        <v>0.8571428571428571</v>
      </c>
      <c r="AI68" s="33">
        <v>0.5714285714285714</v>
      </c>
      <c r="AJ68" s="33">
        <v>-0.15384615384615385</v>
      </c>
      <c r="AK68" s="33">
        <v>0.2</v>
      </c>
      <c r="AL68" s="33">
        <v>-0.4</v>
      </c>
      <c r="AM68" s="33">
        <v>-0.5</v>
      </c>
      <c r="AN68" s="34">
        <v>0.42307692307692307</v>
      </c>
      <c r="AO68" s="33">
        <v>0.11538461538461539</v>
      </c>
      <c r="AP68" s="33">
        <v>0.73076923076923073</v>
      </c>
      <c r="AQ68" s="33">
        <v>0.23076923076923078</v>
      </c>
      <c r="AR68" s="33">
        <v>0</v>
      </c>
      <c r="AS68" s="136">
        <v>0</v>
      </c>
      <c r="AT68" s="35">
        <v>0</v>
      </c>
      <c r="AU68" s="29">
        <v>6</v>
      </c>
      <c r="AV68" s="30">
        <v>11</v>
      </c>
      <c r="AW68" s="31">
        <v>9</v>
      </c>
      <c r="AX68" s="33">
        <v>0.83333333333333337</v>
      </c>
      <c r="AY68" s="33">
        <v>0.5</v>
      </c>
      <c r="AZ68" s="33">
        <v>-0.18181818181818182</v>
      </c>
      <c r="BA68" s="29"/>
      <c r="BB68" s="31"/>
      <c r="BC68" s="29">
        <v>1</v>
      </c>
      <c r="BD68" s="30">
        <v>1</v>
      </c>
      <c r="BE68" s="29">
        <v>11</v>
      </c>
      <c r="BF68" s="30">
        <v>11</v>
      </c>
      <c r="BG68" s="33">
        <v>1</v>
      </c>
      <c r="BH68" s="30">
        <v>9</v>
      </c>
      <c r="BI68" s="30">
        <v>9</v>
      </c>
      <c r="BJ68" s="35">
        <v>1</v>
      </c>
    </row>
    <row r="69" spans="1:62" x14ac:dyDescent="0.25">
      <c r="A69" s="8"/>
      <c r="B69" s="9" t="s">
        <v>101</v>
      </c>
      <c r="C69" s="9"/>
      <c r="D69" s="9"/>
      <c r="E69" s="10"/>
      <c r="F69" s="11">
        <v>54</v>
      </c>
      <c r="G69" s="8">
        <v>51</v>
      </c>
      <c r="H69" s="9">
        <v>0</v>
      </c>
      <c r="I69" s="9">
        <v>0</v>
      </c>
      <c r="J69" s="10">
        <v>51</v>
      </c>
      <c r="K69" s="8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10">
        <v>3</v>
      </c>
      <c r="S69" s="11">
        <v>0</v>
      </c>
      <c r="T69" s="8"/>
      <c r="U69" s="9"/>
      <c r="V69" s="9"/>
      <c r="W69" s="9"/>
      <c r="X69" s="10"/>
      <c r="Y69" s="8">
        <v>22</v>
      </c>
      <c r="Z69" s="10">
        <v>14</v>
      </c>
      <c r="AA69" s="8">
        <v>79</v>
      </c>
      <c r="AB69" s="10">
        <v>37</v>
      </c>
      <c r="AC69" s="8">
        <v>53</v>
      </c>
      <c r="AD69" s="10">
        <v>16</v>
      </c>
      <c r="AE69" s="8">
        <v>38</v>
      </c>
      <c r="AF69" s="9">
        <v>10</v>
      </c>
      <c r="AG69" s="10">
        <v>15</v>
      </c>
      <c r="AH69" s="12">
        <v>2.5909090909090908</v>
      </c>
      <c r="AI69" s="12">
        <v>1.4090909090909092</v>
      </c>
      <c r="AJ69" s="12">
        <v>-0.32911392405063289</v>
      </c>
      <c r="AK69" s="12">
        <v>1.6428571428571428</v>
      </c>
      <c r="AL69" s="12">
        <v>0.14285714285714285</v>
      </c>
      <c r="AM69" s="12">
        <v>-0.56756756756756754</v>
      </c>
      <c r="AN69" s="13">
        <v>1.0392156862745099</v>
      </c>
      <c r="AO69" s="12">
        <v>0.31372549019607843</v>
      </c>
      <c r="AP69" s="12">
        <v>0.19607843137254902</v>
      </c>
      <c r="AQ69" s="12">
        <v>0.29411764705882354</v>
      </c>
      <c r="AR69" s="12">
        <v>5.5555555555555552E-2</v>
      </c>
      <c r="AS69" s="131">
        <v>0</v>
      </c>
      <c r="AT69" s="14">
        <v>0</v>
      </c>
      <c r="AU69" s="8">
        <v>7</v>
      </c>
      <c r="AV69" s="9">
        <v>14</v>
      </c>
      <c r="AW69" s="10">
        <v>15</v>
      </c>
      <c r="AX69" s="12">
        <v>1</v>
      </c>
      <c r="AY69" s="12">
        <v>1.1428571428571428</v>
      </c>
      <c r="AZ69" s="12">
        <v>7.1428571428571425E-2</v>
      </c>
      <c r="BA69" s="8"/>
      <c r="BB69" s="10"/>
      <c r="BC69" s="8">
        <v>2</v>
      </c>
      <c r="BD69" s="9">
        <v>2</v>
      </c>
      <c r="BE69" s="8">
        <v>53</v>
      </c>
      <c r="BF69" s="9">
        <v>53</v>
      </c>
      <c r="BG69" s="12">
        <v>1</v>
      </c>
      <c r="BH69" s="9">
        <v>15</v>
      </c>
      <c r="BI69" s="9">
        <v>15</v>
      </c>
      <c r="BJ69" s="14">
        <v>1</v>
      </c>
    </row>
    <row r="70" spans="1:62" x14ac:dyDescent="0.25">
      <c r="A70" s="29"/>
      <c r="B70" s="30"/>
      <c r="C70" s="30"/>
      <c r="D70" s="30"/>
      <c r="E70" s="31" t="s">
        <v>68</v>
      </c>
      <c r="F70" s="32">
        <v>54</v>
      </c>
      <c r="G70" s="29">
        <v>51</v>
      </c>
      <c r="H70" s="30">
        <v>0</v>
      </c>
      <c r="I70" s="30">
        <v>0</v>
      </c>
      <c r="J70" s="31">
        <v>51</v>
      </c>
      <c r="K70" s="29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1">
        <v>3</v>
      </c>
      <c r="S70" s="32">
        <v>0</v>
      </c>
      <c r="T70" s="29"/>
      <c r="U70" s="30"/>
      <c r="V70" s="30"/>
      <c r="W70" s="30"/>
      <c r="X70" s="31"/>
      <c r="Y70" s="29">
        <v>22</v>
      </c>
      <c r="Z70" s="31">
        <v>14</v>
      </c>
      <c r="AA70" s="29">
        <v>79</v>
      </c>
      <c r="AB70" s="31">
        <v>37</v>
      </c>
      <c r="AC70" s="29">
        <v>53</v>
      </c>
      <c r="AD70" s="31">
        <v>16</v>
      </c>
      <c r="AE70" s="29">
        <v>38</v>
      </c>
      <c r="AF70" s="30">
        <v>10</v>
      </c>
      <c r="AG70" s="31">
        <v>15</v>
      </c>
      <c r="AH70" s="33">
        <v>2.5909090909090908</v>
      </c>
      <c r="AI70" s="33">
        <v>1.4090909090909092</v>
      </c>
      <c r="AJ70" s="33">
        <v>-0.32911392405063289</v>
      </c>
      <c r="AK70" s="33">
        <v>1.6428571428571428</v>
      </c>
      <c r="AL70" s="33">
        <v>0.14285714285714285</v>
      </c>
      <c r="AM70" s="33">
        <v>-0.56756756756756754</v>
      </c>
      <c r="AN70" s="34">
        <v>1.0392156862745099</v>
      </c>
      <c r="AO70" s="33">
        <v>0.31372549019607843</v>
      </c>
      <c r="AP70" s="33">
        <v>0.19607843137254902</v>
      </c>
      <c r="AQ70" s="33">
        <v>0.29411764705882354</v>
      </c>
      <c r="AR70" s="33">
        <v>5.5555555555555552E-2</v>
      </c>
      <c r="AS70" s="136">
        <v>0</v>
      </c>
      <c r="AT70" s="35">
        <v>0</v>
      </c>
      <c r="AU70" s="29">
        <v>7</v>
      </c>
      <c r="AV70" s="30">
        <v>14</v>
      </c>
      <c r="AW70" s="31">
        <v>15</v>
      </c>
      <c r="AX70" s="33">
        <v>1</v>
      </c>
      <c r="AY70" s="33">
        <v>1.1428571428571428</v>
      </c>
      <c r="AZ70" s="33">
        <v>7.1428571428571425E-2</v>
      </c>
      <c r="BA70" s="29"/>
      <c r="BB70" s="31"/>
      <c r="BC70" s="29">
        <v>2</v>
      </c>
      <c r="BD70" s="30">
        <v>2</v>
      </c>
      <c r="BE70" s="29">
        <v>53</v>
      </c>
      <c r="BF70" s="30">
        <v>53</v>
      </c>
      <c r="BG70" s="33">
        <v>1</v>
      </c>
      <c r="BH70" s="30">
        <v>15</v>
      </c>
      <c r="BI70" s="30">
        <v>15</v>
      </c>
      <c r="BJ70" s="35">
        <v>1</v>
      </c>
    </row>
    <row r="71" spans="1:62" ht="15.75" thickBot="1" x14ac:dyDescent="0.3">
      <c r="A71" s="37" t="s">
        <v>102</v>
      </c>
      <c r="B71" s="38"/>
      <c r="C71" s="38"/>
      <c r="D71" s="38"/>
      <c r="E71" s="39"/>
      <c r="F71" s="40">
        <v>35844</v>
      </c>
      <c r="G71" s="37">
        <v>31795</v>
      </c>
      <c r="H71" s="38">
        <v>286</v>
      </c>
      <c r="I71" s="38">
        <v>0</v>
      </c>
      <c r="J71" s="39">
        <v>32081</v>
      </c>
      <c r="K71" s="37">
        <v>0</v>
      </c>
      <c r="L71" s="38">
        <v>341</v>
      </c>
      <c r="M71" s="38">
        <v>406</v>
      </c>
      <c r="N71" s="38">
        <v>682</v>
      </c>
      <c r="O71" s="38">
        <v>203</v>
      </c>
      <c r="P71" s="38">
        <v>0</v>
      </c>
      <c r="Q71" s="38">
        <v>4</v>
      </c>
      <c r="R71" s="39">
        <v>1861</v>
      </c>
      <c r="S71" s="40">
        <v>1714</v>
      </c>
      <c r="T71" s="37">
        <v>1648</v>
      </c>
      <c r="U71" s="38">
        <v>1</v>
      </c>
      <c r="V71" s="38">
        <v>4</v>
      </c>
      <c r="W71" s="38">
        <v>221</v>
      </c>
      <c r="X71" s="39">
        <v>1422</v>
      </c>
      <c r="Y71" s="37">
        <v>27415</v>
      </c>
      <c r="Z71" s="39">
        <v>19936</v>
      </c>
      <c r="AA71" s="37">
        <v>28559</v>
      </c>
      <c r="AB71" s="39">
        <v>18545</v>
      </c>
      <c r="AC71" s="37">
        <v>32252</v>
      </c>
      <c r="AD71" s="39">
        <v>19629</v>
      </c>
      <c r="AE71" s="37">
        <v>15689</v>
      </c>
      <c r="AF71" s="38">
        <v>8283</v>
      </c>
      <c r="AG71" s="39">
        <v>20304</v>
      </c>
      <c r="AH71" s="41">
        <v>4.1728980485135875E-2</v>
      </c>
      <c r="AI71" s="41">
        <v>0.1764362575232537</v>
      </c>
      <c r="AJ71" s="41">
        <v>0.12931125039392136</v>
      </c>
      <c r="AK71" s="41">
        <v>-6.9773274478330663E-2</v>
      </c>
      <c r="AL71" s="41">
        <v>-1.5399277688603531E-2</v>
      </c>
      <c r="AM71" s="41">
        <v>5.8452413049339444E-2</v>
      </c>
      <c r="AN71" s="42">
        <v>1.0143733291398018</v>
      </c>
      <c r="AO71" s="41">
        <v>0.61736122031766005</v>
      </c>
      <c r="AP71" s="41">
        <v>0.26051265922314831</v>
      </c>
      <c r="AQ71" s="41">
        <v>0.63859097342349425</v>
      </c>
      <c r="AR71" s="41">
        <v>5.5294746850487284E-2</v>
      </c>
      <c r="AS71" s="145">
        <v>5.3907847145777635E-2</v>
      </c>
      <c r="AT71" s="43">
        <v>2.075798081459349E-3</v>
      </c>
      <c r="AU71" s="37"/>
      <c r="AV71" s="38"/>
      <c r="AW71" s="39"/>
      <c r="AX71" s="41"/>
      <c r="AY71" s="41"/>
      <c r="AZ71" s="41"/>
      <c r="BA71" s="37"/>
      <c r="BB71" s="39"/>
      <c r="BC71" s="37"/>
      <c r="BD71" s="38"/>
      <c r="BE71" s="37"/>
      <c r="BF71" s="38"/>
      <c r="BG71" s="41"/>
      <c r="BH71" s="38"/>
      <c r="BI71" s="38"/>
      <c r="BJ71" s="43"/>
    </row>
  </sheetData>
  <mergeCells count="18">
    <mergeCell ref="A1:E3"/>
    <mergeCell ref="F1:R1"/>
    <mergeCell ref="S1:X1"/>
    <mergeCell ref="Y1:AG1"/>
    <mergeCell ref="AH1:AR1"/>
    <mergeCell ref="BC2:BD2"/>
    <mergeCell ref="BE2:BJ2"/>
    <mergeCell ref="AU1:BJ1"/>
    <mergeCell ref="G2:J2"/>
    <mergeCell ref="K2:R2"/>
    <mergeCell ref="T2:X2"/>
    <mergeCell ref="Y2:Z2"/>
    <mergeCell ref="AA2:AB2"/>
    <mergeCell ref="AC2:AD2"/>
    <mergeCell ref="AH2:AR2"/>
    <mergeCell ref="AX2:AZ2"/>
    <mergeCell ref="BA2:BB2"/>
    <mergeCell ref="AS1:A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Grand-Plage</vt:lpstr>
      <vt:lpstr>Médiathèque</vt:lpstr>
      <vt:lpstr>Zèbre</vt:lpstr>
      <vt:lpstr>Collectivités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2019-01-25T15:08:55Z</dcterms:modified>
</cp:coreProperties>
</file>